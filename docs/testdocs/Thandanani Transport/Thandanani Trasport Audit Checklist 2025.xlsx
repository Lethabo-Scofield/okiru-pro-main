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drawings/drawing9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ndo\Downloads\"/>
    </mc:Choice>
  </mc:AlternateContent>
  <xr:revisionPtr revIDLastSave="0" documentId="13_ncr:1_{D2B28381-5FF2-458C-8778-DC7379AD155A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Home" sheetId="6" r:id="rId1"/>
    <sheet name="Audit Schedule" sheetId="12" r:id="rId2"/>
    <sheet name="General &amp; Financials" sheetId="1" r:id="rId3"/>
    <sheet name="Management Control" sheetId="2" r:id="rId4"/>
    <sheet name="Skills Development" sheetId="4" state="hidden" r:id="rId5"/>
    <sheet name="Preferential Procurement" sheetId="3" r:id="rId6"/>
    <sheet name="Sheet1" sheetId="10" state="hidden" r:id="rId7"/>
    <sheet name="Supplier Development" sheetId="5" state="hidden" r:id="rId8"/>
    <sheet name="Enterprise Development" sheetId="7" state="hidden" r:id="rId9"/>
    <sheet name="Socio-economic Development" sheetId="8" r:id="rId10"/>
    <sheet name="Sheet2" sheetId="11" state="hidden" r:id="rId11"/>
    <sheet name="Public Holidays" sheetId="9" state="hidden" r:id="rId12"/>
    <sheet name="Sheet4" sheetId="13" state="hidden" r:id="rId1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2" l="1"/>
  <c r="B11" i="8"/>
  <c r="B12" i="8"/>
  <c r="B17" i="3"/>
  <c r="B16" i="3"/>
  <c r="B11" i="2"/>
  <c r="B13" i="2"/>
  <c r="B12" i="2"/>
  <c r="B14" i="2"/>
  <c r="B10" i="2"/>
  <c r="B13" i="8"/>
  <c r="B10" i="8"/>
  <c r="C6" i="8"/>
  <c r="C5" i="8"/>
  <c r="C4" i="8"/>
  <c r="B3" i="8"/>
  <c r="AA1" i="8"/>
  <c r="D6" i="8" s="1"/>
  <c r="D9" i="11" s="1"/>
  <c r="B1" i="8"/>
  <c r="B11" i="7"/>
  <c r="B10" i="7"/>
  <c r="C4" i="7"/>
  <c r="B3" i="7"/>
  <c r="W1" i="7"/>
  <c r="D6" i="7" s="1"/>
  <c r="D7" i="11" s="1"/>
  <c r="B1" i="7"/>
  <c r="B11" i="5"/>
  <c r="B10" i="5"/>
  <c r="C4" i="5"/>
  <c r="B3" i="5"/>
  <c r="B1" i="5"/>
  <c r="B23" i="3"/>
  <c r="AD1" i="3" s="1"/>
  <c r="AC1" i="3"/>
  <c r="B15" i="3"/>
  <c r="B14" i="3"/>
  <c r="B13" i="3"/>
  <c r="B9" i="3"/>
  <c r="AB1" i="3" s="1"/>
  <c r="B8" i="3"/>
  <c r="C5" i="3"/>
  <c r="C4" i="3"/>
  <c r="B3" i="3"/>
  <c r="B1" i="3"/>
  <c r="B38" i="4"/>
  <c r="Z1" i="4" s="1"/>
  <c r="B34" i="4"/>
  <c r="B33" i="4"/>
  <c r="B32" i="4"/>
  <c r="B31" i="4"/>
  <c r="B30" i="4"/>
  <c r="B29" i="4"/>
  <c r="B28" i="4"/>
  <c r="B27" i="4"/>
  <c r="B26" i="4"/>
  <c r="B21" i="4"/>
  <c r="X1" i="4" s="1"/>
  <c r="B20" i="4"/>
  <c r="B19" i="4"/>
  <c r="B18" i="4"/>
  <c r="B13" i="4"/>
  <c r="B12" i="4"/>
  <c r="B11" i="4"/>
  <c r="B10" i="4"/>
  <c r="B9" i="4"/>
  <c r="C5" i="4"/>
  <c r="C4" i="4"/>
  <c r="B3" i="4"/>
  <c r="B1" i="4"/>
  <c r="B18" i="2"/>
  <c r="B9" i="2"/>
  <c r="C6" i="2"/>
  <c r="C5" i="2"/>
  <c r="C4" i="2"/>
  <c r="B3" i="2"/>
  <c r="B1" i="2"/>
  <c r="C14" i="1"/>
  <c r="C13" i="1"/>
  <c r="C12" i="1"/>
  <c r="C11" i="1"/>
  <c r="C10" i="1"/>
  <c r="E6" i="1"/>
  <c r="D3" i="11" s="1"/>
  <c r="C6" i="1"/>
  <c r="C5" i="1"/>
  <c r="C4" i="1"/>
  <c r="B3" i="1"/>
  <c r="B1" i="1"/>
  <c r="B15" i="12"/>
  <c r="B14" i="12"/>
  <c r="B12" i="12"/>
  <c r="B11" i="12"/>
  <c r="B10" i="12"/>
  <c r="B9" i="12"/>
  <c r="B8" i="12"/>
  <c r="B7" i="12"/>
  <c r="B6" i="12"/>
  <c r="B5" i="12"/>
  <c r="K10" i="6"/>
  <c r="B6" i="2" s="1"/>
  <c r="K9" i="6"/>
  <c r="B5" i="8" s="1"/>
  <c r="K8" i="6"/>
  <c r="B4" i="7" s="1"/>
  <c r="D8" i="6"/>
  <c r="L7" i="6"/>
  <c r="D7" i="6"/>
  <c r="D6" i="6"/>
  <c r="K4" i="6"/>
  <c r="U1" i="2" l="1"/>
  <c r="Y1" i="4"/>
  <c r="W1" i="4"/>
  <c r="D6" i="4" s="1"/>
  <c r="D5" i="11" s="1"/>
  <c r="T1" i="2"/>
  <c r="Y1" i="5"/>
  <c r="D6" i="5" s="1"/>
  <c r="D8" i="11" s="1"/>
  <c r="D6" i="3"/>
  <c r="D6" i="11" s="1"/>
  <c r="B4" i="4"/>
  <c r="B4" i="5"/>
  <c r="B5" i="7"/>
  <c r="C5" i="7" s="1"/>
  <c r="B6" i="8"/>
  <c r="L10" i="6"/>
  <c r="C6" i="4" s="1"/>
  <c r="B5" i="1"/>
  <c r="B5" i="3"/>
  <c r="L9" i="6"/>
  <c r="B4" i="1"/>
  <c r="B4" i="2"/>
  <c r="B5" i="4"/>
  <c r="B5" i="5"/>
  <c r="C5" i="5" s="1"/>
  <c r="B6" i="7"/>
  <c r="C6" i="7" s="1"/>
  <c r="B6" i="1"/>
  <c r="B6" i="3"/>
  <c r="C6" i="3" s="1"/>
  <c r="B5" i="2"/>
  <c r="B6" i="4"/>
  <c r="B6" i="5"/>
  <c r="C6" i="5" s="1"/>
  <c r="B4" i="8"/>
  <c r="B4" i="3"/>
  <c r="L8" i="6"/>
  <c r="D6" i="2" l="1"/>
  <c r="G4" i="6" s="1"/>
  <c r="D4" i="11" l="1"/>
</calcChain>
</file>

<file path=xl/sharedStrings.xml><?xml version="1.0" encoding="utf-8"?>
<sst xmlns="http://schemas.openxmlformats.org/spreadsheetml/2006/main" count="676" uniqueCount="301">
  <si>
    <t>Pillar</t>
  </si>
  <si>
    <t xml:space="preserve">Description </t>
  </si>
  <si>
    <t>Comment</t>
  </si>
  <si>
    <t xml:space="preserve">General </t>
  </si>
  <si>
    <t>Description</t>
  </si>
  <si>
    <t>Count</t>
  </si>
  <si>
    <t>Name of Individual:</t>
  </si>
  <si>
    <t>Management Level</t>
  </si>
  <si>
    <t xml:space="preserve">Race </t>
  </si>
  <si>
    <t>Certified ID copy</t>
  </si>
  <si>
    <t>Employment contract</t>
  </si>
  <si>
    <t>SAMPLE - LOCAL</t>
  </si>
  <si>
    <t>Supplier Selection:</t>
  </si>
  <si>
    <t>Spend</t>
  </si>
  <si>
    <t>Classification</t>
  </si>
  <si>
    <t>Level</t>
  </si>
  <si>
    <t>BEE Certificate</t>
  </si>
  <si>
    <t>Invoice</t>
  </si>
  <si>
    <t>Large</t>
  </si>
  <si>
    <t>QSE</t>
  </si>
  <si>
    <t>EME</t>
  </si>
  <si>
    <t>SAMPLE - FOREIGN</t>
  </si>
  <si>
    <t>General Training</t>
  </si>
  <si>
    <t>Training</t>
  </si>
  <si>
    <t>Category</t>
  </si>
  <si>
    <t>Total Costs Incurred</t>
  </si>
  <si>
    <t>Race</t>
  </si>
  <si>
    <t>Proof of payment</t>
  </si>
  <si>
    <t>Learnerships</t>
  </si>
  <si>
    <t>Name</t>
  </si>
  <si>
    <t>Type</t>
  </si>
  <si>
    <t>Gender</t>
  </si>
  <si>
    <t>Interview</t>
  </si>
  <si>
    <t>Beneficiary</t>
  </si>
  <si>
    <t>Support</t>
  </si>
  <si>
    <t>Amount</t>
  </si>
  <si>
    <t>ED agreement</t>
  </si>
  <si>
    <t>% Black beneficiary</t>
  </si>
  <si>
    <t>Client Name :</t>
  </si>
  <si>
    <t>Quick Links to checklists</t>
  </si>
  <si>
    <t>Holidays</t>
  </si>
  <si>
    <t>New Years Day</t>
  </si>
  <si>
    <t>Good Friday</t>
  </si>
  <si>
    <t>Family Day</t>
  </si>
  <si>
    <t>Freedom Day</t>
  </si>
  <si>
    <t>Human Rights Day</t>
  </si>
  <si>
    <t>Workers Day</t>
  </si>
  <si>
    <t>Youth Day</t>
  </si>
  <si>
    <t>National Women’s Day</t>
  </si>
  <si>
    <t>Heritage Day</t>
  </si>
  <si>
    <t>Day of Reconciliation</t>
  </si>
  <si>
    <t>Christmas Day</t>
  </si>
  <si>
    <t>Day Of Goodwill</t>
  </si>
  <si>
    <t>Documents Received</t>
  </si>
  <si>
    <t>AUDIT CHECK LISTS</t>
  </si>
  <si>
    <t>or;</t>
  </si>
  <si>
    <t>Audit Date ►</t>
  </si>
  <si>
    <t>Financial Period :</t>
  </si>
  <si>
    <t>Start ►</t>
  </si>
  <si>
    <t>End ►</t>
  </si>
  <si>
    <t>Status</t>
  </si>
  <si>
    <t>Sampled Management Control</t>
  </si>
  <si>
    <t>Payslip</t>
  </si>
  <si>
    <t>Total Documents Received</t>
  </si>
  <si>
    <t>Ownership</t>
  </si>
  <si>
    <t>General</t>
  </si>
  <si>
    <t>Management Control</t>
  </si>
  <si>
    <t>Skills Development</t>
  </si>
  <si>
    <t>Preferential Procurement</t>
  </si>
  <si>
    <t>Enterprise Development</t>
  </si>
  <si>
    <t>Supplier Development</t>
  </si>
  <si>
    <t>Socio-economic Development</t>
  </si>
  <si>
    <t>BEE certificate / Affidavit</t>
  </si>
  <si>
    <t>Outstanding</t>
  </si>
  <si>
    <t>AUDIT TASK</t>
  </si>
  <si>
    <t>RESPONSIBLE PARTY</t>
  </si>
  <si>
    <t>DUE DATE</t>
  </si>
  <si>
    <t>COMMENTS</t>
  </si>
  <si>
    <t>Dates</t>
  </si>
  <si>
    <t>Holiday</t>
  </si>
  <si>
    <t>Office Closed</t>
  </si>
  <si>
    <t>COUNT</t>
  </si>
  <si>
    <t>STATUS</t>
  </si>
  <si>
    <t>Pending</t>
  </si>
  <si>
    <t>Signed letter of confirmation with black beneficiary %</t>
  </si>
  <si>
    <t>Attendance Register</t>
  </si>
  <si>
    <t>Salary Report</t>
  </si>
  <si>
    <t>ID copy</t>
  </si>
  <si>
    <t>Proof of absorbtion</t>
  </si>
  <si>
    <t>Trainers (SDF)</t>
  </si>
  <si>
    <t>Supplier Ledger for 12 months period</t>
  </si>
  <si>
    <t>TMPS Calc</t>
  </si>
  <si>
    <t>EME Affidavit</t>
  </si>
  <si>
    <t>Proofs of payment relating to those invoices</t>
  </si>
  <si>
    <t>VAT no. / Reg no. of BEE certificate match Invoice?</t>
  </si>
  <si>
    <t>Course Cost</t>
  </si>
  <si>
    <t>Stipend</t>
  </si>
  <si>
    <t>General &amp; Finances</t>
  </si>
  <si>
    <t>Company Organogram</t>
  </si>
  <si>
    <t>Updating audit submission packs</t>
  </si>
  <si>
    <t>Review of audit file and preliminary audit</t>
  </si>
  <si>
    <t>Onsite BEE audit</t>
  </si>
  <si>
    <t>Issue BEE certificate</t>
  </si>
  <si>
    <t>Actual Spend</t>
  </si>
  <si>
    <t>Recognised Spend</t>
  </si>
  <si>
    <t>WSP and ATR (showing Priority Skills Programme)</t>
  </si>
  <si>
    <t>Learnership Tracking Tool</t>
  </si>
  <si>
    <t>Certified 
ID copy</t>
  </si>
  <si>
    <t>SETA 
Agreement</t>
  </si>
  <si>
    <t>Proof of attendance</t>
  </si>
  <si>
    <t>Management representation letter confirming reason for exclusion</t>
  </si>
  <si>
    <t>Calculations 
(on Excel)</t>
  </si>
  <si>
    <t>Proof of Payment</t>
  </si>
  <si>
    <t>Lease Agreement</t>
  </si>
  <si>
    <t>Signed Emplyees 
Timesheets</t>
  </si>
  <si>
    <t>SD Confirmation</t>
  </si>
  <si>
    <t>Proof of payment2</t>
  </si>
  <si>
    <t>ED Confirmation</t>
  </si>
  <si>
    <t>Signed GL
(@31 Dec 2018)</t>
  </si>
  <si>
    <t>Highest Invoice</t>
  </si>
  <si>
    <t>START DATE</t>
  </si>
  <si>
    <t>EEA1 Form</t>
  </si>
  <si>
    <t>Disabled 
doc note</t>
  </si>
  <si>
    <t>Proof of WSP submission to SETA</t>
  </si>
  <si>
    <t>Proof of WSP Approval from SETA</t>
  </si>
  <si>
    <t>EMP201s for the measurement period</t>
  </si>
  <si>
    <t>Course / Education Detail</t>
  </si>
  <si>
    <t>Bursary Contract</t>
  </si>
  <si>
    <t>Unemployed Affidavit or HR Letter</t>
  </si>
  <si>
    <t>51% BO?</t>
  </si>
  <si>
    <t>30% BWO?</t>
  </si>
  <si>
    <t>51% BDG?</t>
  </si>
  <si>
    <t>Highest Invoice in 2018</t>
  </si>
  <si>
    <t>Proofs of payment relating to the invoice</t>
  </si>
  <si>
    <t>12 months Supplier Ledger (2018)</t>
  </si>
  <si>
    <t>Supplier spend report as printed from the system (2018 FY)</t>
  </si>
  <si>
    <t>Invoices</t>
  </si>
  <si>
    <t>POP</t>
  </si>
  <si>
    <t>Supplier Ledger</t>
  </si>
  <si>
    <t>Preparing audit file and collecting data</t>
  </si>
  <si>
    <t>Finalize audit submission packs and send to VA for sampling</t>
  </si>
  <si>
    <t>VA to send review notes</t>
  </si>
  <si>
    <t>Received</t>
  </si>
  <si>
    <t xml:space="preserve">Grenex </t>
  </si>
  <si>
    <t>Kasi Fibre</t>
  </si>
  <si>
    <t>Grant</t>
  </si>
  <si>
    <t xml:space="preserve">Isibani Chartered accountants </t>
  </si>
  <si>
    <t>N/A</t>
  </si>
  <si>
    <t>A</t>
  </si>
  <si>
    <t>F</t>
  </si>
  <si>
    <t xml:space="preserve">Thando Dlamimi </t>
  </si>
  <si>
    <t>Lindokuhle Nkosi</t>
  </si>
  <si>
    <t>Disables Candidate Bursary Programme</t>
  </si>
  <si>
    <t>Hlengiwe Hadebe</t>
  </si>
  <si>
    <t>M</t>
  </si>
  <si>
    <t>Required Documents:</t>
  </si>
  <si>
    <t>Reference</t>
  </si>
  <si>
    <t>Feedback</t>
  </si>
  <si>
    <t>Comments</t>
  </si>
  <si>
    <t>Workplace Skills Plan/Annual Training Report,</t>
  </si>
  <si>
    <t>SD-01</t>
  </si>
  <si>
    <t>SETA Confrmation of approval of the Workplace Skills Plan and Annual Training Report</t>
  </si>
  <si>
    <t>SD-02</t>
  </si>
  <si>
    <t>Confirmation from the SETA of Registration of a Skills Development Facilitator,</t>
  </si>
  <si>
    <t>SD-03</t>
  </si>
  <si>
    <t>Proof of Implementation of a priority skill as per SETA. Print Priority skills list from SETA and provide invoice of course implemented within business and proof of attendance to demonstrate implementation,</t>
  </si>
  <si>
    <t>SD-04</t>
  </si>
  <si>
    <t>EMPSA for the financial period</t>
  </si>
  <si>
    <t>SD-05</t>
  </si>
  <si>
    <t>A letter which includes a reconciliation of the Leviable Amount and the Total Staff costs to explain which other amounts had caused the difference.</t>
  </si>
  <si>
    <t>SD-06</t>
  </si>
  <si>
    <t>Bursaries Expenditure</t>
  </si>
  <si>
    <t xml:space="preserve">Certified ID Copies </t>
  </si>
  <si>
    <t>SD-16</t>
  </si>
  <si>
    <t>Bursary Agreement</t>
  </si>
  <si>
    <t>SD-17</t>
  </si>
  <si>
    <t>Invoices for Course Fees if External</t>
  </si>
  <si>
    <t>SD-18</t>
  </si>
  <si>
    <t>Payslip of Employed Trainer if Training was internal</t>
  </si>
  <si>
    <t>Proof of payment of course fees</t>
  </si>
  <si>
    <t>SD-19</t>
  </si>
  <si>
    <t>Certificate of attendance/completion/proof of registration/proof of attendance for external training</t>
  </si>
  <si>
    <t>SD-20</t>
  </si>
  <si>
    <t>EEA1 Declaration of Disability (Only for Bursary Candidates who were employed by the Measured Entity)</t>
  </si>
  <si>
    <t>SD-23</t>
  </si>
  <si>
    <t>Doctors Letter confirming disability (Only for Bursary Candidates who were employed by the Measured Entity)</t>
  </si>
  <si>
    <t>SD-24</t>
  </si>
  <si>
    <t>Disabled Employees Contract of Employment (Only for Bursary Candidates who were employed by the Measured Entity)</t>
  </si>
  <si>
    <t>SD-25</t>
  </si>
  <si>
    <t>Interview of Bursary candidate</t>
  </si>
  <si>
    <t>SD-26</t>
  </si>
  <si>
    <t xml:space="preserve">Learnership </t>
  </si>
  <si>
    <t>Certified ID Copy</t>
  </si>
  <si>
    <t>SD-27</t>
  </si>
  <si>
    <t>Category D - SETA Learnership Agreement</t>
  </si>
  <si>
    <t>SD-28</t>
  </si>
  <si>
    <t>Category D - SETA Confirmation of Registration of the learners</t>
  </si>
  <si>
    <t>SD-30</t>
  </si>
  <si>
    <t>Payslips for the period of the financial period or payroll reports (extract from system) of Sampled Learners</t>
  </si>
  <si>
    <t>SD-34</t>
  </si>
  <si>
    <t>Invoice for Course Fees</t>
  </si>
  <si>
    <t>SD-35</t>
  </si>
  <si>
    <t>Proof of Payment of Course Fees</t>
  </si>
  <si>
    <t>SD-36</t>
  </si>
  <si>
    <t>EEA1 Declaration of Disability for disabled learners,</t>
  </si>
  <si>
    <t>SD-38</t>
  </si>
  <si>
    <t>Medical Certificate confirming the disability for the disabled learners</t>
  </si>
  <si>
    <t>SD-39</t>
  </si>
  <si>
    <t>Contract of Employment for Disabled Employees</t>
  </si>
  <si>
    <t>SD-40</t>
  </si>
  <si>
    <t>Interviews with Learners</t>
  </si>
  <si>
    <t>SD-41</t>
  </si>
  <si>
    <t>Local Spend</t>
  </si>
  <si>
    <t xml:space="preserve">Reference </t>
  </si>
  <si>
    <t>Valid B-BBEE Verification Certificates / Affidavit of suppliers. For Construcion Entities ensure that a Construction Affidavit or Certificate issued by a SANAS accredited Agency. For Transport Companies ensure that a Certificate issued by a SANAS accredited Agency is obtained</t>
  </si>
  <si>
    <t>Supplier Detailed Ledger (in Excel and Highlight the invoices Received on the Ledger and ensure Totals are included and these totals are excluding VAT)</t>
  </si>
  <si>
    <t>5 invoices received from the sampled supplier within the financial period</t>
  </si>
  <si>
    <t>Vendor Loading Portal, Ledger and First Invoice for First Time Suppliers</t>
  </si>
  <si>
    <t>Sample of 3 year Contracts for Supplier Development Beneficiary</t>
  </si>
  <si>
    <t>Sample of 3 year Contracts with Black Owned EME/QSE</t>
  </si>
  <si>
    <t>SUPPLIER DEVELOPMENT</t>
  </si>
  <si>
    <t>Supplier Development Agreement with ultimate Beneficiary</t>
  </si>
  <si>
    <t>SuD-01</t>
  </si>
  <si>
    <t>Acknowledgement Letter or Receipt from beneficiary stating what was type of assistance was received</t>
  </si>
  <si>
    <t>SuD-02</t>
  </si>
  <si>
    <t>Affidavit Signed by a Commissioner of Oaths for Beneficiary Entity or BEE Certificate - EME/QSE values BO. Ensure that a Construction Sector Affidavit/Certificate issued by a SANAS accredited Agency is provided for Construction Sector Beneficiaries and that a Certificate issued by a SANAS Accredited Agency is provided for a Transport Sector Beneficiary</t>
  </si>
  <si>
    <t>SuD-03</t>
  </si>
  <si>
    <t>Copies of invoices and related proof of payment for Direct Costs and Grants</t>
  </si>
  <si>
    <t>SuD-09</t>
  </si>
  <si>
    <t>Confirmation of Graduation (Previous proof of ED contributions, ED Agreement, Affidavit, letter &amp; POP)</t>
  </si>
  <si>
    <t>SuD-13</t>
  </si>
  <si>
    <t xml:space="preserve">Vendor listing - proof when supplier loaded, ledger, 1st invoice </t>
  </si>
  <si>
    <t>SuD-14</t>
  </si>
  <si>
    <t>Confirmation of Job Creation</t>
  </si>
  <si>
    <t>SuD-15.1</t>
  </si>
  <si>
    <t>Payroll Report of the Beneficiary Entity indicating commencement dates of all employees</t>
  </si>
  <si>
    <t>SuD-15.2</t>
  </si>
  <si>
    <t>SHORTER PAYMENT PERIOD:</t>
  </si>
  <si>
    <t>Supplier Development Agreement</t>
  </si>
  <si>
    <t>Affidavit</t>
  </si>
  <si>
    <t>SuD-09.1</t>
  </si>
  <si>
    <t>Proof of Payment (In the form of EFT Confirmations or printout from Bank statements)</t>
  </si>
  <si>
    <t>SuD-09.2</t>
  </si>
  <si>
    <t>Enterprise DEVELOPMENT</t>
  </si>
  <si>
    <t>Enterprise Development Agreement with ultimate Beneficiary</t>
  </si>
  <si>
    <t>ED-01</t>
  </si>
  <si>
    <t>ED-02</t>
  </si>
  <si>
    <t>ED-03</t>
  </si>
  <si>
    <t>ED-09</t>
  </si>
  <si>
    <t>ED-15.1</t>
  </si>
  <si>
    <t>ED-15.2</t>
  </si>
  <si>
    <t>ED-01.1</t>
  </si>
  <si>
    <t>ED-03.1</t>
  </si>
  <si>
    <t>ED-09.1</t>
  </si>
  <si>
    <t xml:space="preserve">Number of Jobs Created 
</t>
  </si>
  <si>
    <t>Socio-Economic Development</t>
  </si>
  <si>
    <t xml:space="preserve">Affidavit/signed declaration from beneficiary stating what  % benefit passed onto black people </t>
  </si>
  <si>
    <t>Beneficiary to provide Signed Acknowledgment Letter confirming the type and value of assistance received</t>
  </si>
  <si>
    <t>Independent Third Persons Report</t>
  </si>
  <si>
    <t>Copies of invoices  and Proof of Payments for Grants and Direct Cost Contributions</t>
  </si>
  <si>
    <t>SED-01.1</t>
  </si>
  <si>
    <t>SED-02.1</t>
  </si>
  <si>
    <t>Acknowledgement Letter of reciept</t>
  </si>
  <si>
    <t xml:space="preserve">3rd person report regarding black beneficiary </t>
  </si>
  <si>
    <t>SED-04.1</t>
  </si>
  <si>
    <t xml:space="preserve">Thandanani Transport </t>
  </si>
  <si>
    <t>Sending outstanding requirements to Okiru, if any</t>
  </si>
  <si>
    <t>Company Profile</t>
  </si>
  <si>
    <t>Valid Tax Clearance Certificate</t>
  </si>
  <si>
    <t>CIPC document printed within the last 3 months</t>
  </si>
  <si>
    <t>Audited Financial Statements for year under review</t>
  </si>
  <si>
    <t>Signed employment contracts</t>
  </si>
  <si>
    <t>Job description</t>
  </si>
  <si>
    <t>Most recent payslip</t>
  </si>
  <si>
    <t>EEA1</t>
  </si>
  <si>
    <t>Venugopal Lutchman, Naidoo</t>
  </si>
  <si>
    <t>BP Edenvale</t>
  </si>
  <si>
    <t>Outsurance</t>
  </si>
  <si>
    <t>Provident Fund (FUTURASA)</t>
  </si>
  <si>
    <t>Subbiah Enterprises</t>
  </si>
  <si>
    <t>TST Truc Chassis</t>
  </si>
  <si>
    <t>Generic</t>
  </si>
  <si>
    <t>Level 1</t>
  </si>
  <si>
    <t>Level 2</t>
  </si>
  <si>
    <t>Ekurhuleni Municipality</t>
  </si>
  <si>
    <t>Essentially Edenvale</t>
  </si>
  <si>
    <t>OUTA</t>
  </si>
  <si>
    <t>Thandanani Transport to send sample selection</t>
  </si>
  <si>
    <t>Okiru to send checklist of sampled data and documents required</t>
  </si>
  <si>
    <t>Send supporting documents for sampled data on the dropbox link provided</t>
  </si>
  <si>
    <t xml:space="preserve">Okiru </t>
  </si>
  <si>
    <t>Thandanani</t>
  </si>
  <si>
    <t xml:space="preserve">BEE Online </t>
  </si>
  <si>
    <t xml:space="preserve">Management Rep letter to be drafted </t>
  </si>
  <si>
    <t>Management representation letter</t>
  </si>
  <si>
    <t>Financial are not Audited</t>
  </si>
  <si>
    <t xml:space="preserve">Okiru to draft and send to TT to sign </t>
  </si>
  <si>
    <t xml:space="preserve">TT to provide </t>
  </si>
  <si>
    <t>Senior Top Management</t>
  </si>
  <si>
    <t>Okiru to draft</t>
  </si>
  <si>
    <t xml:space="preserve">Okiru to draft the letter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</si>
</sst>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R&quot;#,##0;[Red]\-&quot;R&quot;#,##0"/>
    <numFmt numFmtId="164" formatCode="_ &quot;R&quot;\ * #,##0.00_ ;_ &quot;R&quot;\ * \-#,##0.00_ ;_ &quot;R&quot;\ * &quot;-&quot;??_ ;_ @_ "/>
    <numFmt numFmtId="165" formatCode="_ * #,##0.00_ ;_ * \-#,##0.00_ ;_ * &quot;-&quot;??_ ;_ @_ "/>
    <numFmt numFmtId="166" formatCode="00"/>
    <numFmt numFmtId="167" formatCode="0.0"/>
    <numFmt numFmtId="168" formatCode="dd\ mmm\ yyyy"/>
    <numFmt numFmtId="169" formatCode="[$-1C09]dd\ mmmm\ yyyy;@"/>
    <numFmt numFmtId="170" formatCode="&quot;R&quot;\ #,##0.00"/>
    <numFmt numFmtId="171" formatCode="&quot;R&quot;#,##0.00"/>
    <numFmt numFmtId="172" formatCode="&quot;R&quot;\ #,##0.00;[Red]&quot;R&quot;\ \-#,##0.00"/>
    <numFmt numFmtId="173" formatCode="_(* #,##0.00_);_(* \(#,##0.00\);_(* &quot;-&quot;??_);_(@_)"/>
    <numFmt numFmtId="174" formatCode="[$-409]d\-mmm\-yyyy;@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b/>
      <sz val="10"/>
      <color theme="1"/>
      <name val="Lato"/>
      <family val="2"/>
    </font>
    <font>
      <sz val="10"/>
      <color theme="0"/>
      <name val="Lato"/>
      <family val="2"/>
    </font>
    <font>
      <u/>
      <sz val="11"/>
      <color theme="10"/>
      <name val="Calibri"/>
      <family val="2"/>
      <scheme val="minor"/>
    </font>
    <font>
      <b/>
      <sz val="12"/>
      <color theme="2" tint="-0.749992370372631"/>
      <name val="Lato"/>
      <family val="2"/>
    </font>
    <font>
      <b/>
      <sz val="14"/>
      <color theme="1" tint="0.249977111117893"/>
      <name val="Lato"/>
      <family val="2"/>
    </font>
    <font>
      <sz val="11"/>
      <color theme="1" tint="0.249977111117893"/>
      <name val="Lato"/>
      <family val="2"/>
    </font>
    <font>
      <b/>
      <sz val="12"/>
      <color theme="1"/>
      <name val="Calibri"/>
      <family val="2"/>
      <scheme val="minor"/>
    </font>
    <font>
      <sz val="12"/>
      <color theme="1"/>
      <name val="Lato"/>
      <family val="2"/>
    </font>
    <font>
      <sz val="10"/>
      <color theme="1" tint="0.249977111117893"/>
      <name val="Lato"/>
      <family val="2"/>
    </font>
    <font>
      <b/>
      <sz val="10"/>
      <color theme="1" tint="0.249977111117893"/>
      <name val="Lato"/>
      <family val="2"/>
    </font>
    <font>
      <sz val="10"/>
      <color theme="1" tint="0.249977111117893"/>
      <name val="Lato"/>
      <family val="2"/>
    </font>
    <font>
      <b/>
      <sz val="11"/>
      <color theme="1" tint="0.249977111117893"/>
      <name val="Lato"/>
      <family val="2"/>
    </font>
    <font>
      <sz val="11"/>
      <color theme="1" tint="0.249977111117893"/>
      <name val="Lato"/>
      <family val="2"/>
    </font>
    <font>
      <b/>
      <u/>
      <sz val="11"/>
      <color theme="1" tint="0.249977111117893"/>
      <name val="Lato"/>
      <family val="2"/>
    </font>
    <font>
      <sz val="11"/>
      <color theme="0"/>
      <name val="Calibri"/>
      <family val="2"/>
      <scheme val="minor"/>
    </font>
    <font>
      <sz val="10"/>
      <color theme="1" tint="0.249977111117893"/>
      <name val="Lato"/>
      <family val="2"/>
    </font>
    <font>
      <sz val="11"/>
      <color theme="1" tint="0.249977111117893"/>
      <name val="Lato"/>
      <family val="2"/>
    </font>
    <font>
      <b/>
      <sz val="10"/>
      <color theme="1" tint="0.249977111117893"/>
      <name val="Lato"/>
      <family val="2"/>
    </font>
    <font>
      <b/>
      <sz val="11"/>
      <color theme="1" tint="0.249977111117893"/>
      <name val="Lato"/>
      <family val="2"/>
    </font>
    <font>
      <b/>
      <sz val="14"/>
      <color theme="0"/>
      <name val="Lato"/>
      <family val="2"/>
    </font>
    <font>
      <sz val="11"/>
      <color theme="0"/>
      <name val="Lato"/>
      <family val="2"/>
    </font>
    <font>
      <b/>
      <sz val="10"/>
      <color theme="0"/>
      <name val="Lato"/>
      <family val="2"/>
    </font>
    <font>
      <b/>
      <sz val="14"/>
      <color rgb="FF20458A"/>
      <name val="Lato"/>
      <family val="2"/>
    </font>
    <font>
      <sz val="11"/>
      <color rgb="FF20458A"/>
      <name val="Lato"/>
      <family val="2"/>
    </font>
    <font>
      <b/>
      <sz val="10"/>
      <color rgb="FF20458A"/>
      <name val="Lato"/>
      <family val="2"/>
    </font>
    <font>
      <b/>
      <sz val="12"/>
      <color rgb="FF20458A"/>
      <name val="Lato"/>
      <family val="2"/>
    </font>
    <font>
      <sz val="11"/>
      <color theme="1"/>
      <name val="Century Gothic"/>
      <family val="2"/>
    </font>
    <font>
      <sz val="8"/>
      <color theme="1"/>
      <name val="Lato"/>
      <family val="2"/>
    </font>
    <font>
      <b/>
      <sz val="12"/>
      <color theme="1" tint="0.249977111117893"/>
      <name val="Lato"/>
      <family val="2"/>
    </font>
    <font>
      <sz val="10"/>
      <color theme="2" tint="-0.749992370372631"/>
      <name val="Lato"/>
      <family val="2"/>
    </font>
    <font>
      <sz val="10"/>
      <color theme="1" tint="0.249977111117893"/>
      <name val="Lato"/>
      <family val="2"/>
    </font>
    <font>
      <sz val="10"/>
      <color theme="1" tint="0.249977111117893"/>
      <name val="Lato"/>
      <family val="2"/>
    </font>
    <font>
      <sz val="10"/>
      <name val="Arial"/>
      <family val="2"/>
    </font>
    <font>
      <b/>
      <sz val="10"/>
      <color theme="1" tint="0.249977111117893"/>
      <name val="Lato"/>
      <family val="2"/>
    </font>
    <font>
      <sz val="10"/>
      <color rgb="FFFF0000"/>
      <name val="Lato"/>
      <family val="2"/>
    </font>
    <font>
      <sz val="11"/>
      <color rgb="FFFF0000"/>
      <name val="Lato"/>
      <family val="2"/>
    </font>
    <font>
      <sz val="10"/>
      <color theme="1"/>
      <name val="Lato"/>
      <family val="2"/>
    </font>
    <font>
      <sz val="11"/>
      <color theme="1"/>
      <name val="Wingdings"/>
      <charset val="2"/>
    </font>
    <font>
      <sz val="10"/>
      <color theme="1" tint="0.34998626667073579"/>
      <name val="Lato"/>
      <family val="2"/>
    </font>
    <font>
      <sz val="10"/>
      <color theme="1" tint="0.249977111117893"/>
      <name val="Lato"/>
      <family val="2"/>
    </font>
    <font>
      <b/>
      <sz val="10"/>
      <color theme="0"/>
      <name val="Lato"/>
      <family val="2"/>
    </font>
    <font>
      <sz val="9"/>
      <color theme="1" tint="0.249977111117893"/>
      <name val="Lato"/>
      <family val="2"/>
    </font>
    <font>
      <b/>
      <sz val="10"/>
      <color theme="1" tint="0.249977111117893"/>
      <name val="Lato"/>
      <family val="2"/>
    </font>
    <font>
      <sz val="10"/>
      <color rgb="FFFF0000"/>
      <name val="Lato"/>
      <family val="2"/>
    </font>
    <font>
      <i/>
      <sz val="10"/>
      <name val="Arial"/>
      <family val="2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rgb="FF0070C0"/>
      <name val="Calibri"/>
      <family val="2"/>
      <scheme val="minor"/>
    </font>
    <font>
      <b/>
      <sz val="12"/>
      <color theme="1"/>
      <name val="Lato"/>
      <family val="2"/>
    </font>
    <font>
      <b/>
      <sz val="22"/>
      <color theme="1"/>
      <name val="Lato"/>
      <family val="2"/>
    </font>
    <font>
      <b/>
      <sz val="14"/>
      <color theme="1"/>
      <name val="Lato"/>
      <family val="2"/>
    </font>
    <font>
      <sz val="10"/>
      <color theme="1" tint="0.249977111117893"/>
      <name val="Lato"/>
    </font>
  </fonts>
  <fills count="11">
    <fill>
      <patternFill patternType="none"/>
    </fill>
    <fill>
      <patternFill patternType="gray125"/>
    </fill>
    <fill>
      <patternFill patternType="solid">
        <fgColor rgb="FF89898D"/>
        <bgColor indexed="64"/>
      </patternFill>
    </fill>
    <fill>
      <patternFill patternType="solid">
        <fgColor rgb="FFDA561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458A"/>
        <bgColor indexed="64"/>
      </patternFill>
    </fill>
    <fill>
      <patternFill patternType="solid">
        <fgColor rgb="FF8A8A8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89898D"/>
      </left>
      <right/>
      <top/>
      <bottom/>
      <diagonal/>
    </border>
    <border>
      <left style="thin">
        <color rgb="FF89898D"/>
      </left>
      <right/>
      <top style="thin">
        <color rgb="FF89898D"/>
      </top>
      <bottom style="thin">
        <color theme="0"/>
      </bottom>
      <diagonal/>
    </border>
    <border>
      <left style="thin">
        <color rgb="FF89898D"/>
      </left>
      <right/>
      <top/>
      <bottom style="thin">
        <color theme="0"/>
      </bottom>
      <diagonal/>
    </border>
    <border>
      <left/>
      <right/>
      <top style="thin">
        <color rgb="FF89898D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thin">
        <color theme="0" tint="-0.14999847407452621"/>
      </left>
      <right style="thin">
        <color theme="0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9" fontId="35" fillId="0" borderId="0"/>
    <xf numFmtId="0" fontId="35" fillId="0" borderId="0"/>
    <xf numFmtId="0" fontId="35" fillId="0" borderId="0"/>
    <xf numFmtId="17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3" fontId="35" fillId="0" borderId="0" applyFont="0" applyFill="0" applyBorder="0" applyAlignment="0" applyProtection="0"/>
  </cellStyleXfs>
  <cellXfs count="2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 vertical="center"/>
    </xf>
    <xf numFmtId="14" fontId="0" fillId="0" borderId="0" xfId="0" applyNumberFormat="1"/>
    <xf numFmtId="166" fontId="0" fillId="0" borderId="0" xfId="0" applyNumberFormat="1"/>
    <xf numFmtId="14" fontId="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/>
    </xf>
    <xf numFmtId="0" fontId="11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5" fillId="0" borderId="0" xfId="0" applyFont="1"/>
    <xf numFmtId="9" fontId="7" fillId="0" borderId="0" xfId="2" applyFont="1" applyFill="1" applyAlignment="1">
      <alignment horizontal="left"/>
    </xf>
    <xf numFmtId="9" fontId="13" fillId="0" borderId="0" xfId="2" applyFont="1"/>
    <xf numFmtId="0" fontId="12" fillId="0" borderId="0" xfId="0" applyFont="1"/>
    <xf numFmtId="9" fontId="7" fillId="0" borderId="0" xfId="2" applyFont="1" applyAlignment="1">
      <alignment horizontal="left"/>
    </xf>
    <xf numFmtId="0" fontId="7" fillId="0" borderId="0" xfId="0" applyFont="1"/>
    <xf numFmtId="0" fontId="11" fillId="0" borderId="0" xfId="0" applyFont="1" applyAlignment="1">
      <alignment horizontal="center"/>
    </xf>
    <xf numFmtId="165" fontId="12" fillId="0" borderId="0" xfId="1" applyFont="1" applyBorder="1"/>
    <xf numFmtId="0" fontId="16" fillId="0" borderId="0" xfId="0" applyFont="1"/>
    <xf numFmtId="165" fontId="11" fillId="0" borderId="0" xfId="1" applyFont="1" applyFill="1" applyBorder="1"/>
    <xf numFmtId="0" fontId="14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horizontal="center"/>
    </xf>
    <xf numFmtId="165" fontId="18" fillId="0" borderId="0" xfId="1" applyFont="1" applyFill="1" applyBorder="1"/>
    <xf numFmtId="0" fontId="23" fillId="2" borderId="0" xfId="0" applyFont="1" applyFill="1"/>
    <xf numFmtId="0" fontId="23" fillId="2" borderId="5" xfId="0" applyFont="1" applyFill="1" applyBorder="1"/>
    <xf numFmtId="0" fontId="23" fillId="2" borderId="6" xfId="0" applyFont="1" applyFill="1" applyBorder="1"/>
    <xf numFmtId="0" fontId="26" fillId="0" borderId="0" xfId="0" applyFont="1"/>
    <xf numFmtId="0" fontId="26" fillId="0" borderId="0" xfId="0" applyFont="1" applyAlignment="1">
      <alignment horizontal="right" vertical="center"/>
    </xf>
    <xf numFmtId="0" fontId="29" fillId="0" borderId="0" xfId="0" applyFont="1"/>
    <xf numFmtId="0" fontId="2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3" fillId="0" borderId="0" xfId="0" applyFont="1"/>
    <xf numFmtId="1" fontId="2" fillId="0" borderId="0" xfId="0" applyNumberFormat="1" applyFont="1"/>
    <xf numFmtId="1" fontId="23" fillId="0" borderId="0" xfId="0" applyNumberFormat="1" applyFont="1"/>
    <xf numFmtId="0" fontId="24" fillId="6" borderId="8" xfId="0" applyFont="1" applyFill="1" applyBorder="1" applyAlignment="1">
      <alignment horizontal="center"/>
    </xf>
    <xf numFmtId="0" fontId="24" fillId="6" borderId="10" xfId="0" applyFont="1" applyFill="1" applyBorder="1"/>
    <xf numFmtId="14" fontId="30" fillId="0" borderId="0" xfId="0" applyNumberFormat="1" applyFont="1"/>
    <xf numFmtId="0" fontId="11" fillId="5" borderId="11" xfId="0" applyFont="1" applyFill="1" applyBorder="1" applyAlignment="1">
      <alignment horizontal="center"/>
    </xf>
    <xf numFmtId="0" fontId="11" fillId="4" borderId="7" xfId="0" applyFont="1" applyFill="1" applyBorder="1"/>
    <xf numFmtId="0" fontId="11" fillId="4" borderId="12" xfId="0" applyFont="1" applyFill="1" applyBorder="1"/>
    <xf numFmtId="0" fontId="11" fillId="5" borderId="13" xfId="0" applyFont="1" applyFill="1" applyBorder="1" applyAlignment="1">
      <alignment horizontal="center"/>
    </xf>
    <xf numFmtId="0" fontId="11" fillId="4" borderId="14" xfId="0" applyFont="1" applyFill="1" applyBorder="1"/>
    <xf numFmtId="0" fontId="11" fillId="4" borderId="14" xfId="0" applyFont="1" applyFill="1" applyBorder="1" applyAlignment="1">
      <alignment wrapText="1"/>
    </xf>
    <xf numFmtId="0" fontId="11" fillId="5" borderId="11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/>
    </xf>
    <xf numFmtId="9" fontId="31" fillId="0" borderId="0" xfId="2" applyFont="1"/>
    <xf numFmtId="9" fontId="2" fillId="0" borderId="0" xfId="2" applyFont="1"/>
    <xf numFmtId="0" fontId="18" fillId="5" borderId="11" xfId="0" applyFont="1" applyFill="1" applyBorder="1" applyAlignment="1">
      <alignment horizontal="center"/>
    </xf>
    <xf numFmtId="9" fontId="11" fillId="4" borderId="14" xfId="2" applyFont="1" applyFill="1" applyBorder="1" applyAlignment="1">
      <alignment horizontal="center"/>
    </xf>
    <xf numFmtId="0" fontId="11" fillId="4" borderId="7" xfId="0" applyFont="1" applyFill="1" applyBorder="1" applyAlignment="1">
      <alignment vertical="top"/>
    </xf>
    <xf numFmtId="0" fontId="11" fillId="4" borderId="7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 wrapText="1"/>
    </xf>
    <xf numFmtId="0" fontId="11" fillId="4" borderId="12" xfId="0" applyFont="1" applyFill="1" applyBorder="1" applyAlignment="1">
      <alignment vertical="center" wrapText="1"/>
    </xf>
    <xf numFmtId="0" fontId="24" fillId="6" borderId="9" xfId="0" applyFont="1" applyFill="1" applyBorder="1" applyAlignment="1">
      <alignment horizontal="left" wrapText="1"/>
    </xf>
    <xf numFmtId="0" fontId="13" fillId="4" borderId="12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1" fontId="27" fillId="0" borderId="1" xfId="0" applyNumberFormat="1" applyFont="1" applyBorder="1" applyAlignment="1">
      <alignment horizontal="righ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7" fillId="3" borderId="6" xfId="3" applyFont="1" applyFill="1" applyBorder="1" applyAlignment="1">
      <alignment horizontal="left" vertical="center"/>
    </xf>
    <xf numFmtId="0" fontId="23" fillId="3" borderId="6" xfId="0" applyFont="1" applyFill="1" applyBorder="1" applyAlignment="1">
      <alignment vertical="center"/>
    </xf>
    <xf numFmtId="0" fontId="17" fillId="3" borderId="1" xfId="3" applyFont="1" applyFill="1" applyBorder="1" applyAlignment="1">
      <alignment horizontal="left" vertical="center"/>
    </xf>
    <xf numFmtId="0" fontId="23" fillId="3" borderId="1" xfId="0" applyFont="1" applyFill="1" applyBorder="1" applyAlignment="1">
      <alignment vertical="center"/>
    </xf>
    <xf numFmtId="9" fontId="0" fillId="0" borderId="0" xfId="0" applyNumberFormat="1"/>
    <xf numFmtId="9" fontId="11" fillId="0" borderId="0" xfId="2" applyFont="1"/>
    <xf numFmtId="9" fontId="14" fillId="0" borderId="0" xfId="2" applyFont="1" applyAlignment="1">
      <alignment horizontal="left"/>
    </xf>
    <xf numFmtId="9" fontId="25" fillId="0" borderId="0" xfId="0" applyNumberFormat="1" applyFont="1" applyAlignment="1">
      <alignment vertical="center"/>
    </xf>
    <xf numFmtId="167" fontId="27" fillId="0" borderId="1" xfId="0" applyNumberFormat="1" applyFont="1" applyBorder="1" applyAlignment="1">
      <alignment horizontal="right" vertical="center"/>
    </xf>
    <xf numFmtId="1" fontId="27" fillId="0" borderId="1" xfId="0" applyNumberFormat="1" applyFont="1" applyBorder="1" applyAlignment="1">
      <alignment horizontal="right" vertical="center"/>
    </xf>
    <xf numFmtId="167" fontId="27" fillId="0" borderId="1" xfId="0" applyNumberFormat="1" applyFont="1" applyBorder="1" applyAlignment="1">
      <alignment horizontal="right"/>
    </xf>
    <xf numFmtId="0" fontId="9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32" fillId="0" borderId="0" xfId="0" applyFont="1" applyAlignment="1">
      <alignment horizontal="left" vertical="top"/>
    </xf>
    <xf numFmtId="0" fontId="33" fillId="4" borderId="12" xfId="0" applyFont="1" applyFill="1" applyBorder="1" applyAlignment="1">
      <alignment vertical="center"/>
    </xf>
    <xf numFmtId="14" fontId="2" fillId="0" borderId="0" xfId="0" applyNumberFormat="1" applyFont="1"/>
    <xf numFmtId="0" fontId="34" fillId="5" borderId="11" xfId="0" applyFont="1" applyFill="1" applyBorder="1" applyAlignment="1">
      <alignment horizontal="center"/>
    </xf>
    <xf numFmtId="0" fontId="34" fillId="4" borderId="12" xfId="0" applyFont="1" applyFill="1" applyBorder="1"/>
    <xf numFmtId="164" fontId="34" fillId="4" borderId="7" xfId="4" applyFont="1" applyFill="1" applyBorder="1"/>
    <xf numFmtId="1" fontId="34" fillId="4" borderId="12" xfId="1" applyNumberFormat="1" applyFont="1" applyFill="1" applyBorder="1" applyAlignment="1">
      <alignment horizontal="center" vertical="center"/>
    </xf>
    <xf numFmtId="1" fontId="36" fillId="4" borderId="7" xfId="1" applyNumberFormat="1" applyFont="1" applyFill="1" applyBorder="1" applyAlignment="1">
      <alignment horizontal="left" wrapText="1"/>
    </xf>
    <xf numFmtId="1" fontId="27" fillId="0" borderId="0" xfId="0" applyNumberFormat="1" applyFont="1" applyAlignment="1">
      <alignment horizontal="right"/>
    </xf>
    <xf numFmtId="0" fontId="11" fillId="0" borderId="0" xfId="0" applyFont="1" applyAlignment="1">
      <alignment vertical="center" wrapText="1"/>
    </xf>
    <xf numFmtId="0" fontId="11" fillId="4" borderId="14" xfId="0" applyFont="1" applyFill="1" applyBorder="1" applyAlignment="1">
      <alignment vertical="center" wrapText="1"/>
    </xf>
    <xf numFmtId="0" fontId="11" fillId="4" borderId="12" xfId="0" applyFont="1" applyFill="1" applyBorder="1" applyAlignment="1">
      <alignment horizontal="center"/>
    </xf>
    <xf numFmtId="170" fontId="11" fillId="4" borderId="12" xfId="0" applyNumberFormat="1" applyFont="1" applyFill="1" applyBorder="1"/>
    <xf numFmtId="0" fontId="38" fillId="0" borderId="0" xfId="0" applyFont="1"/>
    <xf numFmtId="0" fontId="39" fillId="4" borderId="12" xfId="0" applyFont="1" applyFill="1" applyBorder="1" applyAlignment="1">
      <alignment horizontal="center"/>
    </xf>
    <xf numFmtId="0" fontId="37" fillId="0" borderId="0" xfId="0" applyFont="1"/>
    <xf numFmtId="0" fontId="11" fillId="5" borderId="13" xfId="0" applyFont="1" applyFill="1" applyBorder="1" applyAlignment="1">
      <alignment horizontal="center" vertical="center"/>
    </xf>
    <xf numFmtId="0" fontId="40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11" fillId="4" borderId="19" xfId="0" applyFont="1" applyFill="1" applyBorder="1" applyAlignment="1">
      <alignment horizontal="left" vertical="center"/>
    </xf>
    <xf numFmtId="0" fontId="37" fillId="4" borderId="12" xfId="0" applyFont="1" applyFill="1" applyBorder="1"/>
    <xf numFmtId="0" fontId="37" fillId="0" borderId="0" xfId="0" applyFont="1" applyAlignment="1">
      <alignment vertical="center"/>
    </xf>
    <xf numFmtId="1" fontId="11" fillId="4" borderId="12" xfId="1" applyNumberFormat="1" applyFont="1" applyFill="1" applyBorder="1" applyAlignment="1">
      <alignment horizontal="center" vertical="center"/>
    </xf>
    <xf numFmtId="0" fontId="41" fillId="4" borderId="14" xfId="0" applyFont="1" applyFill="1" applyBorder="1" applyAlignment="1">
      <alignment vertical="center"/>
    </xf>
    <xf numFmtId="165" fontId="41" fillId="4" borderId="14" xfId="1" applyFont="1" applyFill="1" applyBorder="1" applyAlignment="1">
      <alignment horizontal="center" vertical="center"/>
    </xf>
    <xf numFmtId="164" fontId="41" fillId="4" borderId="14" xfId="4" applyFont="1" applyFill="1" applyBorder="1" applyAlignment="1">
      <alignment vertical="center"/>
    </xf>
    <xf numFmtId="0" fontId="41" fillId="4" borderId="12" xfId="0" applyFont="1" applyFill="1" applyBorder="1" applyAlignment="1">
      <alignment horizontal="center" vertical="center"/>
    </xf>
    <xf numFmtId="0" fontId="41" fillId="4" borderId="7" xfId="0" applyFont="1" applyFill="1" applyBorder="1" applyAlignment="1">
      <alignment vertical="center"/>
    </xf>
    <xf numFmtId="164" fontId="41" fillId="4" borderId="7" xfId="4" applyFont="1" applyFill="1" applyBorder="1" applyAlignment="1">
      <alignment vertical="center"/>
    </xf>
    <xf numFmtId="0" fontId="41" fillId="4" borderId="7" xfId="0" applyFont="1" applyFill="1" applyBorder="1" applyAlignment="1">
      <alignment horizontal="center" vertical="center"/>
    </xf>
    <xf numFmtId="0" fontId="41" fillId="4" borderId="19" xfId="0" applyFont="1" applyFill="1" applyBorder="1" applyAlignment="1">
      <alignment horizontal="center" vertical="center"/>
    </xf>
    <xf numFmtId="0" fontId="42" fillId="5" borderId="11" xfId="0" applyFont="1" applyFill="1" applyBorder="1" applyAlignment="1">
      <alignment horizontal="center"/>
    </xf>
    <xf numFmtId="0" fontId="42" fillId="4" borderId="7" xfId="0" applyFont="1" applyFill="1" applyBorder="1"/>
    <xf numFmtId="0" fontId="42" fillId="4" borderId="19" xfId="0" applyFont="1" applyFill="1" applyBorder="1" applyAlignment="1">
      <alignment horizontal="left"/>
    </xf>
    <xf numFmtId="171" fontId="11" fillId="4" borderId="15" xfId="0" applyNumberFormat="1" applyFont="1" applyFill="1" applyBorder="1"/>
    <xf numFmtId="171" fontId="42" fillId="4" borderId="13" xfId="1" applyNumberFormat="1" applyFont="1" applyFill="1" applyBorder="1"/>
    <xf numFmtId="171" fontId="42" fillId="4" borderId="13" xfId="0" applyNumberFormat="1" applyFont="1" applyFill="1" applyBorder="1"/>
    <xf numFmtId="171" fontId="11" fillId="4" borderId="15" xfId="4" applyNumberFormat="1" applyFont="1" applyFill="1" applyBorder="1"/>
    <xf numFmtId="171" fontId="42" fillId="4" borderId="15" xfId="4" applyNumberFormat="1" applyFont="1" applyFill="1" applyBorder="1"/>
    <xf numFmtId="171" fontId="8" fillId="0" borderId="0" xfId="0" applyNumberFormat="1" applyFont="1"/>
    <xf numFmtId="0" fontId="42" fillId="4" borderId="7" xfId="0" applyFont="1" applyFill="1" applyBorder="1" applyAlignment="1">
      <alignment horizontal="center"/>
    </xf>
    <xf numFmtId="0" fontId="42" fillId="4" borderId="12" xfId="0" applyFont="1" applyFill="1" applyBorder="1"/>
    <xf numFmtId="0" fontId="44" fillId="5" borderId="11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left" vertical="center" wrapText="1"/>
    </xf>
    <xf numFmtId="0" fontId="44" fillId="4" borderId="7" xfId="0" applyFont="1" applyFill="1" applyBorder="1" applyAlignment="1">
      <alignment horizontal="left"/>
    </xf>
    <xf numFmtId="168" fontId="44" fillId="4" borderId="12" xfId="0" applyNumberFormat="1" applyFont="1" applyFill="1" applyBorder="1" applyAlignment="1">
      <alignment horizontal="left"/>
    </xf>
    <xf numFmtId="0" fontId="44" fillId="4" borderId="12" xfId="0" applyFont="1" applyFill="1" applyBorder="1" applyAlignment="1">
      <alignment horizontal="left" wrapText="1"/>
    </xf>
    <xf numFmtId="0" fontId="44" fillId="4" borderId="7" xfId="0" applyFont="1" applyFill="1" applyBorder="1" applyAlignment="1">
      <alignment horizontal="left" wrapText="1"/>
    </xf>
    <xf numFmtId="0" fontId="42" fillId="5" borderId="11" xfId="0" applyFont="1" applyFill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right"/>
    </xf>
    <xf numFmtId="0" fontId="46" fillId="4" borderId="12" xfId="0" applyFont="1" applyFill="1" applyBorder="1" applyAlignment="1">
      <alignment vertical="center" wrapText="1"/>
    </xf>
    <xf numFmtId="172" fontId="11" fillId="4" borderId="12" xfId="0" applyNumberFormat="1" applyFont="1" applyFill="1" applyBorder="1"/>
    <xf numFmtId="0" fontId="42" fillId="4" borderId="7" xfId="0" applyFont="1" applyFill="1" applyBorder="1" applyAlignment="1">
      <alignment vertical="top"/>
    </xf>
    <xf numFmtId="170" fontId="11" fillId="4" borderId="7" xfId="0" applyNumberFormat="1" applyFont="1" applyFill="1" applyBorder="1"/>
    <xf numFmtId="170" fontId="11" fillId="4" borderId="11" xfId="0" applyNumberFormat="1" applyFont="1" applyFill="1" applyBorder="1"/>
    <xf numFmtId="170" fontId="11" fillId="4" borderId="12" xfId="0" applyNumberFormat="1" applyFont="1" applyFill="1" applyBorder="1" applyAlignment="1">
      <alignment horizontal="left"/>
    </xf>
    <xf numFmtId="174" fontId="44" fillId="4" borderId="12" xfId="0" applyNumberFormat="1" applyFont="1" applyFill="1" applyBorder="1" applyAlignment="1">
      <alignment horizontal="left"/>
    </xf>
    <xf numFmtId="174" fontId="44" fillId="4" borderId="12" xfId="0" applyNumberFormat="1" applyFont="1" applyFill="1" applyBorder="1" applyAlignment="1">
      <alignment horizontal="left" wrapText="1"/>
    </xf>
    <xf numFmtId="0" fontId="42" fillId="0" borderId="0" xfId="0" applyFont="1"/>
    <xf numFmtId="0" fontId="43" fillId="6" borderId="9" xfId="0" applyFont="1" applyFill="1" applyBorder="1" applyAlignment="1">
      <alignment horizontal="left" wrapText="1"/>
    </xf>
    <xf numFmtId="0" fontId="37" fillId="4" borderId="15" xfId="0" applyFont="1" applyFill="1" applyBorder="1" applyAlignment="1">
      <alignment vertical="center"/>
    </xf>
    <xf numFmtId="0" fontId="47" fillId="8" borderId="20" xfId="0" applyFont="1" applyFill="1" applyBorder="1" applyAlignment="1" applyProtection="1">
      <alignment vertical="top"/>
      <protection locked="0"/>
    </xf>
    <xf numFmtId="171" fontId="47" fillId="8" borderId="20" xfId="0" applyNumberFormat="1" applyFont="1" applyFill="1" applyBorder="1" applyAlignment="1" applyProtection="1">
      <alignment horizontal="center" vertical="top"/>
      <protection locked="0"/>
    </xf>
    <xf numFmtId="165" fontId="41" fillId="9" borderId="14" xfId="1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50" fillId="0" borderId="0" xfId="0" applyFont="1" applyAlignment="1">
      <alignment horizontal="center"/>
    </xf>
    <xf numFmtId="0" fontId="51" fillId="0" borderId="0" xfId="0" applyFont="1"/>
    <xf numFmtId="0" fontId="49" fillId="0" borderId="0" xfId="0" applyFont="1" applyAlignment="1">
      <alignment wrapText="1"/>
    </xf>
    <xf numFmtId="0" fontId="49" fillId="0" borderId="0" xfId="0" applyFont="1" applyAlignment="1">
      <alignment horizontal="center"/>
    </xf>
    <xf numFmtId="0" fontId="52" fillId="0" borderId="0" xfId="0" applyFont="1" applyProtection="1">
      <protection locked="0"/>
    </xf>
    <xf numFmtId="0" fontId="53" fillId="0" borderId="20" xfId="6" applyFont="1" applyBorder="1" applyAlignment="1">
      <alignment horizontal="center"/>
    </xf>
    <xf numFmtId="0" fontId="54" fillId="0" borderId="0" xfId="0" applyFont="1" applyAlignment="1">
      <alignment horizontal="right" vertic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9" xfId="0" applyFont="1" applyFill="1" applyBorder="1"/>
    <xf numFmtId="0" fontId="3" fillId="10" borderId="10" xfId="0" applyFont="1" applyFill="1" applyBorder="1"/>
    <xf numFmtId="0" fontId="24" fillId="10" borderId="8" xfId="0" applyFont="1" applyFill="1" applyBorder="1" applyAlignment="1">
      <alignment horizontal="center"/>
    </xf>
    <xf numFmtId="0" fontId="24" fillId="10" borderId="9" xfId="0" applyFont="1" applyFill="1" applyBorder="1"/>
    <xf numFmtId="0" fontId="24" fillId="10" borderId="10" xfId="0" applyFont="1" applyFill="1" applyBorder="1"/>
    <xf numFmtId="0" fontId="24" fillId="10" borderId="9" xfId="0" applyFont="1" applyFill="1" applyBorder="1" applyAlignment="1">
      <alignment horizontal="center"/>
    </xf>
    <xf numFmtId="0" fontId="24" fillId="10" borderId="9" xfId="0" applyFont="1" applyFill="1" applyBorder="1" applyAlignment="1">
      <alignment horizontal="left"/>
    </xf>
    <xf numFmtId="165" fontId="24" fillId="10" borderId="9" xfId="1" applyFont="1" applyFill="1" applyBorder="1" applyAlignment="1">
      <alignment horizontal="left"/>
    </xf>
    <xf numFmtId="165" fontId="24" fillId="10" borderId="9" xfId="1" applyFont="1" applyFill="1" applyBorder="1" applyAlignment="1">
      <alignment horizontal="center"/>
    </xf>
    <xf numFmtId="165" fontId="24" fillId="10" borderId="10" xfId="1" applyFont="1" applyFill="1" applyBorder="1" applyAlignment="1">
      <alignment horizontal="center"/>
    </xf>
    <xf numFmtId="165" fontId="24" fillId="10" borderId="9" xfId="1" applyFont="1" applyFill="1" applyBorder="1" applyAlignment="1">
      <alignment horizontal="left" wrapText="1"/>
    </xf>
    <xf numFmtId="0" fontId="4" fillId="10" borderId="9" xfId="0" applyFont="1" applyFill="1" applyBorder="1"/>
    <xf numFmtId="0" fontId="24" fillId="10" borderId="9" xfId="0" applyFont="1" applyFill="1" applyBorder="1" applyAlignment="1">
      <alignment wrapText="1"/>
    </xf>
    <xf numFmtId="0" fontId="24" fillId="10" borderId="9" xfId="0" applyFont="1" applyFill="1" applyBorder="1" applyAlignment="1">
      <alignment horizontal="center" wrapText="1"/>
    </xf>
    <xf numFmtId="0" fontId="24" fillId="10" borderId="10" xfId="0" applyFont="1" applyFill="1" applyBorder="1" applyAlignment="1">
      <alignment horizontal="center"/>
    </xf>
    <xf numFmtId="0" fontId="43" fillId="10" borderId="9" xfId="0" applyFont="1" applyFill="1" applyBorder="1" applyAlignment="1">
      <alignment horizontal="center" wrapText="1"/>
    </xf>
    <xf numFmtId="0" fontId="24" fillId="10" borderId="9" xfId="0" applyFont="1" applyFill="1" applyBorder="1" applyAlignment="1">
      <alignment horizontal="left" wrapText="1"/>
    </xf>
    <xf numFmtId="165" fontId="43" fillId="10" borderId="9" xfId="1" applyFont="1" applyFill="1" applyBorder="1" applyAlignment="1">
      <alignment horizontal="left" wrapText="1"/>
    </xf>
    <xf numFmtId="0" fontId="24" fillId="10" borderId="18" xfId="0" applyFont="1" applyFill="1" applyBorder="1"/>
    <xf numFmtId="0" fontId="24" fillId="10" borderId="9" xfId="0" applyFont="1" applyFill="1" applyBorder="1" applyAlignment="1">
      <alignment horizontal="left" vertical="center"/>
    </xf>
    <xf numFmtId="0" fontId="24" fillId="10" borderId="9" xfId="0" applyFont="1" applyFill="1" applyBorder="1" applyAlignment="1">
      <alignment horizontal="left" vertical="center" wrapText="1"/>
    </xf>
    <xf numFmtId="165" fontId="24" fillId="10" borderId="10" xfId="1" applyFont="1" applyFill="1" applyBorder="1"/>
    <xf numFmtId="0" fontId="24" fillId="10" borderId="10" xfId="0" applyFont="1" applyFill="1" applyBorder="1" applyAlignment="1">
      <alignment wrapText="1"/>
    </xf>
    <xf numFmtId="0" fontId="43" fillId="10" borderId="9" xfId="0" applyFont="1" applyFill="1" applyBorder="1" applyAlignment="1">
      <alignment wrapText="1"/>
    </xf>
    <xf numFmtId="0" fontId="37" fillId="4" borderId="12" xfId="0" applyFont="1" applyFill="1" applyBorder="1" applyAlignment="1">
      <alignment vertical="center" wrapText="1"/>
    </xf>
    <xf numFmtId="9" fontId="56" fillId="0" borderId="16" xfId="0" applyNumberFormat="1" applyFont="1" applyBorder="1" applyAlignment="1">
      <alignment horizontal="center" vertical="center"/>
    </xf>
    <xf numFmtId="9" fontId="5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10" borderId="0" xfId="0" applyFont="1" applyFill="1" applyAlignment="1">
      <alignment horizontal="left" vertical="center"/>
    </xf>
    <xf numFmtId="0" fontId="55" fillId="0" borderId="0" xfId="0" applyFont="1" applyAlignment="1">
      <alignment horizontal="right"/>
    </xf>
    <xf numFmtId="9" fontId="56" fillId="0" borderId="0" xfId="0" applyNumberFormat="1" applyFont="1" applyAlignment="1">
      <alignment horizontal="left" vertical="center"/>
    </xf>
    <xf numFmtId="9" fontId="56" fillId="0" borderId="17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57" fillId="5" borderId="11" xfId="0" applyFont="1" applyFill="1" applyBorder="1" applyAlignment="1">
      <alignment horizontal="center" vertical="center"/>
    </xf>
    <xf numFmtId="0" fontId="57" fillId="4" borderId="7" xfId="0" applyFont="1" applyFill="1" applyBorder="1" applyAlignment="1">
      <alignment horizontal="center"/>
    </xf>
    <xf numFmtId="0" fontId="57" fillId="4" borderId="12" xfId="0" applyFont="1" applyFill="1" applyBorder="1" applyAlignment="1"/>
    <xf numFmtId="0" fontId="57" fillId="5" borderId="11" xfId="0" applyFont="1" applyFill="1" applyBorder="1" applyAlignment="1">
      <alignment horizontal="center"/>
    </xf>
    <xf numFmtId="0" fontId="57" fillId="4" borderId="7" xfId="0" applyFont="1" applyFill="1" applyBorder="1" applyAlignment="1">
      <alignment horizontal="center" vertical="top" wrapText="1"/>
    </xf>
    <xf numFmtId="1" fontId="57" fillId="4" borderId="12" xfId="1" applyNumberFormat="1" applyFont="1" applyFill="1" applyBorder="1" applyAlignment="1">
      <alignment horizontal="center" vertical="center"/>
    </xf>
    <xf numFmtId="0" fontId="57" fillId="4" borderId="12" xfId="0" applyFont="1" applyFill="1" applyBorder="1"/>
    <xf numFmtId="0" fontId="34" fillId="0" borderId="12" xfId="0" applyFont="1" applyFill="1" applyBorder="1"/>
    <xf numFmtId="6" fontId="0" fillId="0" borderId="0" xfId="0" applyNumberFormat="1"/>
    <xf numFmtId="9" fontId="57" fillId="4" borderId="7" xfId="2" applyFont="1" applyFill="1" applyBorder="1" applyAlignment="1">
      <alignment horizontal="center"/>
    </xf>
    <xf numFmtId="171" fontId="57" fillId="4" borderId="12" xfId="4" applyNumberFormat="1" applyFont="1" applyFill="1" applyBorder="1"/>
    <xf numFmtId="171" fontId="57" fillId="4" borderId="15" xfId="4" applyNumberFormat="1" applyFont="1" applyFill="1" applyBorder="1"/>
    <xf numFmtId="0" fontId="57" fillId="4" borderId="19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14" fontId="1" fillId="2" borderId="6" xfId="3" applyNumberFormat="1" applyFont="1" applyFill="1" applyBorder="1" applyAlignment="1">
      <alignment horizontal="left" vertical="center"/>
    </xf>
    <xf numFmtId="14" fontId="1" fillId="7" borderId="6" xfId="3" applyNumberFormat="1" applyFont="1" applyFill="1" applyBorder="1" applyAlignment="1">
      <alignment horizontal="left" vertical="center"/>
    </xf>
    <xf numFmtId="0" fontId="56" fillId="0" borderId="0" xfId="0" applyFont="1"/>
    <xf numFmtId="0" fontId="39" fillId="4" borderId="7" xfId="0" applyFont="1" applyFill="1" applyBorder="1" applyAlignment="1">
      <alignment horizontal="left" wrapText="1"/>
    </xf>
  </cellXfs>
  <cellStyles count="11">
    <cellStyle name="Comma" xfId="1" builtinId="3"/>
    <cellStyle name="Comma 10 2 2" xfId="10" xr:uid="{E7A09864-411B-4889-8446-D1BE9769ACB6}"/>
    <cellStyle name="Comma 2 3" xfId="8" xr:uid="{14D8EB33-2073-4608-85FC-3436BAA47F80}"/>
    <cellStyle name="Currency" xfId="4" builtinId="4"/>
    <cellStyle name="Hyperlink" xfId="3" builtinId="8"/>
    <cellStyle name="Normal" xfId="0" builtinId="0"/>
    <cellStyle name="Normal 10" xfId="7" xr:uid="{BBE553BE-8167-4F12-827C-A0562CC7A57E}"/>
    <cellStyle name="Normal 2" xfId="6" xr:uid="{EC846165-EBE9-40F2-8B71-6ED2BD29DE4E}"/>
    <cellStyle name="Normal 3" xfId="5" xr:uid="{00000000-0005-0000-0000-000004000000}"/>
    <cellStyle name="Percent" xfId="2" builtinId="5"/>
    <cellStyle name="Percent 2" xfId="9" xr:uid="{DB7D6EF5-62A2-4376-8201-20BF2DF1DF8C}"/>
  </cellStyles>
  <dxfs count="255">
    <dxf>
      <font>
        <strike val="0"/>
        <outline val="0"/>
        <shadow val="0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numFmt numFmtId="175" formatCode="d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171" formatCode="&quot;R&quot;#,##0.00"/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171" formatCode="&quot;R&quot;#,##0.00"/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171" formatCode="&quot;R&quot;#,##0.00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&quot;R&quot;#,##0.00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71" formatCode="&quot;R&quot;#,##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71" formatCode="&quot;R&quot;#,##0.00"/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family val="2"/>
        <scheme val="none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sz val="10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70" formatCode="&quot;R&quot;\ #,##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rgb="FF21458A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70" formatCode="&quot;R&quot;\ #,##0.00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numFmt numFmtId="170" formatCode="&quot;R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rgb="FF21458A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vertical="center" textRotation="0" wrapText="0" indent="0" justifyLastLine="0" shrinkToFit="0" readingOrder="0"/>
    </dxf>
    <dxf>
      <border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rgb="FF21458A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rgb="FF21458A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strike val="0"/>
        <outline val="0"/>
        <shadow val="0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strike val="0"/>
        <outline val="0"/>
        <shadow val="0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vertAlign val="baseline"/>
        <sz val="10"/>
        <color theme="1" tint="0.249977111117893"/>
        <name val="Lato"/>
        <scheme val="none"/>
      </font>
      <numFmt numFmtId="175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vertAlign val="baseline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Lato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Lato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vertAlign val="baseline"/>
        <color theme="1" tint="0.249977111117893"/>
        <name val="Lato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Lato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numFmt numFmtId="168" formatCode="dd\ mmm\ 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numFmt numFmtId="174" formatCode="[$-409]d\-mmm\-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numFmt numFmtId="174" formatCode="[$-409]d\-mmm\-yyyy;@"/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9"/>
        <color theme="1" tint="0.249977111117893"/>
        <name val="Lato"/>
        <family val="2"/>
        <scheme val="none"/>
      </font>
    </dxf>
    <dxf>
      <border outline="0"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8A8A8D"/>
      <color rgb="FF8A8996"/>
      <color rgb="FF8A8A91"/>
      <color rgb="FFE9EDF4"/>
      <color rgb="FF444447"/>
      <color rgb="FF21458A"/>
      <color rgb="FFDA571D"/>
      <color rgb="FF57B8FF"/>
      <color rgb="FF20458A"/>
      <color rgb="FFDA56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A57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39-41D6-9E0A-77B46FD98CA0}"/>
              </c:ext>
            </c:extLst>
          </c:dPt>
          <c:dPt>
            <c:idx val="1"/>
            <c:invertIfNegative val="0"/>
            <c:bubble3D val="0"/>
            <c:spPr>
              <a:solidFill>
                <a:srgbClr val="57B8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39-41D6-9E0A-77B46FD98CA0}"/>
              </c:ext>
            </c:extLst>
          </c:dPt>
          <c:dPt>
            <c:idx val="2"/>
            <c:invertIfNegative val="0"/>
            <c:bubble3D val="0"/>
            <c:spPr>
              <a:solidFill>
                <a:srgbClr val="2145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39-41D6-9E0A-77B46FD98C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39-41D6-9E0A-77B46FD98CA0}"/>
              </c:ext>
            </c:extLst>
          </c:dPt>
          <c:dPt>
            <c:idx val="4"/>
            <c:invertIfNegative val="0"/>
            <c:bubble3D val="0"/>
            <c:spPr>
              <a:solidFill>
                <a:srgbClr val="E9EDF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39-41D6-9E0A-77B46FD98CA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39-41D6-9E0A-77B46FD98CA0}"/>
              </c:ext>
            </c:extLst>
          </c:dPt>
          <c:dPt>
            <c:idx val="6"/>
            <c:invertIfNegative val="0"/>
            <c:bubble3D val="0"/>
            <c:spPr>
              <a:solidFill>
                <a:srgbClr val="8A8A8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39-41D6-9E0A-77B46FD98CA0}"/>
              </c:ext>
            </c:extLst>
          </c:dPt>
          <c:cat>
            <c:strRef>
              <c:f>Sheet2!$C$3:$C$9</c:f>
              <c:strCache>
                <c:ptCount val="7"/>
                <c:pt idx="0">
                  <c:v>General</c:v>
                </c:pt>
                <c:pt idx="1">
                  <c:v>Management Control</c:v>
                </c:pt>
                <c:pt idx="2">
                  <c:v>Skills Development</c:v>
                </c:pt>
                <c:pt idx="3">
                  <c:v>Preferential Procurement</c:v>
                </c:pt>
                <c:pt idx="4">
                  <c:v>Enterprise Development</c:v>
                </c:pt>
                <c:pt idx="5">
                  <c:v>Supplier Development</c:v>
                </c:pt>
                <c:pt idx="6">
                  <c:v>Socio-economic Development</c:v>
                </c:pt>
              </c:strCache>
            </c:strRef>
          </c:cat>
          <c:val>
            <c:numRef>
              <c:f>Sheet2!$D$3:$D$9</c:f>
              <c:numCache>
                <c:formatCode>0%</c:formatCode>
                <c:ptCount val="7"/>
                <c:pt idx="0">
                  <c:v>0.8</c:v>
                </c:pt>
                <c:pt idx="1">
                  <c:v>0.18333333333333335</c:v>
                </c:pt>
                <c:pt idx="2">
                  <c:v>0.19375000000000001</c:v>
                </c:pt>
                <c:pt idx="3">
                  <c:v>0.44444444444444448</c:v>
                </c:pt>
                <c:pt idx="4">
                  <c:v>0.4</c:v>
                </c:pt>
                <c:pt idx="5">
                  <c:v>0.8</c:v>
                </c:pt>
                <c:pt idx="6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39-41D6-9E0A-77B46FD98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8362432"/>
        <c:axId val="418362824"/>
      </c:barChart>
      <c:catAx>
        <c:axId val="41836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62824"/>
        <c:crosses val="autoZero"/>
        <c:auto val="1"/>
        <c:lblAlgn val="ctr"/>
        <c:lblOffset val="100"/>
        <c:noMultiLvlLbl val="0"/>
      </c:catAx>
      <c:valAx>
        <c:axId val="41836282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6243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1800225</xdr:colOff>
      <xdr:row>3</xdr:row>
      <xdr:rowOff>352424</xdr:rowOff>
    </xdr:from>
    <xdr:to>
      <xdr:col>10</xdr:col>
      <xdr:colOff>581025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F8223-4A2D-4BBF-9600-16D1D88C7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129540</xdr:rowOff>
    </xdr:to>
    <xdr:sp macro="" textlink="">
      <xdr:nvSpPr>
        <xdr:cNvPr id="1025" name="AutoShape 1" descr="Image">
          <a:extLst>
            <a:ext uri="{FF2B5EF4-FFF2-40B4-BE49-F238E27FC236}">
              <a16:creationId xmlns:a16="http://schemas.microsoft.com/office/drawing/2014/main" id="{9E939EB8-94E1-17D8-1D4A-F8701F22B413}"/>
            </a:ext>
          </a:extLst>
        </xdr:cNvPr>
        <xdr:cNvSpPr>
          <a:spLocks noChangeAspect="1" noChangeArrowheads="1"/>
        </xdr:cNvSpPr>
      </xdr:nvSpPr>
      <xdr:spPr bwMode="auto">
        <a:xfrm>
          <a:off x="1104138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50798</xdr:colOff>
      <xdr:row>10</xdr:row>
      <xdr:rowOff>57994</xdr:rowOff>
    </xdr:from>
    <xdr:to>
      <xdr:col>15</xdr:col>
      <xdr:colOff>482599</xdr:colOff>
      <xdr:row>17</xdr:row>
      <xdr:rowOff>96656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2EB442-07DA-AAE9-E69F-C8A4491D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7065" y="2293194"/>
          <a:ext cx="3335867" cy="1283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876300</xdr:colOff>
      <xdr:row>0</xdr:row>
      <xdr:rowOff>57150</xdr:rowOff>
    </xdr:from>
    <xdr:to>
      <xdr:col>7</xdr:col>
      <xdr:colOff>2457125</xdr:colOff>
      <xdr:row>2</xdr:row>
      <xdr:rowOff>180900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14FFF1-118B-495C-B2AA-4617E9DC0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57150"/>
          <a:ext cx="2600000" cy="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0</xdr:col>
      <xdr:colOff>476250</xdr:colOff>
      <xdr:row>0</xdr:row>
      <xdr:rowOff>428625</xdr:rowOff>
    </xdr:to>
    <xdr:pic>
      <xdr:nvPicPr>
        <xdr:cNvPr id="2" name="Graphic 1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9DC55-E7E4-43B0-9022-C9F8C7DFBF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85725" y="66675"/>
          <a:ext cx="390525" cy="3619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38100</xdr:rowOff>
    </xdr:from>
    <xdr:to>
      <xdr:col>0</xdr:col>
      <xdr:colOff>495300</xdr:colOff>
      <xdr:row>1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55F64D6-28AF-4EA0-9AC7-43042C58C051}"/>
            </a:ext>
          </a:extLst>
        </xdr:cNvPr>
        <xdr:cNvSpPr/>
      </xdr:nvSpPr>
      <xdr:spPr>
        <a:xfrm>
          <a:off x="47625" y="38100"/>
          <a:ext cx="447675" cy="428625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4</xdr:col>
      <xdr:colOff>4200525</xdr:colOff>
      <xdr:row>0</xdr:row>
      <xdr:rowOff>142875</xdr:rowOff>
    </xdr:from>
    <xdr:to>
      <xdr:col>6</xdr:col>
      <xdr:colOff>1059182</xdr:colOff>
      <xdr:row>3</xdr:row>
      <xdr:rowOff>76107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4D26A4-053F-4635-8F75-39109A389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48650" y="142875"/>
          <a:ext cx="3800000" cy="7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0</xdr:col>
      <xdr:colOff>476250</xdr:colOff>
      <xdr:row>0</xdr:row>
      <xdr:rowOff>434340</xdr:rowOff>
    </xdr:to>
    <xdr:pic>
      <xdr:nvPicPr>
        <xdr:cNvPr id="2" name="Graphic 1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CA93CD-C9DB-4711-9039-52BB54725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85725" y="66675"/>
          <a:ext cx="390525" cy="3619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38100</xdr:rowOff>
    </xdr:from>
    <xdr:to>
      <xdr:col>0</xdr:col>
      <xdr:colOff>504825</xdr:colOff>
      <xdr:row>0</xdr:row>
      <xdr:rowOff>466725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141AEC0-8ACA-4AA7-A970-8DFD86351AF2}"/>
            </a:ext>
          </a:extLst>
        </xdr:cNvPr>
        <xdr:cNvSpPr/>
      </xdr:nvSpPr>
      <xdr:spPr>
        <a:xfrm>
          <a:off x="47625" y="38100"/>
          <a:ext cx="457200" cy="428625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6</xdr:col>
      <xdr:colOff>561975</xdr:colOff>
      <xdr:row>0</xdr:row>
      <xdr:rowOff>228600</xdr:rowOff>
    </xdr:from>
    <xdr:to>
      <xdr:col>11</xdr:col>
      <xdr:colOff>78106</xdr:colOff>
      <xdr:row>3</xdr:row>
      <xdr:rowOff>98967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91EEC6-B744-4D53-9A0D-CB9BCB62E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72475" y="228600"/>
          <a:ext cx="3800000" cy="7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0</xdr:col>
      <xdr:colOff>466725</xdr:colOff>
      <xdr:row>0</xdr:row>
      <xdr:rowOff>419100</xdr:rowOff>
    </xdr:to>
    <xdr:pic>
      <xdr:nvPicPr>
        <xdr:cNvPr id="2" name="Graphic 1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3F1928-5041-45F5-9D4D-80B8E2067E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76200" y="57150"/>
          <a:ext cx="390525" cy="3619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0</xdr:row>
      <xdr:rowOff>38100</xdr:rowOff>
    </xdr:from>
    <xdr:to>
      <xdr:col>0</xdr:col>
      <xdr:colOff>495300</xdr:colOff>
      <xdr:row>1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D4AFCF0-56A0-43BB-B22C-5D3A5C15810D}"/>
            </a:ext>
          </a:extLst>
        </xdr:cNvPr>
        <xdr:cNvSpPr/>
      </xdr:nvSpPr>
      <xdr:spPr>
        <a:xfrm>
          <a:off x="47625" y="38100"/>
          <a:ext cx="447675" cy="409575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5</xdr:col>
      <xdr:colOff>876300</xdr:colOff>
      <xdr:row>0</xdr:row>
      <xdr:rowOff>342900</xdr:rowOff>
    </xdr:from>
    <xdr:to>
      <xdr:col>9</xdr:col>
      <xdr:colOff>742475</xdr:colOff>
      <xdr:row>4</xdr:row>
      <xdr:rowOff>66582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BF2A2F-562D-4AC6-A33E-19C1A2FB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72475" y="342900"/>
          <a:ext cx="3800000" cy="7428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495300</xdr:colOff>
      <xdr:row>0</xdr:row>
      <xdr:rowOff>428625</xdr:rowOff>
    </xdr:to>
    <xdr:pic>
      <xdr:nvPicPr>
        <xdr:cNvPr id="2" name="Graphic 1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A60214-79B7-49AB-987D-32DE24C57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104775" y="66675"/>
          <a:ext cx="390525" cy="36195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0</xdr:row>
      <xdr:rowOff>47625</xdr:rowOff>
    </xdr:from>
    <xdr:to>
      <xdr:col>0</xdr:col>
      <xdr:colOff>504825</xdr:colOff>
      <xdr:row>0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DA585A4-0928-4B67-833A-6E24DF8F565A}"/>
            </a:ext>
          </a:extLst>
        </xdr:cNvPr>
        <xdr:cNvSpPr/>
      </xdr:nvSpPr>
      <xdr:spPr>
        <a:xfrm>
          <a:off x="57150" y="47625"/>
          <a:ext cx="447675" cy="428625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5</xdr:col>
      <xdr:colOff>695325</xdr:colOff>
      <xdr:row>0</xdr:row>
      <xdr:rowOff>276225</xdr:rowOff>
    </xdr:from>
    <xdr:to>
      <xdr:col>8</xdr:col>
      <xdr:colOff>681885</xdr:colOff>
      <xdr:row>3</xdr:row>
      <xdr:rowOff>171357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C8C674-EE82-4568-81CB-D976E3B9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76225"/>
          <a:ext cx="3800000" cy="7428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94192</xdr:colOff>
      <xdr:row>0</xdr:row>
      <xdr:rowOff>81492</xdr:rowOff>
    </xdr:from>
    <xdr:to>
      <xdr:col>0</xdr:col>
      <xdr:colOff>484717</xdr:colOff>
      <xdr:row>0</xdr:row>
      <xdr:rowOff>441325</xdr:rowOff>
    </xdr:to>
    <xdr:pic>
      <xdr:nvPicPr>
        <xdr:cNvPr id="2" name="Graphic 1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EA883-6B0A-439D-A8E7-6165DF526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94192" y="81492"/>
          <a:ext cx="390525" cy="359833"/>
        </a:xfrm>
        <a:prstGeom prst="rect">
          <a:avLst/>
        </a:prstGeom>
      </xdr:spPr>
    </xdr:pic>
    <xdr:clientData/>
  </xdr:twoCellAnchor>
  <xdr:twoCellAnchor>
    <xdr:from>
      <xdr:col>0</xdr:col>
      <xdr:colOff>65617</xdr:colOff>
      <xdr:row>0</xdr:row>
      <xdr:rowOff>52916</xdr:rowOff>
    </xdr:from>
    <xdr:to>
      <xdr:col>0</xdr:col>
      <xdr:colOff>513292</xdr:colOff>
      <xdr:row>0</xdr:row>
      <xdr:rowOff>486833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C22903D-727A-4FF1-8CC3-FA0CAE93A490}"/>
            </a:ext>
          </a:extLst>
        </xdr:cNvPr>
        <xdr:cNvSpPr/>
      </xdr:nvSpPr>
      <xdr:spPr>
        <a:xfrm>
          <a:off x="65617" y="52916"/>
          <a:ext cx="447675" cy="433917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6</xdr:col>
      <xdr:colOff>83609</xdr:colOff>
      <xdr:row>0</xdr:row>
      <xdr:rowOff>334433</xdr:rowOff>
    </xdr:from>
    <xdr:to>
      <xdr:col>9</xdr:col>
      <xdr:colOff>411218</xdr:colOff>
      <xdr:row>3</xdr:row>
      <xdr:rowOff>167123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1452EE-BE9E-40D2-856F-5E45BEF5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2759" y="334433"/>
          <a:ext cx="3801058" cy="7470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136525</xdr:colOff>
      <xdr:row>0</xdr:row>
      <xdr:rowOff>95249</xdr:rowOff>
    </xdr:from>
    <xdr:to>
      <xdr:col>0</xdr:col>
      <xdr:colOff>527050</xdr:colOff>
      <xdr:row>0</xdr:row>
      <xdr:rowOff>452966</xdr:rowOff>
    </xdr:to>
    <xdr:pic>
      <xdr:nvPicPr>
        <xdr:cNvPr id="2" name="Graphic 1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D07A1-7B54-4A78-AA20-723D698B2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136525" y="95249"/>
          <a:ext cx="390525" cy="357717"/>
        </a:xfrm>
        <a:prstGeom prst="rect">
          <a:avLst/>
        </a:prstGeom>
      </xdr:spPr>
    </xdr:pic>
    <xdr:clientData/>
  </xdr:twoCellAnchor>
  <xdr:twoCellAnchor>
    <xdr:from>
      <xdr:col>0</xdr:col>
      <xdr:colOff>97367</xdr:colOff>
      <xdr:row>0</xdr:row>
      <xdr:rowOff>66675</xdr:rowOff>
    </xdr:from>
    <xdr:to>
      <xdr:col>0</xdr:col>
      <xdr:colOff>545042</xdr:colOff>
      <xdr:row>0</xdr:row>
      <xdr:rowOff>491067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131436D-365F-4706-82E9-E1B324E63E34}"/>
            </a:ext>
          </a:extLst>
        </xdr:cNvPr>
        <xdr:cNvSpPr/>
      </xdr:nvSpPr>
      <xdr:spPr>
        <a:xfrm>
          <a:off x="97367" y="66675"/>
          <a:ext cx="447675" cy="424392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5</xdr:col>
      <xdr:colOff>0</xdr:colOff>
      <xdr:row>0</xdr:row>
      <xdr:rowOff>274107</xdr:rowOff>
    </xdr:from>
    <xdr:to>
      <xdr:col>8</xdr:col>
      <xdr:colOff>240825</xdr:colOff>
      <xdr:row>3</xdr:row>
      <xdr:rowOff>138547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825D5D-087F-4CD5-9D9D-06F51731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3817" y="274107"/>
          <a:ext cx="3802117" cy="7407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87842</xdr:colOff>
      <xdr:row>0</xdr:row>
      <xdr:rowOff>76201</xdr:rowOff>
    </xdr:from>
    <xdr:to>
      <xdr:col>0</xdr:col>
      <xdr:colOff>478367</xdr:colOff>
      <xdr:row>0</xdr:row>
      <xdr:rowOff>441326</xdr:rowOff>
    </xdr:to>
    <xdr:pic>
      <xdr:nvPicPr>
        <xdr:cNvPr id="3" name="Graphic 2" descr="Hous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A486AE-6A4B-4FA9-8FC6-B1CBC7299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 t="7317" b="-1"/>
        <a:stretch/>
      </xdr:blipFill>
      <xdr:spPr>
        <a:xfrm>
          <a:off x="87842" y="76201"/>
          <a:ext cx="390525" cy="365125"/>
        </a:xfrm>
        <a:prstGeom prst="rect">
          <a:avLst/>
        </a:prstGeom>
      </xdr:spPr>
    </xdr:pic>
    <xdr:clientData/>
  </xdr:twoCellAnchor>
  <xdr:twoCellAnchor>
    <xdr:from>
      <xdr:col>0</xdr:col>
      <xdr:colOff>49742</xdr:colOff>
      <xdr:row>0</xdr:row>
      <xdr:rowOff>37042</xdr:rowOff>
    </xdr:from>
    <xdr:to>
      <xdr:col>0</xdr:col>
      <xdr:colOff>497417</xdr:colOff>
      <xdr:row>0</xdr:row>
      <xdr:rowOff>465667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60B96CE-1B78-4068-9D93-2063ABB8F337}"/>
            </a:ext>
          </a:extLst>
        </xdr:cNvPr>
        <xdr:cNvSpPr/>
      </xdr:nvSpPr>
      <xdr:spPr>
        <a:xfrm>
          <a:off x="49742" y="37042"/>
          <a:ext cx="447675" cy="428625"/>
        </a:xfrm>
        <a:prstGeom prst="ellipse">
          <a:avLst/>
        </a:prstGeom>
        <a:noFill/>
        <a:ln w="28575">
          <a:solidFill>
            <a:srgbClr val="2145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5</xdr:col>
      <xdr:colOff>878417</xdr:colOff>
      <xdr:row>0</xdr:row>
      <xdr:rowOff>264585</xdr:rowOff>
    </xdr:from>
    <xdr:to>
      <xdr:col>8</xdr:col>
      <xdr:colOff>545625</xdr:colOff>
      <xdr:row>3</xdr:row>
      <xdr:rowOff>65525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FA9B6C-0656-4226-ACE9-9D042DBA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95417" y="264585"/>
          <a:ext cx="3800000" cy="7428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AuditSchedule" displayName="AuditSchedule" ref="B4:H15" totalsRowShown="0" headerRowDxfId="254" dataDxfId="252" headerRowBorderDxfId="253" tableBorderDxfId="251" totalsRowBorderDxfId="250">
  <autoFilter ref="B4:H15" xr:uid="{00000000-0009-0000-0100-000005000000}"/>
  <tableColumns count="7">
    <tableColumn id="1" xr3:uid="{00000000-0010-0000-0000-000001000000}" name="COUNT" dataDxfId="249">
      <calculatedColumnFormula>ROW(A1)</calculatedColumnFormula>
    </tableColumn>
    <tableColumn id="2" xr3:uid="{00000000-0010-0000-0000-000002000000}" name="AUDIT TASK" dataDxfId="248"/>
    <tableColumn id="3" xr3:uid="{00000000-0010-0000-0000-000003000000}" name="RESPONSIBLE PARTY" dataDxfId="247"/>
    <tableColumn id="7" xr3:uid="{A7A4DA8E-1993-4D47-B0BF-6AE61FDACEAB}" name="START DATE" dataDxfId="246"/>
    <tableColumn id="4" xr3:uid="{00000000-0010-0000-0000-000004000000}" name="DUE DATE" dataDxfId="245"/>
    <tableColumn id="6" xr3:uid="{00000000-0010-0000-0000-000006000000}" name="STATUS" dataDxfId="244"/>
    <tableColumn id="5" xr3:uid="{00000000-0010-0000-0000-000005000000}" name="COMMENTS" dataDxfId="24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neral" displayName="General" ref="C9:G14" totalsRowShown="0" headerRowDxfId="242" dataDxfId="240" headerRowBorderDxfId="241" tableBorderDxfId="239" totalsRowBorderDxfId="238">
  <autoFilter ref="C9:G14" xr:uid="{00000000-0009-0000-0100-000002000000}"/>
  <sortState xmlns:xlrd2="http://schemas.microsoft.com/office/spreadsheetml/2017/richdata2" ref="C10:G14">
    <sortCondition ref="F10"/>
  </sortState>
  <tableColumns count="5">
    <tableColumn id="1" xr3:uid="{00000000-0010-0000-0100-000001000000}" name="Count" dataDxfId="237">
      <calculatedColumnFormula>ROW(A1)</calculatedColumnFormula>
    </tableColumn>
    <tableColumn id="2" xr3:uid="{00000000-0010-0000-0100-000002000000}" name="Pillar" dataDxfId="236"/>
    <tableColumn id="3" xr3:uid="{00000000-0010-0000-0100-000003000000}" name="Description " dataDxfId="235"/>
    <tableColumn id="6" xr3:uid="{00000000-0010-0000-0100-000006000000}" name="Status" dataDxfId="234"/>
    <tableColumn id="4" xr3:uid="{00000000-0010-0000-0100-000004000000}" name="Comment" dataDxfId="2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nagement_1" displayName="Management_1" ref="B8:E14" totalsRowShown="0" headerRowDxfId="232" dataDxfId="230" headerRowBorderDxfId="231" tableBorderDxfId="229" totalsRowBorderDxfId="228">
  <autoFilter ref="B8:E14" xr:uid="{00000000-0009-0000-0100-000003000000}"/>
  <tableColumns count="4">
    <tableColumn id="1" xr3:uid="{00000000-0010-0000-0200-000001000000}" name="Count" dataDxfId="227">
      <calculatedColumnFormula>ROW(B1)</calculatedColumnFormula>
    </tableColumn>
    <tableColumn id="2" xr3:uid="{00000000-0010-0000-0200-000002000000}" name="Description" dataDxfId="65"/>
    <tableColumn id="4" xr3:uid="{00000000-0010-0000-0200-000004000000}" name="Status" dataDxfId="226"/>
    <tableColumn id="6" xr3:uid="{00000000-0010-0000-0200-000006000000}" name="Comment" dataDxfId="2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nagement_2" displayName="Management_2" ref="B17:L18" totalsRowShown="0" headerRowDxfId="224" dataDxfId="222" headerRowBorderDxfId="223" tableBorderDxfId="221" totalsRowBorderDxfId="220" headerRowCellStyle="Comma">
  <autoFilter ref="B17:L18" xr:uid="{00000000-0009-0000-0100-000004000000}"/>
  <sortState xmlns:xlrd2="http://schemas.microsoft.com/office/spreadsheetml/2017/richdata2" ref="B18:L18">
    <sortCondition ref="G18"/>
  </sortState>
  <tableColumns count="11">
    <tableColumn id="1" xr3:uid="{00000000-0010-0000-0300-000001000000}" name="Count" dataDxfId="219">
      <calculatedColumnFormula>ROW(A1)</calculatedColumnFormula>
    </tableColumn>
    <tableColumn id="2" xr3:uid="{00000000-0010-0000-0300-000002000000}" name="Name of Individual:" dataDxfId="218"/>
    <tableColumn id="3" xr3:uid="{00000000-0010-0000-0300-000003000000}" name="Management Level" dataDxfId="3"/>
    <tableColumn id="4" xr3:uid="{00000000-0010-0000-0300-000004000000}" name="Race " dataDxfId="2" dataCellStyle="Comma"/>
    <tableColumn id="5" xr3:uid="{00000000-0010-0000-0300-000005000000}" name="Gender" dataDxfId="1" dataCellStyle="Comma"/>
    <tableColumn id="6" xr3:uid="{00000000-0010-0000-0300-000006000000}" name="Interview" dataDxfId="217"/>
    <tableColumn id="7" xr3:uid="{00000000-0010-0000-0300-000007000000}" name="Certified ID copy" dataDxfId="216"/>
    <tableColumn id="8" xr3:uid="{00000000-0010-0000-0300-000008000000}" name="Payslip" dataDxfId="215"/>
    <tableColumn id="9" xr3:uid="{00000000-0010-0000-0300-000009000000}" name="Employment contract" dataDxfId="0"/>
    <tableColumn id="11" xr3:uid="{48AAB85B-5D7E-4B5D-855F-17AE44810B35}" name="EEA1 Form" dataDxfId="214"/>
    <tableColumn id="10" xr3:uid="{00000000-0010-0000-0300-00000A000000}" name="Disabled _x000a_doc note" dataDxfId="2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Skills_1" displayName="Skills_1" ref="B8:E13" totalsRowShown="0" headerRowDxfId="212" dataDxfId="210" headerRowBorderDxfId="211" tableBorderDxfId="209" totalsRowBorderDxfId="208">
  <autoFilter ref="B8:E13" xr:uid="{00000000-0009-0000-0100-000001000000}"/>
  <tableColumns count="4">
    <tableColumn id="1" xr3:uid="{00000000-0010-0000-0400-000001000000}" name="Count" dataDxfId="207">
      <calculatedColumnFormula>ROW(A1)</calculatedColumnFormula>
    </tableColumn>
    <tableColumn id="2" xr3:uid="{00000000-0010-0000-0400-000002000000}" name="Description " dataDxfId="206"/>
    <tableColumn id="3" xr3:uid="{00000000-0010-0000-0400-000003000000}" name="Status" dataDxfId="205"/>
    <tableColumn id="4" xr3:uid="{00000000-0010-0000-0400-000004000000}" name="Comment" dataDxfId="20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kills_2" displayName="Skills_2" ref="B17:M21" totalsRowShown="0" headerRowDxfId="203" dataDxfId="201" headerRowBorderDxfId="202" tableBorderDxfId="200" totalsRowBorderDxfId="199">
  <autoFilter ref="B17:M21" xr:uid="{00000000-0009-0000-0100-000006000000}"/>
  <tableColumns count="12">
    <tableColumn id="1" xr3:uid="{00000000-0010-0000-0500-000001000000}" name="Count" dataDxfId="198">
      <calculatedColumnFormula>ROW(A1)</calculatedColumnFormula>
    </tableColumn>
    <tableColumn id="2" xr3:uid="{00000000-0010-0000-0500-000002000000}" name="Training" dataDxfId="197"/>
    <tableColumn id="11" xr3:uid="{0767C3C3-CC6E-489E-B9BD-F03E934F9AF7}" name="Course / Education Detail" dataDxfId="196"/>
    <tableColumn id="3" xr3:uid="{00000000-0010-0000-0500-000003000000}" name="Category" dataDxfId="195"/>
    <tableColumn id="4" xr3:uid="{00000000-0010-0000-0500-000004000000}" name="Total Costs Incurred" dataDxfId="194" dataCellStyle="Currency"/>
    <tableColumn id="5" xr3:uid="{00000000-0010-0000-0500-000005000000}" name="Race" dataDxfId="193"/>
    <tableColumn id="10" xr3:uid="{AB47F7FD-278B-46F9-A18B-B81D6D5ECA9E}" name="Gender" dataDxfId="192"/>
    <tableColumn id="6" xr3:uid="{00000000-0010-0000-0500-000006000000}" name="Proof of attendance" dataDxfId="191"/>
    <tableColumn id="7" xr3:uid="{00000000-0010-0000-0500-000007000000}" name="Proof of payment" dataDxfId="190"/>
    <tableColumn id="8" xr3:uid="{00000000-0010-0000-0500-000008000000}" name="Invoice" dataDxfId="189"/>
    <tableColumn id="9" xr3:uid="{00000000-0010-0000-0500-000009000000}" name="Certified _x000a_ID copy" dataDxfId="188"/>
    <tableColumn id="12" xr3:uid="{2F37491F-7351-492E-9801-402E75634029}" name="Bursary Contract" dataDxfId="18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Skills_3" displayName="Skills_3" ref="B25:R34" totalsRowShown="0" headerRowDxfId="186" dataDxfId="184" headerRowBorderDxfId="185" tableBorderDxfId="183" totalsRowBorderDxfId="182">
  <autoFilter ref="B25:R34" xr:uid="{00000000-0009-0000-0100-000008000000}"/>
  <tableColumns count="17">
    <tableColumn id="1" xr3:uid="{00000000-0010-0000-0600-000001000000}" name="Count" dataDxfId="181">
      <calculatedColumnFormula>ROW(B1)</calculatedColumnFormula>
    </tableColumn>
    <tableColumn id="2" xr3:uid="{00000000-0010-0000-0600-000002000000}" name="Name" dataDxfId="180"/>
    <tableColumn id="3" xr3:uid="{00000000-0010-0000-0600-000003000000}" name="Type" dataDxfId="179"/>
    <tableColumn id="4" xr3:uid="{00000000-0010-0000-0600-000004000000}" name="Race" dataDxfId="178"/>
    <tableColumn id="5" xr3:uid="{00000000-0010-0000-0600-000005000000}" name="Gender" dataDxfId="177"/>
    <tableColumn id="13" xr3:uid="{F89F7229-920F-4010-A900-AAD615FA70EB}" name="Course Cost" dataDxfId="176"/>
    <tableColumn id="14" xr3:uid="{05CEAE1F-9DFB-4887-8C00-B1E9374A4774}" name="Stipend" dataDxfId="175"/>
    <tableColumn id="6" xr3:uid="{00000000-0010-0000-0600-000006000000}" name="Proof of attendance" dataDxfId="174"/>
    <tableColumn id="15" xr3:uid="{4DEF82F6-0B53-4124-964A-64256D6A1B09}" name="Invoice" dataDxfId="173"/>
    <tableColumn id="7" xr3:uid="{00000000-0010-0000-0600-000007000000}" name="Proof of payment" dataDxfId="172"/>
    <tableColumn id="8" xr3:uid="{00000000-0010-0000-0600-000008000000}" name="ID copy" dataDxfId="171"/>
    <tableColumn id="9" xr3:uid="{00000000-0010-0000-0600-000009000000}" name="Salary Report" dataDxfId="170"/>
    <tableColumn id="10" xr3:uid="{00000000-0010-0000-0600-00000A000000}" name="SETA _x000a_Agreement" dataDxfId="169"/>
    <tableColumn id="12" xr3:uid="{00000000-0010-0000-0600-00000C000000}" name="Proof of absorbtion" dataDxfId="168"/>
    <tableColumn id="17" xr3:uid="{80783658-DF28-4D66-9E10-B1FB37F870EE}" name="Unemployed Affidavit or HR Letter" dataDxfId="167"/>
    <tableColumn id="11" xr3:uid="{00000000-0010-0000-0600-00000B000000}" name="EEA1 Form" dataDxfId="166"/>
    <tableColumn id="16" xr3:uid="{08FB0747-3FDE-4604-A7B7-F217DE9D977F}" name="Disabled _x000a_doc note" dataDxfId="16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Skills_4" displayName="Skills_4" ref="B37:F38" totalsRowShown="0" headerRowDxfId="164" dataDxfId="162" headerRowBorderDxfId="163" tableBorderDxfId="161" totalsRowBorderDxfId="160">
  <autoFilter ref="B37:F38" xr:uid="{00000000-0009-0000-0100-000009000000}"/>
  <tableColumns count="5">
    <tableColumn id="1" xr3:uid="{00000000-0010-0000-0700-000001000000}" name="Count" dataDxfId="159">
      <calculatedColumnFormula>ROW(B1)</calculatedColumnFormula>
    </tableColumn>
    <tableColumn id="2" xr3:uid="{00000000-0010-0000-0700-000002000000}" name="Name" dataDxfId="158"/>
    <tableColumn id="3" xr3:uid="{470E20D3-168F-472D-93C2-00FA9D5728AF}" name="Amount" dataDxfId="157"/>
    <tableColumn id="5" xr3:uid="{00000000-0010-0000-0700-000005000000}" name="Invoices" dataDxfId="156"/>
    <tableColumn id="4" xr3:uid="{490792E2-8C81-428D-A371-B0F55B425F81}" name="POP" dataDxfId="15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Procurement_1" displayName="Procurement_1" ref="B12:N18" totalsRowShown="0" headerRowDxfId="154" dataDxfId="152" headerRowBorderDxfId="153" tableBorderDxfId="151" totalsRowBorderDxfId="150">
  <autoFilter ref="B12:N18" xr:uid="{00000000-0009-0000-0100-00000C000000}"/>
  <tableColumns count="13">
    <tableColumn id="1" xr3:uid="{00000000-0010-0000-0800-000001000000}" name="Count" dataDxfId="149">
      <calculatedColumnFormula>ROW(A1)</calculatedColumnFormula>
    </tableColumn>
    <tableColumn id="2" xr3:uid="{00000000-0010-0000-0800-000002000000}" name="Supplier Selection:" dataDxfId="148"/>
    <tableColumn id="3" xr3:uid="{00000000-0010-0000-0800-000003000000}" name="Spend" dataDxfId="147" dataCellStyle="Currency"/>
    <tableColumn id="4" xr3:uid="{00000000-0010-0000-0800-000004000000}" name="Classification" dataDxfId="146"/>
    <tableColumn id="5" xr3:uid="{00000000-0010-0000-0800-000005000000}" name="Level" dataDxfId="145" dataCellStyle="Comma"/>
    <tableColumn id="9" xr3:uid="{6A3D44F5-36AD-4D33-A8FE-0EC8BA4C1B7C}" name="51% BO?" dataDxfId="144" dataCellStyle="Comma"/>
    <tableColumn id="13" xr3:uid="{03F9335B-C119-474C-A04D-6097C42EF12D}" name="30% BWO?" dataDxfId="143" dataCellStyle="Comma"/>
    <tableColumn id="8" xr3:uid="{C1B5834D-A9D8-408F-B1A2-E7521E3B4CA8}" name="51% BDG?" dataDxfId="142" dataCellStyle="Comma"/>
    <tableColumn id="6" xr3:uid="{00000000-0010-0000-0800-000006000000}" name="BEE Certificate" dataDxfId="141"/>
    <tableColumn id="10" xr3:uid="{00000000-0010-0000-0800-00000A000000}" name="Highest Invoice" dataDxfId="140"/>
    <tableColumn id="11" xr3:uid="{00000000-0010-0000-0800-00000B000000}" name="Proofs of payment relating to those invoices" dataDxfId="139"/>
    <tableColumn id="12" xr3:uid="{00000000-0010-0000-0800-00000C000000}" name="VAT no. / Reg no. of BEE certificate match Invoice?" dataDxfId="138"/>
    <tableColumn id="7" xr3:uid="{00000000-0010-0000-0800-000007000000}" name="Supplier Ledger for 12 months period" dataDxfId="13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Procurement_2" displayName="Procurement_2" ref="B22:H23" totalsRowShown="0" headerRowDxfId="136" headerRowBorderDxfId="135" tableBorderDxfId="134" totalsRowBorderDxfId="133">
  <autoFilter ref="B22:H23" xr:uid="{00000000-0009-0000-0100-00000D000000}"/>
  <tableColumns count="7">
    <tableColumn id="1" xr3:uid="{00000000-0010-0000-0900-000001000000}" name="Count" dataDxfId="132">
      <calculatedColumnFormula>ROW(A1)</calculatedColumnFormula>
    </tableColumn>
    <tableColumn id="2" xr3:uid="{00000000-0010-0000-0900-000002000000}" name="Supplier Selection:" dataDxfId="131"/>
    <tableColumn id="3" xr3:uid="{00000000-0010-0000-0900-000003000000}" name="Spend" dataDxfId="130" dataCellStyle="Currency"/>
    <tableColumn id="8" xr3:uid="{00000000-0010-0000-0900-000008000000}" name="Highest Invoice in 2018" dataDxfId="129"/>
    <tableColumn id="5" xr3:uid="{00000000-0010-0000-0900-000005000000}" name="Proofs of payment relating to the invoice" dataDxfId="128"/>
    <tableColumn id="7" xr3:uid="{00000000-0010-0000-0900-000007000000}" name="12 months Supplier Ledger (2018)" dataDxfId="127" dataCellStyle="Comma"/>
    <tableColumn id="6" xr3:uid="{00000000-0010-0000-0900-000006000000}" name="Supplier spend report as printed from the system (2018 FY)" dataDxfId="12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Procurement" displayName="Procurement" ref="B7:E9" totalsRowShown="0" headerRowDxfId="125" headerRowBorderDxfId="124" tableBorderDxfId="123" totalsRowBorderDxfId="122">
  <autoFilter ref="B7:E9" xr:uid="{00000000-0009-0000-0100-00000A000000}"/>
  <tableColumns count="4">
    <tableColumn id="1" xr3:uid="{00000000-0010-0000-0A00-000001000000}" name="Count" dataDxfId="121">
      <calculatedColumnFormula>ROW(A1)</calculatedColumnFormula>
    </tableColumn>
    <tableColumn id="2" xr3:uid="{00000000-0010-0000-0A00-000002000000}" name="Description " dataDxfId="120"/>
    <tableColumn id="3" xr3:uid="{00000000-0010-0000-0A00-000003000000}" name="Status" dataDxfId="119"/>
    <tableColumn id="4" xr3:uid="{00000000-0010-0000-0A00-000004000000}" name="Comment" dataDxfId="118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SupplierDev_1" displayName="SupplierDev_1" ref="B9:Q11" totalsRowShown="0" headerRowDxfId="117" headerRowBorderDxfId="116" tableBorderDxfId="115" totalsRowBorderDxfId="114">
  <autoFilter ref="B9:Q11" xr:uid="{00000000-0009-0000-0100-000012000000}"/>
  <tableColumns count="16">
    <tableColumn id="1" xr3:uid="{00000000-0010-0000-0C00-000001000000}" name="Count" dataDxfId="113">
      <calculatedColumnFormula>ROW(B1)</calculatedColumnFormula>
    </tableColumn>
    <tableColumn id="2" xr3:uid="{00000000-0010-0000-0C00-000002000000}" name="Beneficiary" dataDxfId="112"/>
    <tableColumn id="3" xr3:uid="{00000000-0010-0000-0C00-000003000000}" name="Support" dataDxfId="111"/>
    <tableColumn id="4" xr3:uid="{00000000-0010-0000-0C00-000004000000}" name="Amount" dataDxfId="110" dataCellStyle="Comma"/>
    <tableColumn id="5" xr3:uid="{00000000-0010-0000-0C00-000005000000}" name="BEE certificate / Affidavit" dataDxfId="109"/>
    <tableColumn id="6" xr3:uid="{00000000-0010-0000-0C00-000006000000}" name="EME Affidavit" dataDxfId="108"/>
    <tableColumn id="7" xr3:uid="{00000000-0010-0000-0C00-000007000000}" name="ED agreement" dataDxfId="107"/>
    <tableColumn id="13" xr3:uid="{6E30719E-442D-464C-9A89-3A6553B99986}" name="SD Confirmation" dataDxfId="106"/>
    <tableColumn id="12" xr3:uid="{4099D513-5D56-40F9-BB8E-DA792361A6BC}" name="Lease Agreement" dataDxfId="105"/>
    <tableColumn id="8" xr3:uid="{4730F795-4293-47EA-88D6-2DE8389032C5}" name="Calculations _x000a_(on Excel)" dataDxfId="104"/>
    <tableColumn id="9" xr3:uid="{9190DD7C-7027-4126-8C85-746E4E447A3D}" name="Attendance Register" dataDxfId="103"/>
    <tableColumn id="14" xr3:uid="{EB647CEB-B4C3-4218-B98C-5AE403B10226}" name="ID copy" dataDxfId="102"/>
    <tableColumn id="10" xr3:uid="{B9028745-73EC-4E62-8E8F-4B4A6DDF5452}" name="Proof of Payment" dataDxfId="101"/>
    <tableColumn id="15" xr3:uid="{8E257AD2-A8B3-488E-81DA-09E67A4DF5C3}" name="Invoice" dataDxfId="100"/>
    <tableColumn id="11" xr3:uid="{2FA42F03-1D21-42DD-99BE-C720F0B0FCE5}" name="Signed Emplyees _x000a_Timesheets" dataDxfId="99"/>
    <tableColumn id="16" xr3:uid="{090B2729-CA94-4012-A4F0-5B139D0A69DC}" name="Supplier Ledger" dataDxfId="98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EnterpriseDev_1" displayName="EnterpriseDev_1" ref="B9:L11" totalsRowShown="0" headerRowDxfId="97" headerRowBorderDxfId="96" tableBorderDxfId="95" totalsRowBorderDxfId="94">
  <autoFilter ref="B9:L11" xr:uid="{6F5BFBAE-296E-43E1-B130-ACE62B5A1251}"/>
  <tableColumns count="11">
    <tableColumn id="1" xr3:uid="{00000000-0010-0000-0B00-000001000000}" name="Count" dataDxfId="93">
      <calculatedColumnFormula>ROW(B1)</calculatedColumnFormula>
    </tableColumn>
    <tableColumn id="2" xr3:uid="{00000000-0010-0000-0B00-000002000000}" name="Beneficiary" dataDxfId="92"/>
    <tableColumn id="3" xr3:uid="{00000000-0010-0000-0B00-000003000000}" name="Support" dataDxfId="91"/>
    <tableColumn id="8" xr3:uid="{844E854A-96AE-46CC-987B-37B493A8A6EA}" name="Actual Spend" dataDxfId="90"/>
    <tableColumn id="11" xr3:uid="{00000000-0010-0000-0B00-00000B000000}" name="Recognised Spend" dataDxfId="89" dataCellStyle="Comma"/>
    <tableColumn id="5" xr3:uid="{00000000-0010-0000-0B00-000005000000}" name="EME Affidavit" dataDxfId="88"/>
    <tableColumn id="6" xr3:uid="{00000000-0010-0000-0B00-000006000000}" name="ED agreement" dataDxfId="87"/>
    <tableColumn id="4" xr3:uid="{036A62F4-94BC-4758-A8A6-21378DE011C7}" name="ED Confirmation" dataDxfId="86"/>
    <tableColumn id="7" xr3:uid="{00000000-0010-0000-0B00-000007000000}" name="Proof of payment2" dataDxfId="85"/>
    <tableColumn id="12" xr3:uid="{00000000-0010-0000-0B00-00000C000000}" name="Signed GL_x000a_(@31 Dec 2018)" dataDxfId="84"/>
    <tableColumn id="9" xr3:uid="{6F4A6F7C-FB98-4E24-98E7-A9AA9DBC5649}" name="Number of Jobs Created _x000a_" dataDxfId="83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D000000}" name="Socio_1" displayName="Socio_1" ref="B9:L13" totalsRowShown="0" headerRowDxfId="82" headerRowBorderDxfId="81" tableBorderDxfId="80" totalsRowBorderDxfId="79">
  <autoFilter ref="B9:L13" xr:uid="{00000000-0009-0000-0100-000014000000}"/>
  <tableColumns count="11">
    <tableColumn id="1" xr3:uid="{00000000-0010-0000-0D00-000001000000}" name="Count" dataDxfId="78">
      <calculatedColumnFormula>ROW(B1)</calculatedColumnFormula>
    </tableColumn>
    <tableColumn id="2" xr3:uid="{00000000-0010-0000-0D00-000002000000}" name="Beneficiary" dataDxfId="77"/>
    <tableColumn id="3" xr3:uid="{00000000-0010-0000-0D00-000003000000}" name="Support" dataDxfId="76"/>
    <tableColumn id="4" xr3:uid="{00000000-0010-0000-0D00-000004000000}" name="% Black beneficiary" dataDxfId="75" dataCellStyle="Percent"/>
    <tableColumn id="5" xr3:uid="{00000000-0010-0000-0D00-000005000000}" name="Actual Spend" dataDxfId="74" dataCellStyle="Currency"/>
    <tableColumn id="8" xr3:uid="{D235CC72-16EB-45E9-91E3-D4289C8592C2}" name="Recognised Spend" dataDxfId="73" dataCellStyle="Currency"/>
    <tableColumn id="6" xr3:uid="{00000000-0010-0000-0D00-000006000000}" name="Signed letter of confirmation with black beneficiary %" dataDxfId="72"/>
    <tableColumn id="10" xr3:uid="{882FB90C-1A76-4109-A049-D5F819DEDF50}" name="3rd person report regarding black beneficiary " dataDxfId="71"/>
    <tableColumn id="9" xr3:uid="{3FBE035B-F76D-4AE4-A046-23AE87D61407}" name="Invoice" dataDxfId="70"/>
    <tableColumn id="7" xr3:uid="{00000000-0010-0000-0D00-000007000000}" name="Proof of payment" dataDxfId="69"/>
    <tableColumn id="11" xr3:uid="{895EFC0C-9FE5-4396-8D22-D86543BC4372}" name="Acknowledgement Letter of reciept" dataDxfId="6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Holidays8" displayName="Holidays8" ref="A1:B36" totalsRowShown="0" headerRowDxfId="67">
  <autoFilter ref="A1:B36" xr:uid="{00000000-0009-0000-0100-000007000000}"/>
  <tableColumns count="2">
    <tableColumn id="1" xr3:uid="{00000000-0010-0000-0E00-000001000000}" name="Dates" dataDxfId="66"/>
    <tableColumn id="2" xr3:uid="{00000000-0010-0000-0E00-000002000000}" name="Holi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info@beeonline.co.za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AR40"/>
  <sheetViews>
    <sheetView showGridLines="0" zoomScale="90" zoomScaleNormal="90" workbookViewId="0">
      <pane ySplit="18" topLeftCell="A19" activePane="bottomLeft" state="frozen"/>
      <selection pane="bottomLeft" activeCell="I22" sqref="I22"/>
    </sheetView>
  </sheetViews>
  <sheetFormatPr defaultColWidth="9.109375" defaultRowHeight="16.8" x14ac:dyDescent="0.4"/>
  <cols>
    <col min="1" max="1" width="5.109375" style="1" customWidth="1"/>
    <col min="2" max="2" width="14.6640625" style="1" customWidth="1"/>
    <col min="3" max="3" width="15.88671875" style="1" customWidth="1"/>
    <col min="4" max="4" width="11.5546875" style="1" customWidth="1"/>
    <col min="5" max="5" width="9.88671875" style="1" customWidth="1"/>
    <col min="6" max="6" width="27.5546875" style="1" customWidth="1"/>
    <col min="7" max="7" width="12.6640625" style="1" customWidth="1"/>
    <col min="8" max="8" width="13.44140625" style="1" customWidth="1"/>
    <col min="9" max="9" width="12.33203125" style="1" customWidth="1"/>
    <col min="10" max="10" width="13.88671875" style="1" customWidth="1"/>
    <col min="11" max="11" width="13.6640625" style="1" bestFit="1" customWidth="1"/>
    <col min="12" max="12" width="10.33203125" style="1" customWidth="1"/>
    <col min="13" max="13" width="13.6640625" style="1" bestFit="1" customWidth="1"/>
    <col min="14" max="16384" width="9.109375" style="1"/>
  </cols>
  <sheetData>
    <row r="1" spans="2:44" ht="26.25" customHeight="1" x14ac:dyDescent="0.8">
      <c r="B1" s="194" t="s">
        <v>54</v>
      </c>
      <c r="C1" s="194"/>
      <c r="D1" s="194"/>
      <c r="E1" s="194"/>
      <c r="F1" s="194"/>
      <c r="G1" s="194"/>
      <c r="H1" s="194"/>
      <c r="I1" s="194"/>
    </row>
    <row r="2" spans="2:44" ht="13.5" customHeight="1" x14ac:dyDescent="0.4"/>
    <row r="3" spans="2:44" ht="21.75" customHeight="1" x14ac:dyDescent="0.4">
      <c r="B3" s="162" t="s">
        <v>38</v>
      </c>
      <c r="C3" s="193" t="s">
        <v>265</v>
      </c>
      <c r="D3" s="193"/>
      <c r="E3" s="193"/>
      <c r="F3" s="193"/>
      <c r="G3" s="193"/>
      <c r="H3" s="193"/>
      <c r="I3" s="193"/>
    </row>
    <row r="4" spans="2:44" s="45" customFormat="1" ht="31.5" customHeight="1" x14ac:dyDescent="0.3">
      <c r="B4" s="44"/>
      <c r="D4" s="82"/>
      <c r="E4" s="82"/>
      <c r="F4" s="82"/>
      <c r="G4" s="195" t="str">
        <f>TEXT(AVERAGE('General &amp; Financials'!E6,'Management Control'!D6,'Skills Development'!D6,'Preferential Procurement'!D6,'Enterprise Development'!D6,'Supplier Development'!D6,'Socio-economic Development'!D6),"0%")&amp;" "&amp;"of documents have been received"</f>
        <v>49% of documents have been received</v>
      </c>
      <c r="H4" s="195"/>
      <c r="I4" s="195"/>
      <c r="J4" s="196"/>
      <c r="K4" s="190" t="str">
        <f>TEXT(COUNTIFS('Audit Schedule'!G5:G15,"Completed")/COUNTA('Audit Schedule'!G5:G15),"0%")&amp;" "&amp;"of Audit Schedule tasks completed"</f>
        <v>0% of Audit Schedule tasks completed</v>
      </c>
      <c r="L4" s="191"/>
      <c r="M4" s="191"/>
      <c r="N4" s="191"/>
      <c r="O4" s="191"/>
    </row>
    <row r="5" spans="2:44" ht="14.25" customHeight="1" x14ac:dyDescent="0.45">
      <c r="B5" s="192" t="s">
        <v>57</v>
      </c>
      <c r="C5" s="192"/>
      <c r="D5" s="41"/>
      <c r="E5" s="41"/>
      <c r="F5" s="41"/>
      <c r="G5" s="41"/>
      <c r="H5" s="41"/>
      <c r="I5" s="41"/>
      <c r="J5" s="27"/>
      <c r="K5" s="27"/>
    </row>
    <row r="6" spans="2:44" ht="13.8" customHeight="1" x14ac:dyDescent="0.4">
      <c r="B6" s="42" t="s">
        <v>58</v>
      </c>
      <c r="C6" s="214">
        <v>45352</v>
      </c>
      <c r="D6" s="48">
        <f>IF(C6="","Null",C6)</f>
        <v>45352</v>
      </c>
      <c r="K6" s="4"/>
      <c r="L6" s="4"/>
    </row>
    <row r="7" spans="2:44" ht="14.25" customHeight="1" x14ac:dyDescent="0.55000000000000004">
      <c r="B7" s="42" t="s">
        <v>59</v>
      </c>
      <c r="C7" s="215">
        <v>45716</v>
      </c>
      <c r="D7" s="46">
        <f>IF(C7="","Null",IF(AND(C7-C6&gt;355,C7-C6&lt;366),C7-C6,0))</f>
        <v>364</v>
      </c>
      <c r="L7" s="216" t="str">
        <f ca="1">IF($C$8="",IF($C$7&lt;TODAY(),"Please capture either the Financial Year End or the Audit Date","Time left before Financial Year End"),"Time left before Audit Date")</f>
        <v>Time left before Audit Date</v>
      </c>
      <c r="M7" s="41"/>
      <c r="N7" s="41"/>
      <c r="O7" s="41"/>
      <c r="P7" s="41"/>
    </row>
    <row r="8" spans="2:44" ht="14.25" customHeight="1" x14ac:dyDescent="0.4">
      <c r="B8" s="42" t="s">
        <v>56</v>
      </c>
      <c r="C8" s="215">
        <v>46029</v>
      </c>
      <c r="D8" s="46">
        <f>IF(C8="","Null",IF(C8-C7&lt;0,0,C8-C7))</f>
        <v>313</v>
      </c>
      <c r="H8" s="28"/>
      <c r="I8" s="28"/>
      <c r="J8" s="28"/>
      <c r="K8" s="83" t="e">
        <f ca="1">IF($C$7="","Please capture Finacial Year End Date",IF(AND($C$7&lt;TODAY(),$C$8=""),"Please capture Audit Date!",IF(AND($C$7&gt;TODAY(),$C$8=""),TEXT($C$7-TODAY(),"0.00")/30,IF($C$8="","Please capture Audit Date!",TEXT($C$8-TODAY(),"0.00")/30))))</f>
        <v>#VALUE!</v>
      </c>
      <c r="L8" s="72" t="e">
        <f ca="1">IF($K$8&lt;=1,"Month","Months")</f>
        <v>#VALUE!</v>
      </c>
      <c r="M8" s="39" t="s">
        <v>55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</row>
    <row r="9" spans="2:44" ht="14.25" customHeight="1" x14ac:dyDescent="0.4">
      <c r="B9" s="5"/>
      <c r="C9" s="8"/>
      <c r="H9" s="28"/>
      <c r="I9" s="28"/>
      <c r="J9" s="28"/>
      <c r="K9" s="84">
        <f ca="1">IF($C$7="","Please capture Finacial Year End Date",IF(AND($C$7&lt;TODAY(),$C$8=""),"Please capture Audit Date!",IF(AND($C$7&gt;TODAY(),$C$8=""),INT($C$7-TODAY())/7,IF($C$8="","Please capture Audit Date!",INT($C$8-TODAY())/7))))</f>
        <v>3.7142857142857144</v>
      </c>
      <c r="L9" s="73" t="str">
        <f ca="1">IF($K$9&lt;=1,"Week","Weeks")</f>
        <v>Weeks</v>
      </c>
      <c r="M9" s="40" t="s">
        <v>55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</row>
    <row r="10" spans="2:44" ht="14.25" customHeight="1" x14ac:dyDescent="0.45">
      <c r="C10" s="3" t="s">
        <v>39</v>
      </c>
      <c r="F10" s="3"/>
      <c r="H10" s="26"/>
      <c r="I10" s="26"/>
      <c r="J10" s="26"/>
      <c r="K10" s="84">
        <f ca="1">IF($C$7="","Please capture Finacial Year End Date",IF(AND($C$7&lt;TODAY(),$C$8=""),"Please capture Audit Date!",IF(AND($C$7&gt;TODAY(),$C$8=""),NETWORKDAYS(TODAY(),Home!$C$7,Holidays8[Dates]),IF($C$8="","Please capture Audit Date!",NETWORKDAYS(TODAY(),Home!$C$8,Holidays8[Dates])))))</f>
        <v>19</v>
      </c>
      <c r="L10" s="74" t="str">
        <f ca="1">IF($K$10&lt;=1,"Business Day","Business Days")</f>
        <v>Business Days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</row>
    <row r="11" spans="2:44" ht="14.25" customHeight="1" x14ac:dyDescent="0.4">
      <c r="C11" s="75" t="s">
        <v>97</v>
      </c>
      <c r="D11" s="76"/>
      <c r="E11" s="76"/>
      <c r="F11" s="89"/>
    </row>
    <row r="12" spans="2:44" ht="14.25" customHeight="1" x14ac:dyDescent="0.4">
      <c r="C12" s="75" t="s">
        <v>64</v>
      </c>
      <c r="D12" s="76"/>
      <c r="E12" s="76"/>
      <c r="F12" s="89"/>
    </row>
    <row r="13" spans="2:44" ht="14.25" customHeight="1" x14ac:dyDescent="0.4">
      <c r="C13" s="77" t="s">
        <v>66</v>
      </c>
      <c r="D13" s="78"/>
      <c r="E13" s="78"/>
      <c r="F13" s="89"/>
    </row>
    <row r="14" spans="2:44" ht="14.25" customHeight="1" x14ac:dyDescent="0.4">
      <c r="C14" s="75" t="s">
        <v>67</v>
      </c>
      <c r="D14" s="76"/>
      <c r="E14" s="76"/>
      <c r="F14" s="89"/>
      <c r="I14" s="29"/>
      <c r="M14"/>
    </row>
    <row r="15" spans="2:44" ht="14.25" customHeight="1" x14ac:dyDescent="0.4">
      <c r="C15" s="75" t="s">
        <v>68</v>
      </c>
      <c r="D15" s="76"/>
      <c r="E15" s="76"/>
      <c r="F15" s="89"/>
    </row>
    <row r="16" spans="2:44" ht="14.25" customHeight="1" x14ac:dyDescent="0.4">
      <c r="C16" s="75" t="s">
        <v>69</v>
      </c>
      <c r="D16" s="76"/>
      <c r="E16" s="76"/>
      <c r="F16" s="89"/>
    </row>
    <row r="17" spans="3:6" ht="14.25" customHeight="1" x14ac:dyDescent="0.4">
      <c r="C17" s="75" t="s">
        <v>70</v>
      </c>
      <c r="D17" s="76"/>
      <c r="E17" s="76"/>
      <c r="F17" s="89"/>
    </row>
    <row r="18" spans="3:6" ht="14.25" customHeight="1" x14ac:dyDescent="0.4">
      <c r="C18" s="75" t="s">
        <v>71</v>
      </c>
      <c r="D18" s="76"/>
      <c r="E18" s="76"/>
      <c r="F18" s="89"/>
    </row>
    <row r="26" spans="3:6" x14ac:dyDescent="0.4">
      <c r="C26" s="43"/>
      <c r="E26" s="51"/>
      <c r="F26" s="51"/>
    </row>
    <row r="27" spans="3:6" x14ac:dyDescent="0.4">
      <c r="E27" s="51"/>
      <c r="F27" s="51"/>
    </row>
    <row r="33" spans="11:13" x14ac:dyDescent="0.4">
      <c r="K33" s="91"/>
    </row>
    <row r="40" spans="11:13" x14ac:dyDescent="0.4">
      <c r="M40" s="47"/>
    </row>
  </sheetData>
  <mergeCells count="5">
    <mergeCell ref="K4:O4"/>
    <mergeCell ref="B5:C5"/>
    <mergeCell ref="C3:I3"/>
    <mergeCell ref="B1:I1"/>
    <mergeCell ref="G4:J4"/>
  </mergeCells>
  <conditionalFormatting sqref="D4">
    <cfRule type="expression" dxfId="64" priority="5">
      <formula>SEARCH("100%",D4,1)=1</formula>
    </cfRule>
  </conditionalFormatting>
  <conditionalFormatting sqref="D6">
    <cfRule type="iconSet" priority="7">
      <iconSet iconSet="3Symbols2">
        <cfvo type="percent" val="0"/>
        <cfvo type="num" val="42339"/>
        <cfvo type="num" val="42370"/>
      </iconSet>
    </cfRule>
  </conditionalFormatting>
  <conditionalFormatting sqref="D7">
    <cfRule type="iconSet" priority="8">
      <iconSet iconSet="3Symbols2">
        <cfvo type="percent" val="0"/>
        <cfvo type="num" val="355"/>
        <cfvo type="num" val="360"/>
      </iconSet>
    </cfRule>
  </conditionalFormatting>
  <conditionalFormatting sqref="D8">
    <cfRule type="iconSet" priority="6">
      <iconSet iconSet="3Symbols2">
        <cfvo type="percent" val="0"/>
        <cfvo type="num" val="1"/>
        <cfvo type="num" val="2"/>
      </iconSet>
    </cfRule>
  </conditionalFormatting>
  <conditionalFormatting sqref="K8:K10">
    <cfRule type="expression" dxfId="63" priority="4">
      <formula>$K$9="Please capture the Audit Date as financial period has already past"</formula>
    </cfRule>
  </conditionalFormatting>
  <hyperlinks>
    <hyperlink ref="C11" location="General!A1" display=" General" xr:uid="{00000000-0004-0000-0000-000000000000}"/>
    <hyperlink ref="C13" location="'Managment Control'!A1" display=" Management Control" xr:uid="{00000000-0004-0000-0000-000001000000}"/>
    <hyperlink ref="C14" location="'Skills Development'!A1" display=" Skills Development" xr:uid="{00000000-0004-0000-0000-000002000000}"/>
    <hyperlink ref="C15" location="'Preferential Procurement'!A1" display=" Preferential Procurement" xr:uid="{00000000-0004-0000-0000-000003000000}"/>
    <hyperlink ref="C16" location="'Enterprise Development'!A1" display=" Entgerprise Development" xr:uid="{00000000-0004-0000-0000-000004000000}"/>
    <hyperlink ref="C17" location="'Supplier Development'!A1" display=" Supplier Development" xr:uid="{00000000-0004-0000-0000-000005000000}"/>
    <hyperlink ref="C18" location="'Socio-economic Development'!A1" display=" Socio-economic Development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</sheetPr>
  <dimension ref="B1:K23"/>
  <sheetViews>
    <sheetView showGridLines="0" workbookViewId="0">
      <pane ySplit="4" topLeftCell="A5" activePane="bottomLeft" state="frozen"/>
      <selection activeCell="C21" sqref="C21"/>
      <selection pane="bottomLeft" activeCell="F16" sqref="F16"/>
    </sheetView>
  </sheetViews>
  <sheetFormatPr defaultColWidth="15.33203125" defaultRowHeight="14.4" x14ac:dyDescent="0.3"/>
  <cols>
    <col min="1" max="1" width="4.5546875" customWidth="1"/>
    <col min="3" max="3" width="59.6640625" bestFit="1" customWidth="1"/>
    <col min="4" max="4" width="22" bestFit="1" customWidth="1"/>
    <col min="5" max="5" width="19.33203125" customWidth="1"/>
    <col min="6" max="6" width="17.6640625" customWidth="1"/>
    <col min="8" max="8" width="72" bestFit="1" customWidth="1"/>
  </cols>
  <sheetData>
    <row r="1" spans="2:8" ht="18" customHeight="1" x14ac:dyDescent="0.3"/>
    <row r="2" spans="2:8" ht="19.5" customHeight="1" x14ac:dyDescent="0.3"/>
    <row r="4" spans="2:8" ht="21" customHeight="1" x14ac:dyDescent="0.4">
      <c r="B4" s="163" t="s">
        <v>81</v>
      </c>
      <c r="C4" s="164" t="s">
        <v>74</v>
      </c>
      <c r="D4" s="165" t="s">
        <v>75</v>
      </c>
      <c r="E4" s="166" t="s">
        <v>120</v>
      </c>
      <c r="F4" s="166" t="s">
        <v>76</v>
      </c>
      <c r="G4" s="166" t="s">
        <v>82</v>
      </c>
      <c r="H4" s="166" t="s">
        <v>77</v>
      </c>
    </row>
    <row r="5" spans="2:8" x14ac:dyDescent="0.3">
      <c r="B5" s="131">
        <f t="shared" ref="B5:B13" si="0">ROW(A1)</f>
        <v>1</v>
      </c>
      <c r="C5" s="132" t="s">
        <v>139</v>
      </c>
      <c r="D5" s="133" t="s">
        <v>290</v>
      </c>
      <c r="E5" s="146">
        <v>46000</v>
      </c>
      <c r="F5" s="146">
        <v>46008</v>
      </c>
      <c r="G5" s="134" t="s">
        <v>83</v>
      </c>
      <c r="H5" s="135"/>
    </row>
    <row r="6" spans="2:8" ht="15" x14ac:dyDescent="0.35">
      <c r="B6" s="131">
        <f>ROW(A2)</f>
        <v>2</v>
      </c>
      <c r="C6" s="132" t="s">
        <v>99</v>
      </c>
      <c r="D6" s="133" t="s">
        <v>290</v>
      </c>
      <c r="E6" s="146">
        <v>46000</v>
      </c>
      <c r="F6" s="146">
        <v>46008</v>
      </c>
      <c r="G6" s="134" t="s">
        <v>83</v>
      </c>
      <c r="H6" s="135"/>
    </row>
    <row r="7" spans="2:8" ht="15" x14ac:dyDescent="0.35">
      <c r="B7" s="131">
        <f>ROW(A3)</f>
        <v>3</v>
      </c>
      <c r="C7" s="132" t="s">
        <v>140</v>
      </c>
      <c r="D7" s="133" t="s">
        <v>290</v>
      </c>
      <c r="E7" s="146">
        <v>46000</v>
      </c>
      <c r="F7" s="146">
        <v>46008</v>
      </c>
      <c r="G7" s="134" t="s">
        <v>83</v>
      </c>
      <c r="H7" s="135"/>
    </row>
    <row r="8" spans="2:8" ht="15" x14ac:dyDescent="0.35">
      <c r="B8" s="131">
        <f t="shared" si="0"/>
        <v>4</v>
      </c>
      <c r="C8" s="132" t="s">
        <v>287</v>
      </c>
      <c r="D8" s="133" t="s">
        <v>291</v>
      </c>
      <c r="E8" s="146">
        <v>46006</v>
      </c>
      <c r="F8" s="146">
        <v>46008</v>
      </c>
      <c r="G8" s="134" t="s">
        <v>83</v>
      </c>
      <c r="H8" s="135"/>
    </row>
    <row r="9" spans="2:8" ht="15" x14ac:dyDescent="0.35">
      <c r="B9" s="131">
        <f t="shared" si="0"/>
        <v>5</v>
      </c>
      <c r="C9" s="132" t="s">
        <v>288</v>
      </c>
      <c r="D9" s="133" t="s">
        <v>290</v>
      </c>
      <c r="E9" s="146">
        <v>46000</v>
      </c>
      <c r="F9" s="146">
        <v>46003</v>
      </c>
      <c r="G9" s="134" t="s">
        <v>83</v>
      </c>
      <c r="H9" s="135"/>
    </row>
    <row r="10" spans="2:8" ht="15" x14ac:dyDescent="0.35">
      <c r="B10" s="131">
        <f t="shared" si="0"/>
        <v>6</v>
      </c>
      <c r="C10" s="132" t="s">
        <v>289</v>
      </c>
      <c r="D10" s="133" t="s">
        <v>291</v>
      </c>
      <c r="E10" s="146">
        <v>46006</v>
      </c>
      <c r="F10" s="146">
        <v>46008</v>
      </c>
      <c r="G10" s="134" t="s">
        <v>83</v>
      </c>
      <c r="H10" s="135"/>
    </row>
    <row r="11" spans="2:8" ht="15" x14ac:dyDescent="0.35">
      <c r="B11" s="131">
        <f t="shared" si="0"/>
        <v>7</v>
      </c>
      <c r="C11" s="132" t="s">
        <v>100</v>
      </c>
      <c r="D11" s="133" t="s">
        <v>290</v>
      </c>
      <c r="E11" s="146">
        <v>46000</v>
      </c>
      <c r="F11" s="146">
        <v>46008</v>
      </c>
      <c r="G11" s="134" t="s">
        <v>83</v>
      </c>
      <c r="H11" s="135"/>
    </row>
    <row r="12" spans="2:8" ht="15" x14ac:dyDescent="0.35">
      <c r="B12" s="131">
        <f t="shared" si="0"/>
        <v>8</v>
      </c>
      <c r="C12" s="132" t="s">
        <v>101</v>
      </c>
      <c r="D12" s="136" t="s">
        <v>292</v>
      </c>
      <c r="E12" s="147">
        <v>46029</v>
      </c>
      <c r="F12" s="147">
        <v>46029</v>
      </c>
      <c r="G12" s="134" t="s">
        <v>83</v>
      </c>
      <c r="H12" s="135"/>
    </row>
    <row r="13" spans="2:8" ht="15" x14ac:dyDescent="0.35">
      <c r="B13" s="131">
        <f t="shared" si="0"/>
        <v>9</v>
      </c>
      <c r="C13" s="132" t="s">
        <v>141</v>
      </c>
      <c r="D13" s="136" t="s">
        <v>292</v>
      </c>
      <c r="E13" s="147">
        <v>46029</v>
      </c>
      <c r="F13" s="147">
        <v>46031</v>
      </c>
      <c r="G13" s="134" t="s">
        <v>83</v>
      </c>
      <c r="H13" s="135"/>
    </row>
    <row r="14" spans="2:8" ht="15" x14ac:dyDescent="0.35">
      <c r="B14" s="131">
        <f>ROW(A10)</f>
        <v>10</v>
      </c>
      <c r="C14" s="132" t="s">
        <v>266</v>
      </c>
      <c r="D14" s="133" t="s">
        <v>291</v>
      </c>
      <c r="E14" s="146">
        <v>46006</v>
      </c>
      <c r="F14" s="146">
        <v>46008</v>
      </c>
      <c r="G14" s="134" t="s">
        <v>83</v>
      </c>
      <c r="H14" s="135"/>
    </row>
    <row r="15" spans="2:8" ht="15" x14ac:dyDescent="0.35">
      <c r="B15" s="131">
        <f>ROW(A11)</f>
        <v>11</v>
      </c>
      <c r="C15" s="132" t="s">
        <v>102</v>
      </c>
      <c r="D15" s="136" t="s">
        <v>292</v>
      </c>
      <c r="E15" s="147">
        <v>46029</v>
      </c>
      <c r="F15" s="147">
        <v>46037</v>
      </c>
      <c r="G15" s="134" t="s">
        <v>83</v>
      </c>
      <c r="H15" s="135"/>
    </row>
    <row r="21" spans="11:11" x14ac:dyDescent="0.3">
      <c r="K21" s="88"/>
    </row>
    <row r="22" spans="11:11" x14ac:dyDescent="0.3">
      <c r="K22" s="88"/>
    </row>
    <row r="23" spans="11:11" x14ac:dyDescent="0.3">
      <c r="K23" s="88"/>
    </row>
  </sheetData>
  <dataValidations count="1">
    <dataValidation type="list" allowBlank="1" showInputMessage="1" showErrorMessage="1" sqref="G5:G15" xr:uid="{00000000-0002-0000-0100-000000000000}">
      <formula1>"Completed,Pending"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</sheetPr>
  <dimension ref="B1:N20"/>
  <sheetViews>
    <sheetView showGridLines="0" topLeftCell="B1" zoomScale="90" zoomScaleNormal="90" workbookViewId="0">
      <pane ySplit="6" topLeftCell="A7" activePane="bottomLeft" state="frozen"/>
      <selection activeCell="C21" sqref="C21"/>
      <selection pane="bottomLeft" activeCell="H10" sqref="H10"/>
    </sheetView>
  </sheetViews>
  <sheetFormatPr defaultColWidth="9.109375" defaultRowHeight="16.2" x14ac:dyDescent="0.4"/>
  <cols>
    <col min="1" max="1" width="9.109375" style="12"/>
    <col min="2" max="2" width="10.109375" style="12" customWidth="1"/>
    <col min="3" max="3" width="15.33203125" style="12" customWidth="1"/>
    <col min="4" max="4" width="21.44140625" style="12" bestFit="1" customWidth="1"/>
    <col min="5" max="5" width="91.88671875" style="12" customWidth="1"/>
    <col min="6" max="6" width="12.33203125" style="12" customWidth="1"/>
    <col min="7" max="7" width="33.33203125" style="12" customWidth="1"/>
    <col min="8" max="8" width="8.5546875" style="12" customWidth="1"/>
    <col min="9" max="16384" width="9.109375" style="12"/>
  </cols>
  <sheetData>
    <row r="1" spans="2:14" ht="36.75" customHeight="1" x14ac:dyDescent="0.4">
      <c r="B1" s="197" t="str">
        <f>Home!C3&amp;" "&amp;"Audit - General Documentation Checklist"</f>
        <v>Thandanani Transport  Audit - General Documentation Checklist</v>
      </c>
      <c r="C1" s="197"/>
      <c r="D1" s="197"/>
      <c r="E1" s="197"/>
    </row>
    <row r="3" spans="2:14" ht="16.8" x14ac:dyDescent="0.4">
      <c r="B3" s="11" t="str">
        <f ca="1">IF(Home!$C$8="",IF(Home!$C$7&lt;TODAY(),"Please capture either the Financial Year End or the Audit Date","Time left before Financial Year End"),"Time left before Audit Date")</f>
        <v>Time left before Audit Date</v>
      </c>
      <c r="E3" s="14"/>
    </row>
    <row r="4" spans="2:14" ht="15" customHeight="1" x14ac:dyDescent="0.4">
      <c r="B4" s="85" t="e">
        <f ca="1">Home!K8</f>
        <v>#VALUE!</v>
      </c>
      <c r="C4" s="10" t="str">
        <f>IF($J$8&lt;=1,"Month    Or;","Months    Or;")</f>
        <v>Month    Or;</v>
      </c>
      <c r="E4" s="14"/>
    </row>
    <row r="5" spans="2:14" ht="16.8" x14ac:dyDescent="0.4">
      <c r="B5" s="71">
        <f ca="1">Home!K9</f>
        <v>3.7142857142857144</v>
      </c>
      <c r="C5" s="10" t="str">
        <f>IF($J$9&lt;=1,"Week    Or;","Weeks     Or;")</f>
        <v>Week    Or;</v>
      </c>
      <c r="E5" s="15" t="s">
        <v>53</v>
      </c>
    </row>
    <row r="6" spans="2:14" ht="15" customHeight="1" x14ac:dyDescent="0.55000000000000004">
      <c r="B6" s="71">
        <f ca="1">Home!K10</f>
        <v>19</v>
      </c>
      <c r="C6" s="10" t="str">
        <f>IF($J$11&lt;=1,"Business Day","Business Days")</f>
        <v>Business Day</v>
      </c>
      <c r="E6" s="16">
        <f>COUNTIF(General[Status],"Received")/COUNTA(General[[Description ]])</f>
        <v>0.8</v>
      </c>
    </row>
    <row r="9" spans="2:14" ht="18" customHeight="1" x14ac:dyDescent="0.4">
      <c r="C9" s="167" t="s">
        <v>5</v>
      </c>
      <c r="D9" s="168" t="s">
        <v>0</v>
      </c>
      <c r="E9" s="168" t="s">
        <v>1</v>
      </c>
      <c r="F9" s="169" t="s">
        <v>60</v>
      </c>
      <c r="G9" s="169" t="s">
        <v>2</v>
      </c>
    </row>
    <row r="10" spans="2:14" x14ac:dyDescent="0.4">
      <c r="C10" s="58">
        <f t="shared" ref="C10:C14" si="0">ROW(A1)</f>
        <v>1</v>
      </c>
      <c r="D10" s="65" t="s">
        <v>3</v>
      </c>
      <c r="E10" s="66" t="s">
        <v>267</v>
      </c>
      <c r="F10" s="65" t="s">
        <v>142</v>
      </c>
      <c r="G10" s="189"/>
    </row>
    <row r="11" spans="2:14" x14ac:dyDescent="0.4">
      <c r="C11" s="137">
        <f t="shared" si="0"/>
        <v>2</v>
      </c>
      <c r="D11" s="65" t="s">
        <v>3</v>
      </c>
      <c r="E11" s="66" t="s">
        <v>268</v>
      </c>
      <c r="F11" s="65" t="s">
        <v>142</v>
      </c>
      <c r="G11" s="140"/>
      <c r="N11" s="138"/>
    </row>
    <row r="12" spans="2:14" ht="15" customHeight="1" x14ac:dyDescent="0.4">
      <c r="C12" s="58">
        <f t="shared" si="0"/>
        <v>3</v>
      </c>
      <c r="D12" s="65" t="s">
        <v>3</v>
      </c>
      <c r="E12" s="66" t="s">
        <v>294</v>
      </c>
      <c r="F12" s="65" t="s">
        <v>73</v>
      </c>
      <c r="G12" s="189" t="s">
        <v>293</v>
      </c>
      <c r="M12" s="139"/>
      <c r="N12" s="10"/>
    </row>
    <row r="13" spans="2:14" ht="13.5" customHeight="1" x14ac:dyDescent="0.4">
      <c r="C13" s="58">
        <f t="shared" si="0"/>
        <v>4</v>
      </c>
      <c r="D13" s="65" t="s">
        <v>3</v>
      </c>
      <c r="E13" s="66" t="s">
        <v>269</v>
      </c>
      <c r="F13" s="65" t="s">
        <v>142</v>
      </c>
      <c r="G13" s="140"/>
      <c r="M13" s="139"/>
      <c r="N13" s="10"/>
    </row>
    <row r="14" spans="2:14" x14ac:dyDescent="0.4">
      <c r="C14" s="58">
        <f t="shared" si="0"/>
        <v>5</v>
      </c>
      <c r="D14" s="65" t="s">
        <v>3</v>
      </c>
      <c r="E14" s="66" t="s">
        <v>270</v>
      </c>
      <c r="F14" s="65" t="s">
        <v>142</v>
      </c>
      <c r="G14" s="189" t="s">
        <v>295</v>
      </c>
      <c r="L14" s="17"/>
      <c r="M14" s="139"/>
    </row>
    <row r="15" spans="2:14" x14ac:dyDescent="0.4">
      <c r="M15" s="139"/>
    </row>
    <row r="16" spans="2:14" x14ac:dyDescent="0.4">
      <c r="M16" s="139"/>
    </row>
    <row r="17" spans="13:13" x14ac:dyDescent="0.4">
      <c r="M17" s="139"/>
    </row>
    <row r="18" spans="13:13" x14ac:dyDescent="0.4">
      <c r="M18" s="139"/>
    </row>
    <row r="19" spans="13:13" x14ac:dyDescent="0.4">
      <c r="M19" s="10"/>
    </row>
    <row r="20" spans="13:13" x14ac:dyDescent="0.4">
      <c r="M20" s="10"/>
    </row>
  </sheetData>
  <mergeCells count="1">
    <mergeCell ref="B1:E1"/>
  </mergeCells>
  <conditionalFormatting sqref="B4">
    <cfRule type="expression" dxfId="62" priority="2">
      <formula>$J$8="Please capture the Audit Date as financial period has already past"</formula>
    </cfRule>
  </conditionalFormatting>
  <conditionalFormatting sqref="B5:B6">
    <cfRule type="expression" dxfId="61" priority="1">
      <formula>$J$9="Please capture the Audit Date as financial period has already past"</formula>
    </cfRule>
  </conditionalFormatting>
  <conditionalFormatting sqref="F10:F14">
    <cfRule type="expression" dxfId="58" priority="13">
      <formula>F10="Pending"</formula>
    </cfRule>
    <cfRule type="expression" dxfId="57" priority="14">
      <formula>F10="Outstanding"</formula>
    </cfRule>
    <cfRule type="expression" dxfId="56" priority="15">
      <formula>F10="Received"</formula>
    </cfRule>
  </conditionalFormatting>
  <dataValidations count="1">
    <dataValidation type="list" allowBlank="1" showInputMessage="1" showErrorMessage="1" sqref="F10:F14" xr:uid="{00000000-0002-0000-0200-000000000000}">
      <formula1>"Received,Outstanding,Pending,N/A"</formula1>
    </dataValidation>
  </dataValidations>
  <hyperlinks>
    <hyperlink ref="E13" r:id="rId1" display="mailto:info@beeonline.co.za" xr:uid="{F4F89DC3-7424-4524-9036-6032A69D751F}"/>
  </hyperlinks>
  <pageMargins left="0.70866141732283472" right="0.70866141732283472" top="0.74803149606299213" bottom="0.74803149606299213" header="0.31496062992125984" footer="0.31496062992125984"/>
  <pageSetup paperSize="9" scale="90" orientation="landscape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663681A4-5917-4DEA-92E3-09F7F0C2C46F}">
            <xm:f>AND(Home!$C$8-TODAY()&lt;=35,F10="Outstanding")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10" id="{9EC68A79-89EE-42E9-90C6-59F59448CF7B}">
            <xm:f>AND(Home!$C$8-TODAY()&lt;=35,F10="")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F10:F14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/>
  </sheetPr>
  <dimension ref="B1:U31"/>
  <sheetViews>
    <sheetView showGridLines="0" zoomScale="80" zoomScaleNormal="80" workbookViewId="0">
      <selection activeCell="L19" sqref="L19"/>
    </sheetView>
  </sheetViews>
  <sheetFormatPr defaultColWidth="9.109375" defaultRowHeight="16.8" x14ac:dyDescent="0.4"/>
  <cols>
    <col min="1" max="1" width="9.109375" style="1"/>
    <col min="2" max="2" width="29.109375" style="4" customWidth="1"/>
    <col min="3" max="3" width="68.44140625" style="4" bestFit="1" customWidth="1"/>
    <col min="4" max="4" width="24" style="4" customWidth="1"/>
    <col min="5" max="5" width="25.77734375" style="4" customWidth="1"/>
    <col min="6" max="6" width="12.44140625" style="4" bestFit="1" customWidth="1"/>
    <col min="7" max="7" width="11.5546875" style="4" bestFit="1" customWidth="1"/>
    <col min="8" max="8" width="11.44140625" style="4" customWidth="1"/>
    <col min="9" max="9" width="12" style="4" customWidth="1"/>
    <col min="10" max="10" width="14.33203125" style="4" customWidth="1"/>
    <col min="11" max="11" width="15" style="4" bestFit="1" customWidth="1"/>
    <col min="12" max="12" width="15.5546875" style="4" customWidth="1"/>
    <col min="13" max="13" width="14" style="4" customWidth="1"/>
    <col min="14" max="14" width="8.6640625" style="1" customWidth="1"/>
    <col min="15" max="16384" width="9.109375" style="1"/>
  </cols>
  <sheetData>
    <row r="1" spans="2:21" ht="39.75" customHeight="1" x14ac:dyDescent="0.4">
      <c r="B1" s="197" t="str">
        <f>Home!C3&amp;" "&amp;"Audit - Management Control Checklist"</f>
        <v>Thandanani Transport  Audit - Management Control Checklist</v>
      </c>
      <c r="C1" s="197"/>
      <c r="D1" s="197"/>
      <c r="E1" s="197"/>
      <c r="F1" s="197"/>
      <c r="G1" s="197"/>
      <c r="H1" s="10"/>
      <c r="J1" s="1"/>
      <c r="K1" s="1"/>
      <c r="L1" s="1"/>
      <c r="T1" s="61">
        <f>COUNTIF(Management_1[Status],"Received")/(COUNTA(Management_1[Count])-COUNTIF(Management_1[Status],"N/A"))</f>
        <v>0.16666666666666666</v>
      </c>
      <c r="U1" s="61">
        <f>COUNTIF(Management_2[[Interview]:[Disabled 
doc note]],"Received")/(5*COUNTA(Management_2[Count])-COUNTIF(Management_2[[Interview]:[Disabled 
doc note]],"N/A"))</f>
        <v>0.2</v>
      </c>
    </row>
    <row r="2" spans="2:21" x14ac:dyDescent="0.4">
      <c r="B2" s="10"/>
      <c r="C2" s="10"/>
      <c r="D2" s="10"/>
      <c r="E2" s="10"/>
      <c r="F2" s="10"/>
      <c r="G2" s="10"/>
      <c r="H2" s="10"/>
      <c r="J2" s="1"/>
      <c r="K2" s="1"/>
      <c r="L2" s="1"/>
    </row>
    <row r="3" spans="2:21" x14ac:dyDescent="0.4">
      <c r="B3" s="11" t="str">
        <f ca="1">IF(Home!$C$8="",IF(Home!$C$7&lt;TODAY(),"Please capture either the Financial Year End or the Audit Date","Time left before Financial Year End"),"Time left before Audit Date")</f>
        <v>Time left before Audit Date</v>
      </c>
      <c r="C3" s="12"/>
      <c r="D3" s="10"/>
      <c r="E3" s="10"/>
      <c r="F3" s="10"/>
      <c r="G3" s="10"/>
      <c r="H3" s="10"/>
      <c r="J3" s="1"/>
      <c r="K3" s="1"/>
      <c r="L3" s="1"/>
    </row>
    <row r="4" spans="2:21" x14ac:dyDescent="0.4">
      <c r="B4" s="85" t="e">
        <f ca="1">Home!K8</f>
        <v>#VALUE!</v>
      </c>
      <c r="C4" s="10" t="str">
        <f>IF($I$8&lt;=1,"Month    Or;","Months    Or;")</f>
        <v>Month    Or;</v>
      </c>
      <c r="D4" s="18"/>
      <c r="E4" s="18"/>
      <c r="F4" s="18"/>
      <c r="G4" s="18"/>
      <c r="H4" s="18"/>
      <c r="J4" s="1"/>
      <c r="K4" s="1"/>
      <c r="L4" s="1"/>
    </row>
    <row r="5" spans="2:21" x14ac:dyDescent="0.4">
      <c r="B5" s="71">
        <f ca="1">Home!K9</f>
        <v>3.7142857142857144</v>
      </c>
      <c r="C5" s="10" t="e">
        <f>IF(#REF!&lt;=1,"Week    Or;","Weeks     Or;")</f>
        <v>#REF!</v>
      </c>
      <c r="D5" s="4" t="s">
        <v>63</v>
      </c>
      <c r="E5" s="18"/>
      <c r="F5" s="18"/>
      <c r="G5" s="18"/>
      <c r="H5" s="18"/>
      <c r="J5" s="1"/>
      <c r="K5" s="1"/>
      <c r="L5" s="1"/>
    </row>
    <row r="6" spans="2:21" ht="22.2" x14ac:dyDescent="0.55000000000000004">
      <c r="B6" s="71">
        <f ca="1">Home!K10</f>
        <v>19</v>
      </c>
      <c r="C6" s="10" t="e">
        <f>IF(#REF!&lt;=1,"Business Day","Business Days")</f>
        <v>#REF!</v>
      </c>
      <c r="D6" s="19">
        <f>AVERAGE(T1,U1)</f>
        <v>0.18333333333333335</v>
      </c>
      <c r="E6" s="20"/>
      <c r="F6" s="20"/>
      <c r="G6" s="20"/>
      <c r="H6" s="18"/>
      <c r="I6" s="14"/>
      <c r="J6" s="14"/>
      <c r="K6" s="14"/>
    </row>
    <row r="7" spans="2:21" ht="24" customHeight="1" x14ac:dyDescent="0.45">
      <c r="B7" s="10"/>
      <c r="C7" s="18"/>
      <c r="D7" s="18"/>
      <c r="E7" s="18"/>
      <c r="F7" s="60"/>
      <c r="G7" s="18"/>
      <c r="H7" s="18"/>
      <c r="I7" s="14"/>
      <c r="J7" s="14"/>
      <c r="K7" s="14"/>
    </row>
    <row r="8" spans="2:21" ht="18" customHeight="1" x14ac:dyDescent="0.4">
      <c r="B8" s="167" t="s">
        <v>5</v>
      </c>
      <c r="C8" s="168" t="s">
        <v>4</v>
      </c>
      <c r="D8" s="170" t="s">
        <v>60</v>
      </c>
      <c r="E8" s="169" t="s">
        <v>2</v>
      </c>
      <c r="L8" s="1"/>
      <c r="M8" s="1"/>
    </row>
    <row r="9" spans="2:21" x14ac:dyDescent="0.4">
      <c r="B9" s="58">
        <f>ROW(B5)</f>
        <v>5</v>
      </c>
      <c r="C9" s="217" t="s">
        <v>98</v>
      </c>
      <c r="D9" s="59" t="s">
        <v>73</v>
      </c>
      <c r="E9" s="109" t="s">
        <v>296</v>
      </c>
      <c r="L9" s="1"/>
      <c r="M9" s="1"/>
    </row>
    <row r="10" spans="2:21" x14ac:dyDescent="0.4">
      <c r="B10" s="58">
        <f>ROW(B7)</f>
        <v>7</v>
      </c>
      <c r="C10" s="217" t="s">
        <v>274</v>
      </c>
      <c r="D10" s="59" t="s">
        <v>73</v>
      </c>
      <c r="E10" s="54"/>
      <c r="F10" s="10"/>
      <c r="M10" s="1"/>
    </row>
    <row r="11" spans="2:21" x14ac:dyDescent="0.4">
      <c r="B11" s="200">
        <f>ROW(B5)</f>
        <v>5</v>
      </c>
      <c r="C11" s="217" t="s">
        <v>271</v>
      </c>
      <c r="D11" s="201" t="s">
        <v>73</v>
      </c>
      <c r="E11" s="109" t="s">
        <v>296</v>
      </c>
      <c r="F11" s="10"/>
      <c r="M11" s="1"/>
    </row>
    <row r="12" spans="2:21" x14ac:dyDescent="0.4">
      <c r="B12" s="200">
        <f>ROW(B5)</f>
        <v>5</v>
      </c>
      <c r="C12" s="217" t="s">
        <v>273</v>
      </c>
      <c r="D12" s="201" t="s">
        <v>73</v>
      </c>
      <c r="E12" s="202"/>
      <c r="F12" s="10"/>
      <c r="M12" s="1"/>
    </row>
    <row r="13" spans="2:21" x14ac:dyDescent="0.4">
      <c r="B13" s="200">
        <f>ROW(B6)</f>
        <v>6</v>
      </c>
      <c r="C13" s="217" t="s">
        <v>272</v>
      </c>
      <c r="D13" s="201" t="s">
        <v>73</v>
      </c>
      <c r="E13" s="202" t="s">
        <v>297</v>
      </c>
      <c r="F13" s="10"/>
      <c r="M13" s="1"/>
    </row>
    <row r="14" spans="2:21" x14ac:dyDescent="0.4">
      <c r="B14" s="200">
        <f>ROW(B7)</f>
        <v>7</v>
      </c>
      <c r="C14" s="217" t="s">
        <v>9</v>
      </c>
      <c r="D14" s="201" t="s">
        <v>142</v>
      </c>
      <c r="E14" s="202"/>
      <c r="F14" s="10"/>
      <c r="M14" s="1"/>
    </row>
    <row r="15" spans="2:21" x14ac:dyDescent="0.4">
      <c r="B15" s="30"/>
      <c r="C15" s="21"/>
      <c r="D15" s="21"/>
      <c r="E15" s="10"/>
      <c r="F15" s="10"/>
      <c r="G15" s="10"/>
    </row>
    <row r="16" spans="2:21" ht="18.600000000000001" x14ac:dyDescent="0.45">
      <c r="B16" s="18" t="s">
        <v>61</v>
      </c>
      <c r="C16" s="10"/>
      <c r="D16" s="10"/>
      <c r="E16" s="10"/>
      <c r="F16" s="10"/>
      <c r="G16" s="10"/>
      <c r="K16" s="60"/>
    </row>
    <row r="17" spans="2:14" ht="34.200000000000003" customHeight="1" x14ac:dyDescent="0.4">
      <c r="B17" s="167" t="s">
        <v>5</v>
      </c>
      <c r="C17" s="171" t="s">
        <v>6</v>
      </c>
      <c r="D17" s="172" t="s">
        <v>7</v>
      </c>
      <c r="E17" s="173" t="s">
        <v>8</v>
      </c>
      <c r="F17" s="174" t="s">
        <v>31</v>
      </c>
      <c r="G17" s="175" t="s">
        <v>32</v>
      </c>
      <c r="H17" s="175" t="s">
        <v>9</v>
      </c>
      <c r="I17" s="175" t="s">
        <v>62</v>
      </c>
      <c r="J17" s="175" t="s">
        <v>10</v>
      </c>
      <c r="K17" s="175" t="s">
        <v>121</v>
      </c>
      <c r="L17" s="175" t="s">
        <v>122</v>
      </c>
      <c r="N17" s="2"/>
    </row>
    <row r="18" spans="2:14" x14ac:dyDescent="0.4">
      <c r="B18" s="92">
        <f>ROW(A1)</f>
        <v>1</v>
      </c>
      <c r="C18" s="53" t="s">
        <v>275</v>
      </c>
      <c r="D18" s="53" t="s">
        <v>298</v>
      </c>
      <c r="E18" s="53" t="s">
        <v>148</v>
      </c>
      <c r="F18" s="53" t="s">
        <v>154</v>
      </c>
      <c r="G18" s="103" t="s">
        <v>73</v>
      </c>
      <c r="H18" s="103" t="s">
        <v>142</v>
      </c>
      <c r="I18" s="103" t="s">
        <v>73</v>
      </c>
      <c r="J18" s="103" t="s">
        <v>73</v>
      </c>
      <c r="K18" s="103" t="s">
        <v>73</v>
      </c>
      <c r="L18" s="103"/>
      <c r="M18" s="102"/>
      <c r="N18" s="2"/>
    </row>
    <row r="21" spans="2:14" x14ac:dyDescent="0.4">
      <c r="B21" s="154" t="s">
        <v>155</v>
      </c>
      <c r="C21" s="154" t="s">
        <v>156</v>
      </c>
      <c r="D21" s="154" t="s">
        <v>157</v>
      </c>
      <c r="E21" s="154" t="s">
        <v>158</v>
      </c>
    </row>
    <row r="22" spans="2:14" x14ac:dyDescent="0.4">
      <c r="B22" s="155"/>
      <c r="C22" s="156"/>
      <c r="D22" s="155"/>
      <c r="E22" s="155"/>
    </row>
    <row r="23" spans="2:14" x14ac:dyDescent="0.4">
      <c r="B23" s="155"/>
      <c r="C23" s="156"/>
      <c r="D23" s="155"/>
      <c r="E23" s="155"/>
    </row>
    <row r="24" spans="2:14" x14ac:dyDescent="0.4">
      <c r="B24" s="155"/>
      <c r="C24" s="156"/>
      <c r="D24" s="155"/>
      <c r="E24" s="155"/>
    </row>
    <row r="25" spans="2:14" x14ac:dyDescent="0.4">
      <c r="B25" s="155"/>
      <c r="C25" s="156"/>
      <c r="D25" s="155"/>
      <c r="E25" s="155"/>
    </row>
    <row r="26" spans="2:14" x14ac:dyDescent="0.4">
      <c r="B26" s="155"/>
      <c r="C26" s="156"/>
      <c r="D26" s="155"/>
      <c r="E26" s="155"/>
    </row>
    <row r="27" spans="2:14" x14ac:dyDescent="0.4">
      <c r="B27" s="155"/>
      <c r="C27" s="156"/>
      <c r="D27" s="155"/>
      <c r="E27" s="155"/>
    </row>
    <row r="28" spans="2:14" x14ac:dyDescent="0.4">
      <c r="B28" s="155"/>
      <c r="C28" s="156"/>
      <c r="D28" s="155"/>
      <c r="E28" s="155"/>
    </row>
    <row r="29" spans="2:14" x14ac:dyDescent="0.4">
      <c r="B29" s="155"/>
      <c r="C29" s="156"/>
      <c r="D29" s="155"/>
      <c r="E29" s="155"/>
    </row>
    <row r="30" spans="2:14" x14ac:dyDescent="0.4">
      <c r="B30" s="155"/>
      <c r="C30" s="156"/>
      <c r="D30" s="155"/>
      <c r="E30" s="155"/>
    </row>
    <row r="31" spans="2:14" x14ac:dyDescent="0.4">
      <c r="B31" s="155"/>
      <c r="C31" s="156"/>
      <c r="D31" s="155"/>
      <c r="E31" s="155"/>
    </row>
  </sheetData>
  <mergeCells count="1">
    <mergeCell ref="B1:G1"/>
  </mergeCells>
  <conditionalFormatting sqref="B4">
    <cfRule type="expression" dxfId="55" priority="8">
      <formula>$I$8="Please capture the Audit Date as financial period has already past"</formula>
    </cfRule>
  </conditionalFormatting>
  <conditionalFormatting sqref="B5:B6">
    <cfRule type="expression" dxfId="54" priority="83">
      <formula>$I$9="Please capture the Audit Date as financial period has already past"</formula>
    </cfRule>
  </conditionalFormatting>
  <conditionalFormatting sqref="D9:D14 G18:L18">
    <cfRule type="expression" dxfId="51" priority="28">
      <formula>D9="Pending"</formula>
    </cfRule>
    <cfRule type="expression" dxfId="50" priority="29">
      <formula>D9="Outstanding"</formula>
    </cfRule>
    <cfRule type="expression" dxfId="49" priority="30">
      <formula>D9="Received"</formula>
    </cfRule>
  </conditionalFormatting>
  <dataValidations count="2">
    <dataValidation type="list" allowBlank="1" showInputMessage="1" showErrorMessage="1" sqref="D9:D14 G18:L18" xr:uid="{00000000-0002-0000-0300-000003000000}">
      <formula1>"Received,Outstanding,Pending,N/A"</formula1>
    </dataValidation>
    <dataValidation type="list" allowBlank="1" showInputMessage="1" showErrorMessage="1" sqref="E18" xr:uid="{00000000-0002-0000-0300-000000000000}">
      <formula1>"A,C,I,W"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982A3964-C09F-4B74-A5DB-52C988B52B5D}">
            <xm:f>AND(Home!$C$8-TODAY()&lt;=35,D9="Outstanding")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26" id="{8214A1B0-A679-4CC0-A381-8C1AF876D55F}">
            <xm:f>AND(Home!$C$8-TODAY()&lt;=35,D9="")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D9:D14 G18:L18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/>
  </sheetPr>
  <dimension ref="A1:Z73"/>
  <sheetViews>
    <sheetView showGridLines="0" zoomScale="80" zoomScaleNormal="80" workbookViewId="0">
      <selection activeCell="C25" sqref="C25:R25"/>
    </sheetView>
  </sheetViews>
  <sheetFormatPr defaultColWidth="9.109375" defaultRowHeight="16.8" x14ac:dyDescent="0.4"/>
  <cols>
    <col min="1" max="1" width="9.109375" style="32"/>
    <col min="2" max="2" width="13.5546875" style="32" customWidth="1"/>
    <col min="3" max="3" width="45.6640625" style="32" bestFit="1" customWidth="1"/>
    <col min="4" max="4" width="41.33203125" style="32" bestFit="1" customWidth="1"/>
    <col min="5" max="5" width="15" style="32" bestFit="1" customWidth="1"/>
    <col min="6" max="6" width="14.5546875" style="32" customWidth="1"/>
    <col min="7" max="7" width="13.88671875" style="32" customWidth="1"/>
    <col min="8" max="8" width="15.109375" style="32" bestFit="1" customWidth="1"/>
    <col min="9" max="9" width="15.44140625" style="32" customWidth="1"/>
    <col min="10" max="10" width="14.109375" style="32" customWidth="1"/>
    <col min="11" max="11" width="17" style="32" customWidth="1"/>
    <col min="12" max="12" width="14.5546875" style="32" customWidth="1"/>
    <col min="13" max="13" width="17.33203125" style="32" bestFit="1" customWidth="1"/>
    <col min="14" max="14" width="16.88671875" style="32" customWidth="1"/>
    <col min="15" max="15" width="15.88671875" style="32" customWidth="1"/>
    <col min="16" max="16" width="18.44140625" style="32" customWidth="1"/>
    <col min="17" max="17" width="13.88671875" style="32" customWidth="1"/>
    <col min="18" max="18" width="13.5546875" style="32" customWidth="1"/>
    <col min="19" max="16384" width="9.109375" style="32"/>
  </cols>
  <sheetData>
    <row r="1" spans="2:26" ht="35.25" customHeight="1" x14ac:dyDescent="0.4">
      <c r="B1" s="197" t="str">
        <f>Home!C3&amp;" "&amp;"Audit - Skills Development Checklist"</f>
        <v>Thandanani Transport  Audit - Skills Development Checklist</v>
      </c>
      <c r="C1" s="197"/>
      <c r="D1" s="197"/>
      <c r="E1" s="197"/>
      <c r="F1" s="197"/>
      <c r="G1" s="31"/>
      <c r="J1" s="33"/>
      <c r="K1" s="33"/>
      <c r="L1" s="31"/>
      <c r="O1" s="31"/>
      <c r="W1" s="61">
        <f>COUNTIF(Skills_1[Status],"Received")/(COUNTA(Skills_1[Count])-COUNTIF(Skills_1[Status],"N/A"))</f>
        <v>0.4</v>
      </c>
      <c r="X1" s="61">
        <f>COUNTIF(Skills_2[[Proof of attendance]:[Certified 
ID copy]],"Received")/(4*COUNTA(Skills_2[Count])-COUNTIF(Skills_2[[Proof of attendance]:[Certified 
ID copy]],"N/A"))</f>
        <v>0.25</v>
      </c>
      <c r="Y1" s="61">
        <f>COUNTIF(Skills_3[[Proof of attendance]:[EEA1 Form]],"Received")/(8*COUNTA(Skills_3[Count])-COUNTIF(Skills_3[[Proof of attendance]:[EEA1 Form]],"N/A"))</f>
        <v>0.125</v>
      </c>
      <c r="Z1" s="61">
        <f>COUNTIF(Skills_4[Invoices],"Received")/(COUNTA(Skills_4[Count])-COUNTIF(Skills_4[Invoices],"N/A"))</f>
        <v>0</v>
      </c>
    </row>
    <row r="2" spans="2:26" ht="15" customHeight="1" x14ac:dyDescent="0.4">
      <c r="B2" s="31"/>
      <c r="C2" s="31"/>
      <c r="D2" s="31"/>
      <c r="E2" s="31"/>
      <c r="F2" s="31"/>
      <c r="G2" s="31"/>
      <c r="I2" s="31"/>
      <c r="J2" s="31"/>
      <c r="K2" s="31"/>
      <c r="O2" s="31"/>
    </row>
    <row r="3" spans="2:26" ht="15" customHeight="1" x14ac:dyDescent="0.4">
      <c r="B3" s="34" t="str">
        <f ca="1">IF(Home!$C$8="",IF(Home!$C$7&lt;TODAY(),"Please capture either the Financial Year End or the Audit Date","Time left before Financial Year End"),"Time left before Audit Date")</f>
        <v>Time left before Audit Date</v>
      </c>
      <c r="C3" s="31"/>
      <c r="D3" s="31"/>
      <c r="E3" s="31"/>
      <c r="F3" s="31"/>
      <c r="G3" s="31"/>
      <c r="I3" s="31"/>
      <c r="J3" s="31"/>
      <c r="K3" s="31"/>
      <c r="O3" s="31"/>
    </row>
    <row r="4" spans="2:26" ht="15" customHeight="1" x14ac:dyDescent="0.4">
      <c r="B4" s="85" t="e">
        <f ca="1">Home!K8</f>
        <v>#VALUE!</v>
      </c>
      <c r="C4" s="10" t="str">
        <f>IF($J$8&lt;=1,"Month    Or;","Months    Or;")</f>
        <v>Month    Or;</v>
      </c>
      <c r="D4" s="31"/>
      <c r="E4" s="31"/>
      <c r="F4" s="31"/>
      <c r="G4" s="31"/>
      <c r="I4" s="31"/>
      <c r="J4" s="31"/>
      <c r="K4" s="31"/>
      <c r="O4" s="31"/>
    </row>
    <row r="5" spans="2:26" ht="15" customHeight="1" x14ac:dyDescent="0.4">
      <c r="B5" s="71">
        <f ca="1">Home!K9</f>
        <v>3.7142857142857144</v>
      </c>
      <c r="C5" s="10" t="str">
        <f>IF($J$9&lt;=1,"Week    Or;","Weeks     Or;")</f>
        <v>Week    Or;</v>
      </c>
      <c r="D5" s="4" t="s">
        <v>63</v>
      </c>
      <c r="E5" s="31"/>
      <c r="F5" s="31"/>
      <c r="G5" s="31"/>
      <c r="I5" s="31"/>
      <c r="J5" s="31"/>
      <c r="K5" s="31"/>
      <c r="O5" s="31"/>
    </row>
    <row r="6" spans="2:26" ht="15" customHeight="1" x14ac:dyDescent="0.55000000000000004">
      <c r="B6" s="71">
        <f ca="1">Home!K10</f>
        <v>19</v>
      </c>
      <c r="C6" s="10" t="str">
        <f ca="1">Home!L10</f>
        <v>Business Days</v>
      </c>
      <c r="D6" s="19">
        <f>AVERAGE(W1:Z1)</f>
        <v>0.19375000000000001</v>
      </c>
      <c r="E6" s="31"/>
      <c r="F6" s="31"/>
      <c r="G6" s="31"/>
      <c r="I6" s="35"/>
      <c r="J6" s="35"/>
      <c r="K6" s="31"/>
      <c r="O6" s="31"/>
    </row>
    <row r="7" spans="2:26" x14ac:dyDescent="0.4">
      <c r="B7" s="31"/>
      <c r="C7" s="31"/>
      <c r="D7" s="31"/>
      <c r="E7" s="31"/>
      <c r="F7" s="31"/>
      <c r="G7" s="31"/>
      <c r="H7" s="31"/>
      <c r="J7" s="31"/>
      <c r="K7" s="31"/>
      <c r="L7" s="31"/>
      <c r="M7" s="31"/>
      <c r="N7" s="31"/>
      <c r="O7" s="31"/>
    </row>
    <row r="8" spans="2:26" ht="18" customHeight="1" x14ac:dyDescent="0.4">
      <c r="B8" s="49" t="s">
        <v>5</v>
      </c>
      <c r="C8" s="168" t="s">
        <v>1</v>
      </c>
      <c r="D8" s="169" t="s">
        <v>60</v>
      </c>
      <c r="E8" s="176" t="s">
        <v>2</v>
      </c>
      <c r="F8" s="31"/>
      <c r="G8" s="31"/>
      <c r="J8" s="31"/>
      <c r="K8" s="31"/>
      <c r="L8" s="31"/>
      <c r="M8" s="31"/>
      <c r="N8" s="31"/>
      <c r="O8" s="31"/>
    </row>
    <row r="9" spans="2:26" x14ac:dyDescent="0.4">
      <c r="B9" s="52">
        <f>ROW(A1)</f>
        <v>1</v>
      </c>
      <c r="C9" s="53" t="s">
        <v>105</v>
      </c>
      <c r="D9" s="90" t="s">
        <v>73</v>
      </c>
      <c r="E9" s="54"/>
      <c r="F9" s="104"/>
      <c r="G9" s="31"/>
      <c r="H9" s="31"/>
      <c r="I9" s="31"/>
      <c r="J9" s="31"/>
      <c r="K9"/>
      <c r="L9" s="31"/>
      <c r="M9" s="31"/>
      <c r="N9" s="31"/>
      <c r="O9" s="31"/>
    </row>
    <row r="10" spans="2:26" x14ac:dyDescent="0.4">
      <c r="B10" s="52">
        <f>ROW(A2)</f>
        <v>2</v>
      </c>
      <c r="C10" s="121" t="s">
        <v>123</v>
      </c>
      <c r="D10" s="90" t="s">
        <v>142</v>
      </c>
      <c r="E10" s="130"/>
      <c r="F10" s="104"/>
      <c r="G10" s="31"/>
      <c r="H10" s="31"/>
      <c r="I10" s="31"/>
      <c r="J10" s="31"/>
      <c r="K10"/>
      <c r="L10" s="31"/>
      <c r="M10" s="31"/>
      <c r="N10" s="31"/>
      <c r="O10" s="31"/>
    </row>
    <row r="11" spans="2:26" x14ac:dyDescent="0.4">
      <c r="B11" s="52">
        <f>ROW(A3)</f>
        <v>3</v>
      </c>
      <c r="C11" s="121" t="s">
        <v>124</v>
      </c>
      <c r="D11" s="90" t="s">
        <v>73</v>
      </c>
      <c r="E11" s="130"/>
      <c r="F11" s="104"/>
      <c r="G11" s="31"/>
      <c r="H11" s="31"/>
      <c r="I11" s="31"/>
      <c r="J11" s="31"/>
      <c r="K11"/>
      <c r="L11" s="31"/>
      <c r="M11" s="31"/>
      <c r="N11" s="31"/>
      <c r="O11" s="31"/>
    </row>
    <row r="12" spans="2:26" x14ac:dyDescent="0.4">
      <c r="B12" s="52">
        <f>ROW(A4)</f>
        <v>4</v>
      </c>
      <c r="C12" s="121" t="s">
        <v>125</v>
      </c>
      <c r="D12" s="90" t="s">
        <v>142</v>
      </c>
      <c r="E12" s="130"/>
      <c r="F12" s="104"/>
      <c r="G12" s="31"/>
      <c r="H12" s="31"/>
      <c r="I12" s="31"/>
      <c r="J12" s="31"/>
      <c r="K12"/>
      <c r="L12" s="31"/>
      <c r="M12" s="31"/>
      <c r="N12" s="31"/>
      <c r="O12" s="31"/>
    </row>
    <row r="13" spans="2:26" x14ac:dyDescent="0.4">
      <c r="B13" s="52">
        <f>ROW(A5)</f>
        <v>5</v>
      </c>
      <c r="C13" s="53" t="s">
        <v>106</v>
      </c>
      <c r="D13" s="90" t="s">
        <v>73</v>
      </c>
      <c r="E13" s="130"/>
      <c r="F13" s="104"/>
      <c r="G13" s="31"/>
      <c r="H13" s="31"/>
      <c r="I13" s="31"/>
      <c r="J13" s="31"/>
      <c r="K13"/>
      <c r="L13" s="31"/>
      <c r="M13" s="31"/>
      <c r="N13" s="31"/>
      <c r="O13" s="31"/>
    </row>
    <row r="14" spans="2:26" x14ac:dyDescent="0.4">
      <c r="B14" s="36"/>
      <c r="C14" s="31"/>
      <c r="D14" s="37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2:26" x14ac:dyDescent="0.4">
      <c r="B15" s="36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2:26" x14ac:dyDescent="0.4">
      <c r="B16" s="11" t="s">
        <v>22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23" ht="26.25" customHeight="1" x14ac:dyDescent="0.4">
      <c r="B17" s="49" t="s">
        <v>5</v>
      </c>
      <c r="C17" s="177" t="s">
        <v>23</v>
      </c>
      <c r="D17" s="177" t="s">
        <v>126</v>
      </c>
      <c r="E17" s="177" t="s">
        <v>24</v>
      </c>
      <c r="F17" s="178" t="s">
        <v>25</v>
      </c>
      <c r="G17" s="179" t="s">
        <v>26</v>
      </c>
      <c r="H17" s="179" t="s">
        <v>31</v>
      </c>
      <c r="I17" s="178" t="s">
        <v>109</v>
      </c>
      <c r="J17" s="178" t="s">
        <v>27</v>
      </c>
      <c r="K17" s="178" t="s">
        <v>17</v>
      </c>
      <c r="L17" s="178" t="s">
        <v>107</v>
      </c>
      <c r="M17" s="180" t="s">
        <v>127</v>
      </c>
      <c r="O17" s="31"/>
    </row>
    <row r="18" spans="1:23" x14ac:dyDescent="0.4">
      <c r="B18" s="105">
        <f>ROW(A1)</f>
        <v>1</v>
      </c>
      <c r="C18" s="112" t="s">
        <v>153</v>
      </c>
      <c r="D18" s="112" t="s">
        <v>152</v>
      </c>
      <c r="E18" s="153"/>
      <c r="F18" s="114">
        <v>27000</v>
      </c>
      <c r="G18" s="115" t="s">
        <v>148</v>
      </c>
      <c r="H18" s="115" t="s">
        <v>149</v>
      </c>
      <c r="I18" s="108" t="s">
        <v>142</v>
      </c>
      <c r="J18" s="108" t="s">
        <v>142</v>
      </c>
      <c r="K18" s="108" t="s">
        <v>142</v>
      </c>
      <c r="L18" s="108" t="s">
        <v>142</v>
      </c>
      <c r="M18" s="108" t="s">
        <v>142</v>
      </c>
      <c r="N18" s="104"/>
      <c r="O18" s="31"/>
      <c r="P18" s="31"/>
      <c r="Q18" s="31"/>
      <c r="R18" s="31"/>
    </row>
    <row r="19" spans="1:23" x14ac:dyDescent="0.4">
      <c r="B19" s="105">
        <f>ROW(A2)</f>
        <v>2</v>
      </c>
      <c r="C19" s="116"/>
      <c r="D19" s="112"/>
      <c r="E19" s="113"/>
      <c r="F19" s="117"/>
      <c r="G19" s="118"/>
      <c r="H19" s="119"/>
      <c r="I19" s="108" t="s">
        <v>73</v>
      </c>
      <c r="J19" s="108" t="s">
        <v>73</v>
      </c>
      <c r="K19" s="108" t="s">
        <v>73</v>
      </c>
      <c r="L19" s="108" t="s">
        <v>73</v>
      </c>
      <c r="M19" s="108" t="s">
        <v>73</v>
      </c>
      <c r="N19" s="104"/>
      <c r="O19" s="31"/>
      <c r="P19" s="31"/>
      <c r="Q19" s="31"/>
      <c r="R19" s="31"/>
    </row>
    <row r="20" spans="1:23" x14ac:dyDescent="0.4">
      <c r="B20" s="105">
        <f>ROW(A3)</f>
        <v>3</v>
      </c>
      <c r="C20" s="112"/>
      <c r="D20" s="112"/>
      <c r="E20" s="113"/>
      <c r="F20" s="114"/>
      <c r="G20" s="115"/>
      <c r="H20" s="115"/>
      <c r="I20" s="108" t="s">
        <v>73</v>
      </c>
      <c r="J20" s="108" t="s">
        <v>73</v>
      </c>
      <c r="K20" s="108" t="s">
        <v>73</v>
      </c>
      <c r="L20" s="108" t="s">
        <v>73</v>
      </c>
      <c r="M20" s="108" t="s">
        <v>73</v>
      </c>
      <c r="N20" s="104"/>
      <c r="O20" s="31"/>
      <c r="P20" s="31"/>
      <c r="Q20" s="31"/>
      <c r="R20" s="31"/>
    </row>
    <row r="21" spans="1:23" x14ac:dyDescent="0.4">
      <c r="B21" s="105">
        <f>ROW(A4)</f>
        <v>4</v>
      </c>
      <c r="C21" s="112"/>
      <c r="D21" s="112"/>
      <c r="E21" s="113"/>
      <c r="F21" s="114"/>
      <c r="G21" s="115"/>
      <c r="H21" s="115"/>
      <c r="I21" s="108" t="s">
        <v>73</v>
      </c>
      <c r="J21" s="108" t="s">
        <v>73</v>
      </c>
      <c r="K21" s="108" t="s">
        <v>73</v>
      </c>
      <c r="L21" s="108" t="s">
        <v>73</v>
      </c>
      <c r="M21" s="108" t="s">
        <v>73</v>
      </c>
      <c r="N21" s="104"/>
      <c r="O21" s="31"/>
      <c r="P21" s="31"/>
      <c r="Q21" s="31"/>
      <c r="R21" s="31"/>
    </row>
    <row r="22" spans="1:23" x14ac:dyDescent="0.4">
      <c r="B22" s="36"/>
      <c r="C22" s="31"/>
      <c r="D22" s="37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23" x14ac:dyDescent="0.4">
      <c r="B23" s="36"/>
      <c r="C23" s="31"/>
      <c r="D23" s="37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23" x14ac:dyDescent="0.4">
      <c r="B24" s="11" t="s">
        <v>28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23" ht="48.6" x14ac:dyDescent="0.4">
      <c r="B25" s="49" t="s">
        <v>5</v>
      </c>
      <c r="C25" s="168" t="s">
        <v>29</v>
      </c>
      <c r="D25" s="168" t="s">
        <v>30</v>
      </c>
      <c r="E25" s="170" t="s">
        <v>26</v>
      </c>
      <c r="F25" s="179" t="s">
        <v>31</v>
      </c>
      <c r="G25" s="169" t="s">
        <v>95</v>
      </c>
      <c r="H25" s="169" t="s">
        <v>96</v>
      </c>
      <c r="I25" s="178" t="s">
        <v>109</v>
      </c>
      <c r="J25" s="181" t="s">
        <v>17</v>
      </c>
      <c r="K25" s="181" t="s">
        <v>27</v>
      </c>
      <c r="L25" s="181" t="s">
        <v>87</v>
      </c>
      <c r="M25" s="181" t="s">
        <v>86</v>
      </c>
      <c r="N25" s="181" t="s">
        <v>108</v>
      </c>
      <c r="O25" s="181" t="s">
        <v>88</v>
      </c>
      <c r="P25" s="181" t="s">
        <v>128</v>
      </c>
      <c r="Q25" s="181" t="s">
        <v>121</v>
      </c>
      <c r="R25" s="182" t="s">
        <v>122</v>
      </c>
    </row>
    <row r="26" spans="1:23" x14ac:dyDescent="0.4">
      <c r="A26" s="106"/>
      <c r="B26" s="62">
        <f t="shared" ref="B26:B34" si="0">ROW(B1)</f>
        <v>1</v>
      </c>
      <c r="C26" s="64" t="s">
        <v>150</v>
      </c>
      <c r="D26" s="53"/>
      <c r="E26" s="59" t="s">
        <v>148</v>
      </c>
      <c r="F26" s="100" t="s">
        <v>149</v>
      </c>
      <c r="G26" s="101">
        <v>7000</v>
      </c>
      <c r="H26" s="141">
        <v>6000</v>
      </c>
      <c r="I26" s="69" t="s">
        <v>142</v>
      </c>
      <c r="J26" s="69" t="s">
        <v>73</v>
      </c>
      <c r="K26" s="69" t="s">
        <v>73</v>
      </c>
      <c r="L26" s="69" t="s">
        <v>142</v>
      </c>
      <c r="M26" s="69" t="s">
        <v>73</v>
      </c>
      <c r="N26" s="69" t="s">
        <v>73</v>
      </c>
      <c r="O26" s="69" t="s">
        <v>73</v>
      </c>
      <c r="P26" s="69" t="s">
        <v>73</v>
      </c>
      <c r="Q26" s="69" t="s">
        <v>73</v>
      </c>
      <c r="R26" s="69" t="s">
        <v>73</v>
      </c>
      <c r="U26" s="31"/>
      <c r="V26" s="31"/>
      <c r="W26" s="31"/>
    </row>
    <row r="27" spans="1:23" x14ac:dyDescent="0.4">
      <c r="A27" s="106"/>
      <c r="B27" s="62">
        <f t="shared" si="0"/>
        <v>2</v>
      </c>
      <c r="C27" s="64" t="s">
        <v>151</v>
      </c>
      <c r="D27" s="53"/>
      <c r="E27" s="59" t="s">
        <v>148</v>
      </c>
      <c r="F27" s="100" t="s">
        <v>154</v>
      </c>
      <c r="G27" s="101">
        <v>68500</v>
      </c>
      <c r="H27" s="141">
        <v>6000</v>
      </c>
      <c r="I27" s="69" t="s">
        <v>73</v>
      </c>
      <c r="J27" s="69" t="s">
        <v>73</v>
      </c>
      <c r="K27" s="69" t="s">
        <v>142</v>
      </c>
      <c r="L27" s="69" t="s">
        <v>142</v>
      </c>
      <c r="M27" s="69" t="s">
        <v>73</v>
      </c>
      <c r="N27" s="69" t="s">
        <v>142</v>
      </c>
      <c r="O27" s="69" t="s">
        <v>73</v>
      </c>
      <c r="P27" s="69" t="s">
        <v>73</v>
      </c>
      <c r="Q27" s="69" t="s">
        <v>142</v>
      </c>
      <c r="R27" s="69" t="s">
        <v>142</v>
      </c>
      <c r="U27" s="31"/>
      <c r="V27" s="31"/>
      <c r="W27" s="31"/>
    </row>
    <row r="28" spans="1:23" x14ac:dyDescent="0.4">
      <c r="A28" s="106"/>
      <c r="B28" s="62">
        <f t="shared" si="0"/>
        <v>3</v>
      </c>
      <c r="C28" s="64" t="s">
        <v>151</v>
      </c>
      <c r="D28" s="53"/>
      <c r="E28" s="59" t="s">
        <v>148</v>
      </c>
      <c r="F28" s="100" t="s">
        <v>154</v>
      </c>
      <c r="G28" s="101">
        <v>7000</v>
      </c>
      <c r="H28" s="141">
        <v>6000</v>
      </c>
      <c r="I28" s="69" t="s">
        <v>73</v>
      </c>
      <c r="J28" s="69" t="s">
        <v>73</v>
      </c>
      <c r="K28" s="69" t="s">
        <v>142</v>
      </c>
      <c r="L28" s="69" t="s">
        <v>142</v>
      </c>
      <c r="M28" s="69" t="s">
        <v>73</v>
      </c>
      <c r="N28" s="69" t="s">
        <v>142</v>
      </c>
      <c r="O28" s="69" t="s">
        <v>73</v>
      </c>
      <c r="P28" s="69" t="s">
        <v>73</v>
      </c>
      <c r="Q28" s="69" t="s">
        <v>73</v>
      </c>
      <c r="R28" s="69" t="s">
        <v>73</v>
      </c>
      <c r="U28" s="31"/>
      <c r="V28" s="31"/>
      <c r="W28" s="31"/>
    </row>
    <row r="29" spans="1:23" x14ac:dyDescent="0.4">
      <c r="A29" s="106"/>
      <c r="B29" s="62">
        <f t="shared" si="0"/>
        <v>4</v>
      </c>
      <c r="C29" s="64"/>
      <c r="D29" s="53"/>
      <c r="E29" s="59"/>
      <c r="F29" s="100"/>
      <c r="G29" s="101"/>
      <c r="H29" s="101"/>
      <c r="I29" s="69" t="s">
        <v>73</v>
      </c>
      <c r="J29" s="69" t="s">
        <v>73</v>
      </c>
      <c r="K29" s="69" t="s">
        <v>73</v>
      </c>
      <c r="L29" s="69" t="s">
        <v>73</v>
      </c>
      <c r="M29" s="69" t="s">
        <v>73</v>
      </c>
      <c r="N29" s="69" t="s">
        <v>73</v>
      </c>
      <c r="O29" s="69" t="s">
        <v>73</v>
      </c>
      <c r="P29" s="69" t="s">
        <v>73</v>
      </c>
      <c r="Q29" s="69" t="s">
        <v>73</v>
      </c>
      <c r="R29" s="69" t="s">
        <v>73</v>
      </c>
      <c r="U29" s="31"/>
      <c r="V29" s="31"/>
      <c r="W29" s="31"/>
    </row>
    <row r="30" spans="1:23" x14ac:dyDescent="0.4">
      <c r="A30" s="106"/>
      <c r="B30" s="62">
        <f t="shared" si="0"/>
        <v>5</v>
      </c>
      <c r="C30" s="64"/>
      <c r="D30" s="53"/>
      <c r="E30" s="59"/>
      <c r="F30" s="100"/>
      <c r="G30" s="101"/>
      <c r="H30" s="101"/>
      <c r="I30" s="69" t="s">
        <v>73</v>
      </c>
      <c r="J30" s="69" t="s">
        <v>73</v>
      </c>
      <c r="K30" s="69" t="s">
        <v>73</v>
      </c>
      <c r="L30" s="69" t="s">
        <v>73</v>
      </c>
      <c r="M30" s="69" t="s">
        <v>73</v>
      </c>
      <c r="N30" s="69" t="s">
        <v>73</v>
      </c>
      <c r="O30" s="69" t="s">
        <v>73</v>
      </c>
      <c r="P30" s="69" t="s">
        <v>73</v>
      </c>
      <c r="Q30" s="69" t="s">
        <v>73</v>
      </c>
      <c r="R30" s="69" t="s">
        <v>73</v>
      </c>
      <c r="U30" s="31"/>
      <c r="V30" s="31"/>
      <c r="W30" s="31"/>
    </row>
    <row r="31" spans="1:23" x14ac:dyDescent="0.4">
      <c r="A31" s="106"/>
      <c r="B31" s="62">
        <f t="shared" si="0"/>
        <v>6</v>
      </c>
      <c r="C31" s="142"/>
      <c r="D31" s="121"/>
      <c r="E31" s="59"/>
      <c r="F31" s="129"/>
      <c r="G31" s="143"/>
      <c r="H31" s="144"/>
      <c r="I31" s="69" t="s">
        <v>73</v>
      </c>
      <c r="J31" s="69" t="s">
        <v>73</v>
      </c>
      <c r="K31" s="69" t="s">
        <v>73</v>
      </c>
      <c r="L31" s="69" t="s">
        <v>73</v>
      </c>
      <c r="M31" s="69" t="s">
        <v>73</v>
      </c>
      <c r="N31" s="69" t="s">
        <v>73</v>
      </c>
      <c r="O31" s="69" t="s">
        <v>73</v>
      </c>
      <c r="P31" s="69" t="s">
        <v>73</v>
      </c>
      <c r="Q31" s="69" t="s">
        <v>73</v>
      </c>
      <c r="R31" s="69" t="s">
        <v>73</v>
      </c>
      <c r="U31" s="31"/>
      <c r="V31" s="31"/>
      <c r="W31" s="31"/>
    </row>
    <row r="32" spans="1:23" x14ac:dyDescent="0.4">
      <c r="A32" s="106"/>
      <c r="B32" s="62">
        <f t="shared" si="0"/>
        <v>7</v>
      </c>
      <c r="C32" s="142"/>
      <c r="D32" s="121"/>
      <c r="E32" s="59"/>
      <c r="F32" s="129"/>
      <c r="G32" s="143"/>
      <c r="H32" s="144"/>
      <c r="I32" s="69" t="s">
        <v>73</v>
      </c>
      <c r="J32" s="69" t="s">
        <v>73</v>
      </c>
      <c r="K32" s="69" t="s">
        <v>73</v>
      </c>
      <c r="L32" s="69" t="s">
        <v>73</v>
      </c>
      <c r="M32" s="69" t="s">
        <v>73</v>
      </c>
      <c r="N32" s="69" t="s">
        <v>73</v>
      </c>
      <c r="O32" s="69" t="s">
        <v>73</v>
      </c>
      <c r="P32" s="69" t="s">
        <v>73</v>
      </c>
      <c r="Q32" s="69" t="s">
        <v>73</v>
      </c>
      <c r="R32" s="69" t="s">
        <v>73</v>
      </c>
      <c r="U32" s="31"/>
      <c r="V32" s="31"/>
      <c r="W32" s="31"/>
    </row>
    <row r="33" spans="1:23" x14ac:dyDescent="0.4">
      <c r="A33" s="106"/>
      <c r="B33" s="62">
        <f t="shared" si="0"/>
        <v>8</v>
      </c>
      <c r="C33" s="142"/>
      <c r="D33" s="121"/>
      <c r="E33" s="59"/>
      <c r="F33" s="129"/>
      <c r="G33" s="143"/>
      <c r="H33" s="144"/>
      <c r="I33" s="69" t="s">
        <v>73</v>
      </c>
      <c r="J33" s="69" t="s">
        <v>73</v>
      </c>
      <c r="K33" s="69" t="s">
        <v>73</v>
      </c>
      <c r="L33" s="69" t="s">
        <v>73</v>
      </c>
      <c r="M33" s="69" t="s">
        <v>73</v>
      </c>
      <c r="N33" s="69" t="s">
        <v>73</v>
      </c>
      <c r="O33" s="69" t="s">
        <v>73</v>
      </c>
      <c r="P33" s="69" t="s">
        <v>73</v>
      </c>
      <c r="Q33" s="69" t="s">
        <v>73</v>
      </c>
      <c r="R33" s="69" t="s">
        <v>73</v>
      </c>
      <c r="U33" s="31"/>
      <c r="V33" s="31"/>
      <c r="W33" s="31"/>
    </row>
    <row r="34" spans="1:23" x14ac:dyDescent="0.4">
      <c r="A34" s="107"/>
      <c r="B34" s="62">
        <f t="shared" si="0"/>
        <v>9</v>
      </c>
      <c r="C34" s="64"/>
      <c r="D34" s="53"/>
      <c r="E34" s="59"/>
      <c r="F34" s="129"/>
      <c r="G34" s="101"/>
      <c r="H34" s="101"/>
      <c r="I34" s="69" t="s">
        <v>73</v>
      </c>
      <c r="J34" s="69" t="s">
        <v>73</v>
      </c>
      <c r="K34" s="69" t="s">
        <v>73</v>
      </c>
      <c r="L34" s="69" t="s">
        <v>73</v>
      </c>
      <c r="M34" s="69" t="s">
        <v>73</v>
      </c>
      <c r="N34" s="69" t="s">
        <v>73</v>
      </c>
      <c r="O34" s="69" t="s">
        <v>73</v>
      </c>
      <c r="P34" s="69" t="s">
        <v>73</v>
      </c>
      <c r="Q34" s="69" t="s">
        <v>73</v>
      </c>
      <c r="R34" s="69" t="s">
        <v>73</v>
      </c>
      <c r="U34" s="31"/>
      <c r="V34" s="31"/>
      <c r="W34" s="31"/>
    </row>
    <row r="35" spans="1:23" x14ac:dyDescent="0.4">
      <c r="B35" s="36"/>
      <c r="C35" s="31"/>
      <c r="D35" s="37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1:23" x14ac:dyDescent="0.4">
      <c r="B36" s="11" t="s">
        <v>89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1:23" x14ac:dyDescent="0.4">
      <c r="B37" s="49" t="s">
        <v>5</v>
      </c>
      <c r="C37" s="50" t="s">
        <v>29</v>
      </c>
      <c r="D37" s="50" t="s">
        <v>35</v>
      </c>
      <c r="E37" s="68" t="s">
        <v>136</v>
      </c>
      <c r="F37" s="149" t="s">
        <v>137</v>
      </c>
      <c r="K37" s="31"/>
      <c r="L37" s="31"/>
      <c r="M37" s="31"/>
      <c r="Q37" s="31"/>
    </row>
    <row r="38" spans="1:23" x14ac:dyDescent="0.4">
      <c r="B38" s="62">
        <f>ROW(B1)</f>
        <v>1</v>
      </c>
      <c r="C38" s="54"/>
      <c r="D38" s="145"/>
      <c r="E38" s="148" t="s">
        <v>73</v>
      </c>
      <c r="F38" s="148" t="s">
        <v>73</v>
      </c>
      <c r="K38" s="31"/>
      <c r="L38" s="31"/>
      <c r="M38" s="31"/>
      <c r="Q38" s="31"/>
    </row>
    <row r="39" spans="1:23" ht="24.75" customHeight="1" x14ac:dyDescent="0.4">
      <c r="B39" s="31"/>
      <c r="C39" s="31"/>
      <c r="D39" s="37"/>
      <c r="E39" s="31"/>
      <c r="F39" s="31"/>
      <c r="G39" s="31"/>
      <c r="O39" s="31"/>
    </row>
    <row r="40" spans="1:23" x14ac:dyDescent="0.4">
      <c r="B40" s="31"/>
      <c r="C40" s="157" t="s">
        <v>67</v>
      </c>
      <c r="D40" s="155"/>
      <c r="E40" s="31"/>
      <c r="F40" s="31"/>
      <c r="G40" s="31"/>
      <c r="N40" s="31"/>
      <c r="O40" s="31"/>
    </row>
    <row r="41" spans="1:23" x14ac:dyDescent="0.4">
      <c r="B41" s="31"/>
      <c r="C41" s="155"/>
      <c r="D41" s="155"/>
      <c r="E41" s="31"/>
      <c r="F41" s="31"/>
      <c r="G41" s="31"/>
      <c r="N41" s="31"/>
      <c r="O41" s="31"/>
    </row>
    <row r="42" spans="1:23" x14ac:dyDescent="0.4">
      <c r="B42" s="31"/>
      <c r="C42" s="154" t="s">
        <v>155</v>
      </c>
      <c r="D42" s="154" t="s">
        <v>156</v>
      </c>
      <c r="E42" s="31"/>
      <c r="F42" s="31"/>
      <c r="G42" s="33"/>
      <c r="M42" s="31"/>
      <c r="N42" s="31"/>
      <c r="O42" s="31"/>
    </row>
    <row r="43" spans="1:23" x14ac:dyDescent="0.4">
      <c r="B43" s="31"/>
      <c r="C43" s="155" t="s">
        <v>159</v>
      </c>
      <c r="D43" s="156" t="s">
        <v>160</v>
      </c>
      <c r="E43" s="31"/>
      <c r="F43" s="31"/>
      <c r="G43" s="33"/>
      <c r="H43" s="31"/>
      <c r="I43" s="31"/>
      <c r="J43" s="31"/>
      <c r="K43" s="31"/>
      <c r="M43" s="31"/>
      <c r="N43" s="31"/>
      <c r="O43" s="31"/>
    </row>
    <row r="44" spans="1:23" x14ac:dyDescent="0.4">
      <c r="B44" s="31"/>
      <c r="C44" s="155" t="s">
        <v>161</v>
      </c>
      <c r="D44" s="156" t="s">
        <v>162</v>
      </c>
      <c r="E44" s="31"/>
      <c r="F44" s="31"/>
      <c r="G44" s="33"/>
      <c r="H44" s="31"/>
      <c r="I44" s="31"/>
      <c r="J44" s="31"/>
      <c r="K44" s="31"/>
      <c r="M44" s="31"/>
      <c r="N44" s="31"/>
      <c r="O44" s="31"/>
    </row>
    <row r="45" spans="1:23" x14ac:dyDescent="0.4">
      <c r="B45" s="31"/>
      <c r="C45" s="155" t="s">
        <v>163</v>
      </c>
      <c r="D45" s="156" t="s">
        <v>164</v>
      </c>
      <c r="E45" s="31"/>
      <c r="F45" s="31"/>
      <c r="G45" s="33"/>
      <c r="H45" s="31"/>
      <c r="I45" s="31"/>
      <c r="J45" s="31"/>
      <c r="K45" s="31"/>
      <c r="M45" s="31"/>
      <c r="N45" s="31"/>
      <c r="O45" s="31"/>
    </row>
    <row r="46" spans="1:23" ht="79.2" x14ac:dyDescent="0.4">
      <c r="C46" s="158" t="s">
        <v>165</v>
      </c>
      <c r="D46" s="156" t="s">
        <v>166</v>
      </c>
      <c r="E46" s="31"/>
      <c r="F46" s="31"/>
      <c r="G46" s="33"/>
      <c r="H46" s="31"/>
      <c r="I46" s="31"/>
      <c r="J46" s="31"/>
      <c r="K46" s="31"/>
      <c r="M46" s="31"/>
      <c r="N46" s="31"/>
      <c r="O46" s="31"/>
    </row>
    <row r="47" spans="1:23" x14ac:dyDescent="0.4">
      <c r="C47" s="155" t="s">
        <v>167</v>
      </c>
      <c r="D47" s="156" t="s">
        <v>168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1:23" ht="63.6" x14ac:dyDescent="0.4">
      <c r="C48" s="158" t="s">
        <v>169</v>
      </c>
      <c r="D48" s="156" t="s">
        <v>170</v>
      </c>
      <c r="E48" s="31"/>
      <c r="F48" s="31"/>
      <c r="G48" s="31"/>
      <c r="H48" s="31"/>
      <c r="I48" s="31"/>
      <c r="J48" s="31"/>
      <c r="K48" s="31"/>
      <c r="L48" s="31"/>
      <c r="M48" s="31"/>
    </row>
    <row r="49" spans="3:13" x14ac:dyDescent="0.4">
      <c r="C49" s="155"/>
      <c r="D49" s="159"/>
      <c r="E49" s="31"/>
      <c r="F49" s="31"/>
      <c r="G49" s="31"/>
      <c r="H49" s="31"/>
      <c r="I49" s="31"/>
      <c r="J49" s="31"/>
      <c r="K49" s="31"/>
      <c r="L49" s="31"/>
      <c r="M49" s="31"/>
    </row>
    <row r="50" spans="3:13" x14ac:dyDescent="0.4">
      <c r="C50" s="154" t="s">
        <v>171</v>
      </c>
      <c r="D50" s="154" t="s">
        <v>156</v>
      </c>
      <c r="G50" s="31"/>
      <c r="H50" s="31"/>
      <c r="I50" s="31"/>
      <c r="J50" s="31"/>
      <c r="K50" s="31"/>
      <c r="L50" s="31"/>
    </row>
    <row r="51" spans="3:13" x14ac:dyDescent="0.4">
      <c r="C51" s="155" t="s">
        <v>172</v>
      </c>
      <c r="D51" s="156" t="s">
        <v>173</v>
      </c>
      <c r="G51" s="31"/>
      <c r="L51" s="31"/>
    </row>
    <row r="52" spans="3:13" x14ac:dyDescent="0.4">
      <c r="C52" s="155" t="s">
        <v>174</v>
      </c>
      <c r="D52" s="156" t="s">
        <v>175</v>
      </c>
      <c r="G52" s="31"/>
      <c r="L52" s="31"/>
    </row>
    <row r="53" spans="3:13" x14ac:dyDescent="0.4">
      <c r="C53" s="155" t="s">
        <v>176</v>
      </c>
      <c r="D53" s="156" t="s">
        <v>177</v>
      </c>
      <c r="G53" s="31"/>
      <c r="L53" s="31"/>
    </row>
    <row r="54" spans="3:13" x14ac:dyDescent="0.4">
      <c r="C54" s="155" t="s">
        <v>178</v>
      </c>
      <c r="D54" s="156" t="s">
        <v>177</v>
      </c>
      <c r="G54" s="31"/>
      <c r="L54" s="31"/>
    </row>
    <row r="55" spans="3:13" x14ac:dyDescent="0.4">
      <c r="C55" s="155" t="s">
        <v>179</v>
      </c>
      <c r="D55" s="156" t="s">
        <v>180</v>
      </c>
    </row>
    <row r="56" spans="3:13" ht="48" x14ac:dyDescent="0.4">
      <c r="C56" s="158" t="s">
        <v>181</v>
      </c>
      <c r="D56" s="156" t="s">
        <v>182</v>
      </c>
    </row>
    <row r="57" spans="3:13" x14ac:dyDescent="0.4">
      <c r="C57" s="155" t="s">
        <v>183</v>
      </c>
      <c r="D57" s="156" t="s">
        <v>184</v>
      </c>
    </row>
    <row r="58" spans="3:13" x14ac:dyDescent="0.4">
      <c r="C58" s="155" t="s">
        <v>185</v>
      </c>
      <c r="D58" s="156" t="s">
        <v>186</v>
      </c>
    </row>
    <row r="59" spans="3:13" x14ac:dyDescent="0.4">
      <c r="C59" s="155" t="s">
        <v>187</v>
      </c>
      <c r="D59" s="156" t="s">
        <v>188</v>
      </c>
    </row>
    <row r="60" spans="3:13" x14ac:dyDescent="0.4">
      <c r="C60" s="155" t="s">
        <v>189</v>
      </c>
      <c r="D60" s="156" t="s">
        <v>190</v>
      </c>
    </row>
    <row r="63" spans="3:13" x14ac:dyDescent="0.4">
      <c r="C63" s="154" t="s">
        <v>191</v>
      </c>
      <c r="D63" s="155"/>
    </row>
    <row r="64" spans="3:13" x14ac:dyDescent="0.4">
      <c r="C64" s="155" t="s">
        <v>192</v>
      </c>
      <c r="D64" s="156" t="s">
        <v>193</v>
      </c>
    </row>
    <row r="65" spans="3:4" x14ac:dyDescent="0.4">
      <c r="C65" s="158" t="s">
        <v>194</v>
      </c>
      <c r="D65" s="156" t="s">
        <v>195</v>
      </c>
    </row>
    <row r="66" spans="3:4" ht="32.4" x14ac:dyDescent="0.4">
      <c r="C66" s="158" t="s">
        <v>196</v>
      </c>
      <c r="D66" s="156" t="s">
        <v>197</v>
      </c>
    </row>
    <row r="67" spans="3:4" ht="48" x14ac:dyDescent="0.4">
      <c r="C67" s="158" t="s">
        <v>198</v>
      </c>
      <c r="D67" s="156" t="s">
        <v>199</v>
      </c>
    </row>
    <row r="68" spans="3:4" x14ac:dyDescent="0.4">
      <c r="C68" s="158" t="s">
        <v>200</v>
      </c>
      <c r="D68" s="156" t="s">
        <v>201</v>
      </c>
    </row>
    <row r="69" spans="3:4" x14ac:dyDescent="0.4">
      <c r="C69" s="158" t="s">
        <v>202</v>
      </c>
      <c r="D69" s="156" t="s">
        <v>203</v>
      </c>
    </row>
    <row r="70" spans="3:4" ht="32.4" x14ac:dyDescent="0.4">
      <c r="C70" s="158" t="s">
        <v>204</v>
      </c>
      <c r="D70" s="156" t="s">
        <v>205</v>
      </c>
    </row>
    <row r="71" spans="3:4" ht="32.4" x14ac:dyDescent="0.4">
      <c r="C71" s="158" t="s">
        <v>206</v>
      </c>
      <c r="D71" s="156" t="s">
        <v>207</v>
      </c>
    </row>
    <row r="72" spans="3:4" ht="32.4" x14ac:dyDescent="0.4">
      <c r="C72" s="158" t="s">
        <v>208</v>
      </c>
      <c r="D72" s="156" t="s">
        <v>209</v>
      </c>
    </row>
    <row r="73" spans="3:4" x14ac:dyDescent="0.4">
      <c r="C73" s="158" t="s">
        <v>210</v>
      </c>
      <c r="D73" s="156" t="s">
        <v>211</v>
      </c>
    </row>
  </sheetData>
  <mergeCells count="1">
    <mergeCell ref="B1:F1"/>
  </mergeCells>
  <conditionalFormatting sqref="B4">
    <cfRule type="expression" dxfId="48" priority="8">
      <formula>$J$8="Please capture the Audit Date as financial period has already past"</formula>
    </cfRule>
  </conditionalFormatting>
  <conditionalFormatting sqref="B5:B6">
    <cfRule type="expression" dxfId="47" priority="7">
      <formula>$J$9="Please capture the Audit Date as financial period has already past"</formula>
    </cfRule>
  </conditionalFormatting>
  <conditionalFormatting sqref="D9:D13 I18:M21 I26:R34 E38:F38">
    <cfRule type="expression" dxfId="44" priority="60">
      <formula>D9="Pending"</formula>
    </cfRule>
    <cfRule type="expression" dxfId="43" priority="61">
      <formula>D9="Outstanding"</formula>
    </cfRule>
    <cfRule type="expression" dxfId="42" priority="62">
      <formula>D9="Received"</formula>
    </cfRule>
  </conditionalFormatting>
  <dataValidations count="4">
    <dataValidation type="list" allowBlank="1" showInputMessage="1" showErrorMessage="1" sqref="G35:K35 E38:F38 D9:D14 I18:M21 I26:R34" xr:uid="{00000000-0002-0000-0400-000000000000}">
      <formula1>"Received,Outstanding,Pending,N/A"</formula1>
    </dataValidation>
    <dataValidation type="list" allowBlank="1" showInputMessage="1" showErrorMessage="1" sqref="E18:E21" xr:uid="{00000000-0002-0000-0400-000001000000}">
      <formula1>"A,B,C,D,E,F,G"</formula1>
    </dataValidation>
    <dataValidation type="list" allowBlank="1" showInputMessage="1" showErrorMessage="1" sqref="G18:G21" xr:uid="{00000000-0002-0000-0400-000002000000}">
      <formula1>"A,I,C,W"</formula1>
    </dataValidation>
    <dataValidation type="list" allowBlank="1" showInputMessage="1" showErrorMessage="1" sqref="H18:H21" xr:uid="{C3176A0C-8A6E-446C-80C9-1B0158D760AC}">
      <formula1>"M,F"</formula1>
    </dataValidation>
  </dataValidations>
  <pageMargins left="0.7" right="0.7" top="0.75" bottom="0.75" header="0.3" footer="0.3"/>
  <pageSetup paperSize="9" orientation="portrait" verticalDpi="0" r:id="rId1"/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7" id="{5DCA067A-0A97-408F-A524-9CBF3CD7F9BD}">
            <xm:f>AND(Home!$C$8-TODAY()&lt;=35,D9="Outstanding")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58" id="{0D367DC0-480F-4219-AB8D-3C862F3C6090}">
            <xm:f>AND(Home!$C$8-TODAY()&lt;=35,D9="")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D9:D13 I18:M21 I26:R34 E38:F38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AD50"/>
  <sheetViews>
    <sheetView showGridLines="0" zoomScale="80" zoomScaleNormal="80" workbookViewId="0">
      <pane ySplit="6" topLeftCell="A8" activePane="bottomLeft" state="frozen"/>
      <selection pane="bottomLeft" activeCell="C43" sqref="C43"/>
    </sheetView>
  </sheetViews>
  <sheetFormatPr defaultColWidth="9.109375" defaultRowHeight="16.8" x14ac:dyDescent="0.4"/>
  <cols>
    <col min="1" max="1" width="10.44140625" style="4" customWidth="1"/>
    <col min="2" max="2" width="13.5546875" style="4" customWidth="1"/>
    <col min="3" max="3" width="59.88671875" style="4" bestFit="1" customWidth="1"/>
    <col min="4" max="4" width="28.44140625" style="4" bestFit="1" customWidth="1"/>
    <col min="5" max="6" width="19.109375" style="4" bestFit="1" customWidth="1"/>
    <col min="7" max="7" width="16.44140625" style="4" customWidth="1"/>
    <col min="8" max="8" width="21.5546875" style="4" customWidth="1"/>
    <col min="9" max="9" width="18.109375" style="4" customWidth="1"/>
    <col min="10" max="10" width="18.88671875" style="4" customWidth="1"/>
    <col min="11" max="11" width="18.44140625" style="4" customWidth="1"/>
    <col min="12" max="12" width="17.88671875" style="4" customWidth="1"/>
    <col min="13" max="13" width="16.44140625" style="4" customWidth="1"/>
    <col min="14" max="14" width="14.5546875" style="4" customWidth="1"/>
    <col min="15" max="16384" width="9.109375" style="4"/>
  </cols>
  <sheetData>
    <row r="1" spans="2:30" ht="38.25" customHeight="1" x14ac:dyDescent="0.4">
      <c r="B1" s="197" t="str">
        <f>Home!C3&amp;" "&amp;"Audit - Preferential Procurement Checklist"</f>
        <v>Thandanani Transport  Audit - Preferential Procurement Checklist</v>
      </c>
      <c r="C1" s="197"/>
      <c r="D1" s="197"/>
      <c r="E1" s="197"/>
      <c r="F1" s="197"/>
      <c r="H1" s="10"/>
      <c r="I1" s="10"/>
      <c r="J1" s="9"/>
      <c r="K1" s="10"/>
      <c r="L1" s="10"/>
      <c r="M1" s="10"/>
      <c r="AB1" s="61">
        <f>COUNTIF(Procurement[Status],"Received")/(COUNTA(Procurement[Count])-COUNTIF(Procurement[Status],"N/A"))</f>
        <v>0.5</v>
      </c>
      <c r="AC1" s="61">
        <f>COUNTIF(Procurement_1[[BEE Certificate]:[Supplier Ledger for 12 months period]],"Received")/(4*COUNTA(Procurement_1[Count])-COUNTIF(Procurement_1[[BEE Certificate]:[Supplier Ledger for 12 months period]],"N/A"))</f>
        <v>0.83333333333333337</v>
      </c>
      <c r="AD1" s="4">
        <f>COUNTIF(Procurement_2[[Highest Invoice in 2018]:[Supplier spend report as printed from the system (2018 FY)]],"Received")/(5*COUNTA(Procurement_2[Count])-COUNTIF(Procurement_2[[Highest Invoice in 2018]:[Supplier spend report as printed from the system (2018 FY)]],"N/A"))</f>
        <v>0</v>
      </c>
    </row>
    <row r="2" spans="2:30" x14ac:dyDescent="0.4">
      <c r="B2" s="23"/>
      <c r="C2" s="10"/>
      <c r="D2" s="10"/>
      <c r="H2" s="198"/>
      <c r="I2" s="198"/>
      <c r="J2" s="198"/>
      <c r="K2" s="10"/>
      <c r="L2" s="10"/>
      <c r="M2" s="10"/>
    </row>
    <row r="3" spans="2:30" x14ac:dyDescent="0.4">
      <c r="B3" s="11" t="str">
        <f ca="1">IF(Home!$C$8="",IF(Home!$C$7&lt;TODAY(),"Please capture either the Financial Year End or the Audit Date","Time left before Financial Year End"),"Time left before Audit Date")</f>
        <v>Time left before Audit Date</v>
      </c>
      <c r="C3" s="12"/>
      <c r="D3" s="10"/>
      <c r="H3" s="198"/>
      <c r="I3" s="198"/>
      <c r="J3" s="198"/>
      <c r="K3" s="10"/>
      <c r="L3" s="10"/>
      <c r="M3" s="10"/>
    </row>
    <row r="4" spans="2:30" x14ac:dyDescent="0.4">
      <c r="B4" s="85" t="e">
        <f ca="1">Home!K8</f>
        <v>#VALUE!</v>
      </c>
      <c r="C4" s="10" t="str">
        <f>IF($J$11&lt;=1,"Month    Or;","Months    Or;")</f>
        <v>Month    Or;</v>
      </c>
      <c r="D4" s="10"/>
      <c r="H4" s="198"/>
      <c r="I4" s="198"/>
      <c r="J4" s="198"/>
      <c r="K4" s="10"/>
      <c r="L4" s="10"/>
      <c r="M4" s="10"/>
    </row>
    <row r="5" spans="2:30" x14ac:dyDescent="0.4">
      <c r="B5" s="71">
        <f ca="1">Home!K9</f>
        <v>3.7142857142857144</v>
      </c>
      <c r="C5" s="10" t="str">
        <f>IF($M$12&lt;=1,"Week    Or;","Weeks     Or;")</f>
        <v>Weeks     Or;</v>
      </c>
      <c r="D5" s="4" t="s">
        <v>63</v>
      </c>
      <c r="H5" s="198"/>
      <c r="I5" s="198"/>
      <c r="J5" s="198"/>
      <c r="K5" s="10"/>
      <c r="L5" s="10"/>
      <c r="M5" s="10"/>
    </row>
    <row r="6" spans="2:30" ht="22.2" x14ac:dyDescent="0.55000000000000004">
      <c r="B6" s="71">
        <f ca="1">Home!K10</f>
        <v>19</v>
      </c>
      <c r="C6" s="10" t="str">
        <f ca="1">IF(B6&lt;=1,"Business Day","Business Days")</f>
        <v>Business Days</v>
      </c>
      <c r="D6" s="19">
        <f>AVERAGE(AB1:AD1)</f>
        <v>0.44444444444444448</v>
      </c>
      <c r="L6" s="10"/>
      <c r="M6" s="10"/>
    </row>
    <row r="7" spans="2:30" x14ac:dyDescent="0.4">
      <c r="B7" s="167" t="s">
        <v>5</v>
      </c>
      <c r="C7" s="168" t="s">
        <v>1</v>
      </c>
      <c r="D7" s="183" t="s">
        <v>60</v>
      </c>
      <c r="E7" s="169" t="s">
        <v>2</v>
      </c>
      <c r="K7" s="10"/>
      <c r="L7" s="10"/>
    </row>
    <row r="8" spans="2:30" x14ac:dyDescent="0.4">
      <c r="B8" s="92">
        <f>ROW(A1)</f>
        <v>1</v>
      </c>
      <c r="C8" s="66" t="s">
        <v>110</v>
      </c>
      <c r="D8" s="65" t="s">
        <v>73</v>
      </c>
      <c r="E8" s="67" t="s">
        <v>299</v>
      </c>
      <c r="K8" s="10"/>
      <c r="L8" s="10"/>
    </row>
    <row r="9" spans="2:30" x14ac:dyDescent="0.4">
      <c r="B9" s="92">
        <f>ROW(A2)</f>
        <v>2</v>
      </c>
      <c r="C9" s="99" t="s">
        <v>91</v>
      </c>
      <c r="D9" s="65" t="s">
        <v>142</v>
      </c>
      <c r="E9" s="150"/>
      <c r="K9" s="10"/>
      <c r="L9" s="10"/>
    </row>
    <row r="10" spans="2:30" ht="22.2" x14ac:dyDescent="0.55000000000000004">
      <c r="B10" s="97"/>
      <c r="C10" s="10"/>
      <c r="D10" s="19"/>
      <c r="L10" s="10"/>
      <c r="M10" s="10"/>
    </row>
    <row r="11" spans="2:30" ht="15.75" customHeight="1" x14ac:dyDescent="0.4">
      <c r="B11" s="18" t="s">
        <v>11</v>
      </c>
      <c r="C11" s="18"/>
      <c r="D11" s="18"/>
      <c r="E11" s="18"/>
      <c r="F11" s="18"/>
      <c r="G11" s="13"/>
      <c r="H11" s="18"/>
      <c r="I11" s="18"/>
      <c r="J11" s="18"/>
      <c r="K11" s="18"/>
      <c r="L11" s="10"/>
      <c r="M11" s="10"/>
    </row>
    <row r="12" spans="2:30" ht="51" customHeight="1" x14ac:dyDescent="0.4">
      <c r="B12" s="167" t="s">
        <v>5</v>
      </c>
      <c r="C12" s="168" t="s">
        <v>12</v>
      </c>
      <c r="D12" s="172" t="s">
        <v>13</v>
      </c>
      <c r="E12" s="170" t="s">
        <v>14</v>
      </c>
      <c r="F12" s="174" t="s">
        <v>15</v>
      </c>
      <c r="G12" s="174" t="s">
        <v>129</v>
      </c>
      <c r="H12" s="174" t="s">
        <v>130</v>
      </c>
      <c r="I12" s="174" t="s">
        <v>131</v>
      </c>
      <c r="J12" s="184" t="s">
        <v>16</v>
      </c>
      <c r="K12" s="185" t="s">
        <v>119</v>
      </c>
      <c r="L12" s="185" t="s">
        <v>93</v>
      </c>
      <c r="M12" s="185" t="s">
        <v>94</v>
      </c>
      <c r="N12" s="185" t="s">
        <v>90</v>
      </c>
      <c r="O12" s="10"/>
      <c r="P12" s="10"/>
    </row>
    <row r="13" spans="2:30" ht="14.25" customHeight="1" x14ac:dyDescent="0.4">
      <c r="B13" s="92">
        <f>ROW(A1)</f>
        <v>1</v>
      </c>
      <c r="C13" t="s">
        <v>276</v>
      </c>
      <c r="D13" s="208">
        <v>1672231</v>
      </c>
      <c r="E13" t="s">
        <v>281</v>
      </c>
      <c r="F13" t="s">
        <v>282</v>
      </c>
      <c r="G13" s="95"/>
      <c r="H13" s="95"/>
      <c r="I13" s="95"/>
      <c r="J13" s="93" t="s">
        <v>142</v>
      </c>
      <c r="K13" s="93" t="s">
        <v>142</v>
      </c>
      <c r="L13" s="93" t="s">
        <v>142</v>
      </c>
      <c r="M13" s="93" t="s">
        <v>142</v>
      </c>
      <c r="N13" s="93" t="s">
        <v>142</v>
      </c>
      <c r="O13" s="110"/>
      <c r="P13" s="98"/>
      <c r="Q13" s="98"/>
    </row>
    <row r="14" spans="2:30" ht="14.25" customHeight="1" x14ac:dyDescent="0.4">
      <c r="B14" s="92">
        <f>ROW(A2)</f>
        <v>2</v>
      </c>
      <c r="C14" t="s">
        <v>277</v>
      </c>
      <c r="D14" s="208">
        <v>112300</v>
      </c>
      <c r="E14" t="s">
        <v>281</v>
      </c>
      <c r="F14" t="s">
        <v>282</v>
      </c>
      <c r="G14" s="95"/>
      <c r="H14" s="95"/>
      <c r="I14" s="111"/>
      <c r="J14" s="93" t="s">
        <v>83</v>
      </c>
      <c r="K14" s="93" t="s">
        <v>83</v>
      </c>
      <c r="L14" s="93" t="s">
        <v>142</v>
      </c>
      <c r="M14" s="93" t="s">
        <v>73</v>
      </c>
      <c r="N14" s="93" t="s">
        <v>142</v>
      </c>
      <c r="O14" s="110"/>
      <c r="P14" s="98"/>
      <c r="Q14" s="98"/>
    </row>
    <row r="15" spans="2:30" ht="14.25" customHeight="1" x14ac:dyDescent="0.4">
      <c r="B15" s="92">
        <f>ROW(A3)</f>
        <v>3</v>
      </c>
      <c r="C15" t="s">
        <v>278</v>
      </c>
      <c r="D15" s="208">
        <v>334878</v>
      </c>
      <c r="E15" t="s">
        <v>19</v>
      </c>
      <c r="F15" t="s">
        <v>283</v>
      </c>
      <c r="G15" s="95"/>
      <c r="H15" s="95"/>
      <c r="I15" s="111"/>
      <c r="J15" s="93" t="s">
        <v>73</v>
      </c>
      <c r="K15" s="93" t="s">
        <v>142</v>
      </c>
      <c r="L15" s="93" t="s">
        <v>142</v>
      </c>
      <c r="M15" s="93" t="s">
        <v>73</v>
      </c>
      <c r="N15" s="93" t="s">
        <v>142</v>
      </c>
      <c r="O15" s="110"/>
      <c r="P15" s="98"/>
      <c r="Q15" s="110"/>
    </row>
    <row r="16" spans="2:30" ht="14.25" customHeight="1" x14ac:dyDescent="0.4">
      <c r="B16" s="203">
        <f>ROW(A4)</f>
        <v>4</v>
      </c>
      <c r="C16" t="s">
        <v>280</v>
      </c>
      <c r="D16" s="208">
        <v>57812</v>
      </c>
      <c r="E16" t="s">
        <v>19</v>
      </c>
      <c r="F16" t="s">
        <v>282</v>
      </c>
      <c r="G16" s="111"/>
      <c r="H16" s="111"/>
      <c r="I16" s="111"/>
      <c r="J16" s="206" t="s">
        <v>142</v>
      </c>
      <c r="K16" s="206" t="s">
        <v>142</v>
      </c>
      <c r="L16" s="206" t="s">
        <v>142</v>
      </c>
      <c r="M16" s="206" t="s">
        <v>142</v>
      </c>
      <c r="N16" s="207" t="s">
        <v>142</v>
      </c>
      <c r="O16" s="110"/>
      <c r="P16" s="98"/>
      <c r="Q16" s="110"/>
    </row>
    <row r="17" spans="2:17" ht="14.25" customHeight="1" x14ac:dyDescent="0.4">
      <c r="B17" s="203">
        <f>ROW(A5)</f>
        <v>5</v>
      </c>
      <c r="C17" t="s">
        <v>284</v>
      </c>
      <c r="D17" s="208">
        <v>288696</v>
      </c>
      <c r="E17" s="204"/>
      <c r="F17" s="205"/>
      <c r="G17" s="111"/>
      <c r="H17" s="111"/>
      <c r="I17" s="111"/>
      <c r="J17" s="206"/>
      <c r="K17" s="206"/>
      <c r="L17" s="206"/>
      <c r="M17" s="206"/>
      <c r="N17" s="207"/>
      <c r="O17" s="110"/>
      <c r="P17" s="98"/>
      <c r="Q17" s="110"/>
    </row>
    <row r="18" spans="2:17" ht="14.25" customHeight="1" x14ac:dyDescent="0.4">
      <c r="B18" s="92">
        <v>5</v>
      </c>
      <c r="C18" t="s">
        <v>279</v>
      </c>
      <c r="D18" s="208">
        <v>120589</v>
      </c>
      <c r="E18" t="s">
        <v>20</v>
      </c>
      <c r="F18" t="s">
        <v>282</v>
      </c>
      <c r="G18" s="95"/>
      <c r="H18" s="95"/>
      <c r="I18" s="111"/>
      <c r="J18" s="93" t="s">
        <v>142</v>
      </c>
      <c r="K18" s="93" t="s">
        <v>142</v>
      </c>
      <c r="L18" s="93" t="s">
        <v>142</v>
      </c>
      <c r="M18" s="93" t="s">
        <v>142</v>
      </c>
      <c r="N18" s="93" t="s">
        <v>142</v>
      </c>
      <c r="O18" s="110"/>
      <c r="P18" s="98"/>
      <c r="Q18" s="98"/>
    </row>
    <row r="19" spans="2:17" x14ac:dyDescent="0.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98"/>
      <c r="M19" s="98"/>
      <c r="N19" s="98"/>
    </row>
    <row r="20" spans="2:17" x14ac:dyDescent="0.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2:17" x14ac:dyDescent="0.4">
      <c r="B21" s="18" t="s">
        <v>21</v>
      </c>
      <c r="C21" s="18"/>
      <c r="D21" s="18"/>
      <c r="E21" s="18"/>
      <c r="F21" s="10"/>
      <c r="G21" s="24"/>
      <c r="H21" s="10"/>
      <c r="I21" s="10"/>
      <c r="J21" s="10"/>
      <c r="K21" s="10"/>
      <c r="L21" s="10"/>
      <c r="M21" s="10"/>
    </row>
    <row r="22" spans="2:17" ht="48.6" x14ac:dyDescent="0.4">
      <c r="B22" s="167" t="s">
        <v>5</v>
      </c>
      <c r="C22" s="168" t="s">
        <v>12</v>
      </c>
      <c r="D22" s="186" t="s">
        <v>13</v>
      </c>
      <c r="E22" s="185" t="s">
        <v>132</v>
      </c>
      <c r="F22" s="181" t="s">
        <v>133</v>
      </c>
      <c r="G22" s="181" t="s">
        <v>134</v>
      </c>
      <c r="H22" s="180" t="s">
        <v>135</v>
      </c>
      <c r="L22" s="18"/>
      <c r="M22" s="10"/>
    </row>
    <row r="23" spans="2:17" x14ac:dyDescent="0.4">
      <c r="B23" s="92">
        <f>ROW(A1)</f>
        <v>1</v>
      </c>
      <c r="C23" s="53"/>
      <c r="D23" s="94"/>
      <c r="E23" s="96" t="s">
        <v>73</v>
      </c>
      <c r="F23" s="96" t="s">
        <v>73</v>
      </c>
      <c r="G23" s="96" t="s">
        <v>73</v>
      </c>
      <c r="H23" s="96" t="s">
        <v>73</v>
      </c>
      <c r="I23" s="10"/>
      <c r="J23" s="10"/>
      <c r="K23" s="18"/>
      <c r="L23" s="10"/>
    </row>
    <row r="24" spans="2:17" x14ac:dyDescent="0.4">
      <c r="E24" s="10"/>
      <c r="F24" s="10"/>
      <c r="G24" s="24"/>
      <c r="L24" s="18"/>
      <c r="M24" s="10"/>
    </row>
    <row r="25" spans="2:17" x14ac:dyDescent="0.4">
      <c r="E25" s="10"/>
      <c r="F25" s="10"/>
      <c r="G25" s="24"/>
      <c r="L25" s="10"/>
      <c r="M25" s="10"/>
    </row>
    <row r="26" spans="2:17" x14ac:dyDescent="0.4">
      <c r="G26" s="24"/>
      <c r="L26" s="10"/>
      <c r="M26" s="10"/>
    </row>
    <row r="27" spans="2:17" x14ac:dyDescent="0.4">
      <c r="C27" s="157" t="s">
        <v>68</v>
      </c>
      <c r="D27" s="155"/>
      <c r="G27" s="24"/>
      <c r="L27" s="10"/>
      <c r="M27" s="10"/>
    </row>
    <row r="28" spans="2:17" x14ac:dyDescent="0.4">
      <c r="C28" s="155"/>
      <c r="D28" s="155"/>
      <c r="G28" s="24"/>
      <c r="L28" s="18"/>
      <c r="M28" s="10"/>
    </row>
    <row r="29" spans="2:17" x14ac:dyDescent="0.4">
      <c r="C29" s="157" t="s">
        <v>212</v>
      </c>
      <c r="D29" s="154" t="s">
        <v>213</v>
      </c>
      <c r="G29" s="24"/>
      <c r="L29" s="18"/>
      <c r="M29" s="10"/>
    </row>
    <row r="30" spans="2:17" x14ac:dyDescent="0.4">
      <c r="C30" s="154" t="s">
        <v>155</v>
      </c>
      <c r="D30" s="155"/>
      <c r="G30" s="24"/>
      <c r="L30" s="18"/>
      <c r="M30" s="10"/>
    </row>
    <row r="31" spans="2:17" ht="79.2" x14ac:dyDescent="0.4">
      <c r="C31" s="158" t="s">
        <v>214</v>
      </c>
      <c r="D31" s="156"/>
      <c r="G31" s="24"/>
      <c r="L31" s="10"/>
      <c r="M31" s="10"/>
    </row>
    <row r="32" spans="2:17" ht="48" x14ac:dyDescent="0.4">
      <c r="C32" s="158" t="s">
        <v>215</v>
      </c>
      <c r="D32" s="156"/>
      <c r="G32" s="24"/>
      <c r="L32" s="18"/>
      <c r="M32" s="10"/>
    </row>
    <row r="33" spans="3:13" x14ac:dyDescent="0.4">
      <c r="C33" s="155" t="s">
        <v>216</v>
      </c>
      <c r="D33" s="156"/>
      <c r="G33" s="24"/>
      <c r="L33" s="18"/>
      <c r="M33" s="10"/>
    </row>
    <row r="34" spans="3:13" x14ac:dyDescent="0.4">
      <c r="C34" s="155" t="s">
        <v>217</v>
      </c>
      <c r="D34" s="156"/>
      <c r="G34" s="22"/>
      <c r="L34" s="10"/>
      <c r="M34" s="10"/>
    </row>
    <row r="35" spans="3:13" x14ac:dyDescent="0.4">
      <c r="C35" s="155" t="s">
        <v>218</v>
      </c>
      <c r="D35" s="156"/>
      <c r="G35" s="22"/>
      <c r="L35" s="10"/>
      <c r="M35" s="10"/>
    </row>
    <row r="36" spans="3:13" x14ac:dyDescent="0.4">
      <c r="C36" s="155" t="s">
        <v>219</v>
      </c>
      <c r="D36" s="156"/>
      <c r="G36" s="10"/>
      <c r="L36" s="10"/>
      <c r="M36" s="10"/>
    </row>
    <row r="37" spans="3:13" x14ac:dyDescent="0.4">
      <c r="G37" s="13"/>
      <c r="L37" s="10"/>
      <c r="M37" s="10"/>
    </row>
    <row r="38" spans="3:13" ht="24" customHeight="1" x14ac:dyDescent="0.4">
      <c r="G38" s="22"/>
      <c r="L38" s="10"/>
      <c r="M38" s="10"/>
    </row>
    <row r="39" spans="3:13" x14ac:dyDescent="0.4">
      <c r="G39" s="24"/>
      <c r="L39" s="10"/>
      <c r="M39" s="10"/>
    </row>
    <row r="40" spans="3:13" x14ac:dyDescent="0.4">
      <c r="C40" s="157"/>
      <c r="D40" s="155"/>
      <c r="G40" s="24"/>
      <c r="L40" s="10"/>
      <c r="M40" s="10"/>
    </row>
    <row r="41" spans="3:13" x14ac:dyDescent="0.4">
      <c r="C41" s="154"/>
      <c r="D41" s="155"/>
      <c r="G41" s="10"/>
      <c r="L41" s="10"/>
      <c r="M41" s="10"/>
    </row>
    <row r="42" spans="3:13" x14ac:dyDescent="0.4">
      <c r="C42" s="155"/>
      <c r="D42" s="156"/>
      <c r="G42" s="10"/>
      <c r="L42" s="10"/>
      <c r="M42" s="10"/>
    </row>
    <row r="43" spans="3:13" x14ac:dyDescent="0.4">
      <c r="C43" s="155"/>
      <c r="D43" s="156"/>
      <c r="G43" s="10"/>
      <c r="L43" s="10"/>
      <c r="M43" s="10"/>
    </row>
    <row r="44" spans="3:13" x14ac:dyDescent="0.4">
      <c r="C44" s="155"/>
      <c r="D44" s="156"/>
      <c r="G44" s="10"/>
      <c r="L44" s="10"/>
      <c r="M44" s="10"/>
    </row>
    <row r="45" spans="3:13" x14ac:dyDescent="0.4">
      <c r="C45" s="155"/>
      <c r="D45" s="156"/>
    </row>
    <row r="47" spans="3:13" x14ac:dyDescent="0.4">
      <c r="C47" s="157"/>
      <c r="D47" s="155"/>
    </row>
    <row r="48" spans="3:13" x14ac:dyDescent="0.4">
      <c r="C48" s="154"/>
      <c r="D48" s="155"/>
    </row>
    <row r="49" spans="3:4" x14ac:dyDescent="0.4">
      <c r="C49" s="155"/>
      <c r="D49" s="156"/>
    </row>
    <row r="50" spans="3:4" x14ac:dyDescent="0.4">
      <c r="C50" s="155"/>
      <c r="D50" s="156"/>
    </row>
  </sheetData>
  <mergeCells count="5">
    <mergeCell ref="B1:F1"/>
    <mergeCell ref="H2:J2"/>
    <mergeCell ref="H3:J3"/>
    <mergeCell ref="H4:J4"/>
    <mergeCell ref="H5:J5"/>
  </mergeCells>
  <conditionalFormatting sqref="B4">
    <cfRule type="expression" dxfId="41" priority="59">
      <formula>#REF!="Please capture the Audit Date as financial period has already past"</formula>
    </cfRule>
  </conditionalFormatting>
  <conditionalFormatting sqref="B5:B6 B10">
    <cfRule type="expression" dxfId="40" priority="7">
      <formula>$J$11="Please capture the Audit Date as financial period has already past"</formula>
    </cfRule>
  </conditionalFormatting>
  <conditionalFormatting sqref="D8:D9 J13:N18 E23:H23">
    <cfRule type="expression" dxfId="37" priority="18">
      <formula>D8="Pending"</formula>
    </cfRule>
    <cfRule type="expression" dxfId="36" priority="19">
      <formula>D8="Outstanding"</formula>
    </cfRule>
    <cfRule type="expression" dxfId="35" priority="20">
      <formula>D8="Received"</formula>
    </cfRule>
  </conditionalFormatting>
  <dataValidations count="2">
    <dataValidation type="list" allowBlank="1" showInputMessage="1" showErrorMessage="1" sqref="E23:H23 J13:N18 D8:D9" xr:uid="{00000000-0002-0000-0500-000000000000}">
      <formula1>"Received,Outstanding,Pending,N/A"</formula1>
    </dataValidation>
    <dataValidation type="list" allowBlank="1" showInputMessage="1" showErrorMessage="1" sqref="G13:I18" xr:uid="{F2876390-E2D3-4822-B921-7E381C157FC6}">
      <formula1>"Yes,No"</formula1>
    </dataValidation>
  </dataValidations>
  <pageMargins left="0.7" right="0.7" top="0.75" bottom="0.75" header="0.3" footer="0.3"/>
  <pageSetup paperSize="9" orientation="portrait" verticalDpi="0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5681FC96-4330-4193-B90E-D81000684D6F}">
            <xm:f>AND(Home!$C$8-TODAY()&lt;=35,D8="Outstanding")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16" id="{DBB98636-3F5A-42FA-BA68-13C925483441}">
            <xm:f>AND(Home!$C$8-TODAY()&lt;=35,D8="")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D8:D9 J13:N18 E23:H23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18</v>
      </c>
    </row>
    <row r="2" spans="1:1" x14ac:dyDescent="0.3">
      <c r="A2" t="s">
        <v>19</v>
      </c>
    </row>
    <row r="3" spans="1:1" x14ac:dyDescent="0.3">
      <c r="A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1:Z35"/>
  <sheetViews>
    <sheetView showGridLines="0" zoomScale="80" zoomScaleNormal="80" workbookViewId="0">
      <pane ySplit="6" topLeftCell="A7" activePane="bottomLeft" state="frozen"/>
      <selection pane="bottomLeft" activeCell="B9" sqref="B9:Q9"/>
    </sheetView>
  </sheetViews>
  <sheetFormatPr defaultColWidth="9.109375" defaultRowHeight="16.8" x14ac:dyDescent="0.4"/>
  <cols>
    <col min="1" max="1" width="10" style="4" customWidth="1"/>
    <col min="2" max="2" width="13.88671875" style="4" customWidth="1"/>
    <col min="3" max="3" width="29.88671875" style="4" bestFit="1" customWidth="1"/>
    <col min="4" max="4" width="29.6640625" style="4" bestFit="1" customWidth="1"/>
    <col min="5" max="5" width="13.88671875" style="4" customWidth="1"/>
    <col min="6" max="6" width="15.88671875" style="4" customWidth="1"/>
    <col min="7" max="7" width="17" style="4" customWidth="1"/>
    <col min="8" max="8" width="18" style="4" customWidth="1"/>
    <col min="9" max="9" width="17.109375" style="4" customWidth="1"/>
    <col min="10" max="10" width="13.5546875" style="4" bestFit="1" customWidth="1"/>
    <col min="11" max="11" width="14.6640625" style="4" bestFit="1" customWidth="1"/>
    <col min="12" max="12" width="14" style="4" bestFit="1" customWidth="1"/>
    <col min="13" max="13" width="18.6640625" style="4" customWidth="1"/>
    <col min="14" max="14" width="21.44140625" style="4" customWidth="1"/>
    <col min="15" max="15" width="13.109375" style="4" bestFit="1" customWidth="1"/>
    <col min="16" max="16" width="21.33203125" style="4" bestFit="1" customWidth="1"/>
    <col min="17" max="17" width="20.109375" style="4" bestFit="1" customWidth="1"/>
    <col min="18" max="20" width="27.6640625" style="4" customWidth="1"/>
    <col min="21" max="16384" width="9.109375" style="4"/>
  </cols>
  <sheetData>
    <row r="1" spans="2:26" ht="43.5" customHeight="1" x14ac:dyDescent="0.4">
      <c r="B1" s="197" t="str">
        <f>Home!C3&amp;" "&amp;"Audit - Gsupplier Development Checklist"</f>
        <v>Thandanani Transport  Audit - Gsupplier Development Checklist</v>
      </c>
      <c r="C1" s="197"/>
      <c r="D1" s="197"/>
      <c r="E1" s="197"/>
      <c r="F1" s="10"/>
      <c r="G1" s="10"/>
      <c r="H1" s="10"/>
      <c r="I1" s="10"/>
      <c r="J1" s="10"/>
      <c r="K1" s="10"/>
      <c r="L1" s="10"/>
      <c r="M1" s="10"/>
      <c r="N1" s="10"/>
      <c r="Y1" s="61">
        <f>COUNTIF(SupplierDev_1[[EME Affidavit]:[Signed Emplyees 
Timesheets]],"Received")/(10*COUNTA(SupplierDev_1[Count])-COUNTIF(SupplierDev_1[[EME Affidavit]:[Signed Emplyees 
Timesheets]],"N/A"))</f>
        <v>0.8</v>
      </c>
      <c r="Z1" s="61"/>
    </row>
    <row r="2" spans="2:26" x14ac:dyDescent="0.4">
      <c r="B2" s="25"/>
      <c r="C2" s="25"/>
      <c r="D2" s="25"/>
      <c r="E2" s="25"/>
      <c r="F2" s="10"/>
      <c r="G2" s="10"/>
      <c r="H2" s="198"/>
      <c r="I2" s="198"/>
      <c r="J2" s="198"/>
      <c r="K2" s="10"/>
      <c r="L2" s="10"/>
      <c r="M2" s="10"/>
      <c r="N2" s="10"/>
    </row>
    <row r="3" spans="2:26" x14ac:dyDescent="0.4">
      <c r="B3" s="11" t="str">
        <f ca="1">IF(Home!$C$8="",IF(Home!$C$7&lt;TODAY(),"Please capture either the Financial Year End or the Audit Date","Time left before Financial Year End"),"Time left before Audit Date")</f>
        <v>Time left before Audit Date</v>
      </c>
      <c r="C3" s="12"/>
      <c r="D3" s="25"/>
      <c r="E3" s="25"/>
      <c r="F3" s="10"/>
      <c r="G3" s="10"/>
      <c r="H3" s="198"/>
      <c r="I3" s="198"/>
      <c r="J3" s="198"/>
      <c r="K3" s="10"/>
      <c r="L3" s="10"/>
      <c r="M3" s="10"/>
      <c r="N3" s="10"/>
    </row>
    <row r="4" spans="2:26" x14ac:dyDescent="0.4">
      <c r="B4" s="85" t="e">
        <f ca="1">Home!K8</f>
        <v>#VALUE!</v>
      </c>
      <c r="C4" s="10" t="str">
        <f>IF($J$8&lt;=1,"Month    Or;","Months    Or;")</f>
        <v>Month    Or;</v>
      </c>
      <c r="D4" s="25"/>
      <c r="E4" s="25"/>
      <c r="F4" s="10"/>
      <c r="G4" s="10"/>
      <c r="H4" s="198"/>
      <c r="I4" s="198"/>
      <c r="J4" s="198"/>
      <c r="K4" s="10"/>
      <c r="L4" s="10"/>
      <c r="M4" s="10"/>
      <c r="N4" s="10"/>
    </row>
    <row r="5" spans="2:26" x14ac:dyDescent="0.4">
      <c r="B5" s="71">
        <f ca="1">Home!K9</f>
        <v>3.7142857142857144</v>
      </c>
      <c r="C5" s="10" t="str">
        <f ca="1">IF(B5&lt;=1,"Week    Or;","Weeks     Or;")</f>
        <v>Weeks     Or;</v>
      </c>
      <c r="D5" s="4" t="s">
        <v>63</v>
      </c>
      <c r="E5" s="25"/>
      <c r="F5" s="10"/>
      <c r="G5" s="10"/>
      <c r="H5" s="198"/>
      <c r="I5" s="198"/>
      <c r="J5" s="198"/>
      <c r="K5" s="10"/>
      <c r="L5" s="10"/>
      <c r="M5" s="10"/>
      <c r="N5" s="10"/>
    </row>
    <row r="6" spans="2:26" ht="22.2" x14ac:dyDescent="0.55000000000000004">
      <c r="B6" s="71">
        <f ca="1">Home!K10</f>
        <v>19</v>
      </c>
      <c r="C6" s="10" t="str">
        <f ca="1">IF(B6&lt;=1,"Business Day","Business Days")</f>
        <v>Business Days</v>
      </c>
      <c r="D6" s="19">
        <f>AVERAGE(Y1)</f>
        <v>0.8</v>
      </c>
      <c r="E6" s="25"/>
      <c r="F6" s="10"/>
      <c r="G6" s="10"/>
      <c r="L6" s="10"/>
      <c r="M6" s="10"/>
      <c r="N6" s="10"/>
    </row>
    <row r="7" spans="2:26" x14ac:dyDescent="0.4">
      <c r="B7" s="25"/>
      <c r="C7" s="25"/>
      <c r="D7" s="81"/>
      <c r="E7" s="25"/>
      <c r="F7" s="10"/>
      <c r="G7" s="10"/>
      <c r="H7" s="10"/>
      <c r="I7" s="10"/>
      <c r="J7" s="10"/>
      <c r="K7" s="10"/>
      <c r="L7" s="10"/>
      <c r="M7" s="10"/>
      <c r="N7" s="10"/>
    </row>
    <row r="8" spans="2:26" x14ac:dyDescent="0.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26" ht="32.4" x14ac:dyDescent="0.4">
      <c r="B9" s="167" t="s">
        <v>5</v>
      </c>
      <c r="C9" s="177" t="s">
        <v>33</v>
      </c>
      <c r="D9" s="177" t="s">
        <v>34</v>
      </c>
      <c r="E9" s="187" t="s">
        <v>35</v>
      </c>
      <c r="F9" s="177" t="s">
        <v>72</v>
      </c>
      <c r="G9" s="177" t="s">
        <v>92</v>
      </c>
      <c r="H9" s="177" t="s">
        <v>36</v>
      </c>
      <c r="I9" s="177" t="s">
        <v>115</v>
      </c>
      <c r="J9" s="177" t="s">
        <v>113</v>
      </c>
      <c r="K9" s="177" t="s">
        <v>111</v>
      </c>
      <c r="L9" s="177" t="s">
        <v>85</v>
      </c>
      <c r="M9" s="177" t="s">
        <v>87</v>
      </c>
      <c r="N9" s="177" t="s">
        <v>112</v>
      </c>
      <c r="O9" s="177" t="s">
        <v>17</v>
      </c>
      <c r="P9" s="188" t="s">
        <v>114</v>
      </c>
      <c r="Q9" s="188" t="s">
        <v>138</v>
      </c>
      <c r="R9" s="10"/>
      <c r="S9" s="10"/>
    </row>
    <row r="10" spans="2:26" x14ac:dyDescent="0.4">
      <c r="B10" s="55">
        <f>ROW(B1)</f>
        <v>1</v>
      </c>
      <c r="C10" s="151" t="s">
        <v>146</v>
      </c>
      <c r="D10" s="56"/>
      <c r="E10" s="123"/>
      <c r="F10" s="123"/>
      <c r="G10" s="96" t="s">
        <v>73</v>
      </c>
      <c r="H10" s="96" t="s">
        <v>147</v>
      </c>
      <c r="I10" s="96" t="s">
        <v>142</v>
      </c>
      <c r="J10" s="96" t="s">
        <v>147</v>
      </c>
      <c r="K10" s="96" t="s">
        <v>142</v>
      </c>
      <c r="L10" s="96" t="s">
        <v>147</v>
      </c>
      <c r="M10" s="96" t="s">
        <v>147</v>
      </c>
      <c r="N10" s="96" t="s">
        <v>142</v>
      </c>
      <c r="O10" s="96" t="s">
        <v>142</v>
      </c>
      <c r="P10" s="96" t="s">
        <v>147</v>
      </c>
      <c r="Q10" s="96" t="s">
        <v>147</v>
      </c>
      <c r="R10" s="10"/>
      <c r="S10" s="10"/>
    </row>
    <row r="11" spans="2:26" x14ac:dyDescent="0.4">
      <c r="B11" s="55">
        <f>ROW(B2)</f>
        <v>2</v>
      </c>
      <c r="C11" s="56"/>
      <c r="D11" s="121"/>
      <c r="E11" s="125"/>
      <c r="F11" s="124"/>
      <c r="G11" s="96" t="s">
        <v>147</v>
      </c>
      <c r="H11" s="96" t="s">
        <v>147</v>
      </c>
      <c r="I11" s="96" t="s">
        <v>147</v>
      </c>
      <c r="J11" s="96" t="s">
        <v>147</v>
      </c>
      <c r="K11" s="96" t="s">
        <v>147</v>
      </c>
      <c r="L11" s="96" t="s">
        <v>147</v>
      </c>
      <c r="M11" s="96" t="s">
        <v>147</v>
      </c>
      <c r="N11" s="96" t="s">
        <v>147</v>
      </c>
      <c r="O11" s="96" t="s">
        <v>147</v>
      </c>
      <c r="P11" s="96" t="s">
        <v>147</v>
      </c>
      <c r="Q11" s="96" t="s">
        <v>147</v>
      </c>
      <c r="R11" s="10"/>
      <c r="S11" s="10"/>
      <c r="T11" s="10"/>
      <c r="U11" s="10"/>
    </row>
    <row r="12" spans="2:26" x14ac:dyDescent="0.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2:26" x14ac:dyDescent="0.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2:26" x14ac:dyDescent="0.4">
      <c r="B14" s="10"/>
      <c r="C14" s="157" t="s">
        <v>70</v>
      </c>
      <c r="D14" s="155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26" x14ac:dyDescent="0.4">
      <c r="B15" s="10"/>
      <c r="C15" s="155"/>
      <c r="D15" s="155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26" x14ac:dyDescent="0.4">
      <c r="C16" s="155"/>
      <c r="D16" s="155"/>
    </row>
    <row r="17" spans="3:4" x14ac:dyDescent="0.4">
      <c r="C17" s="160" t="s">
        <v>220</v>
      </c>
      <c r="D17" s="155"/>
    </row>
    <row r="18" spans="3:4" x14ac:dyDescent="0.4">
      <c r="C18" s="160"/>
      <c r="D18" s="155"/>
    </row>
    <row r="19" spans="3:4" x14ac:dyDescent="0.4">
      <c r="C19" s="154" t="s">
        <v>155</v>
      </c>
      <c r="D19" s="155"/>
    </row>
    <row r="20" spans="3:4" ht="48" x14ac:dyDescent="0.4">
      <c r="C20" s="158" t="s">
        <v>221</v>
      </c>
      <c r="D20" s="156" t="s">
        <v>222</v>
      </c>
    </row>
    <row r="21" spans="3:4" ht="63.6" x14ac:dyDescent="0.4">
      <c r="C21" s="158" t="s">
        <v>223</v>
      </c>
      <c r="D21" s="156" t="s">
        <v>224</v>
      </c>
    </row>
    <row r="22" spans="3:4" ht="219.6" x14ac:dyDescent="0.4">
      <c r="C22" s="158" t="s">
        <v>225</v>
      </c>
      <c r="D22" s="156" t="s">
        <v>226</v>
      </c>
    </row>
    <row r="23" spans="3:4" ht="48" x14ac:dyDescent="0.4">
      <c r="C23" s="158" t="s">
        <v>227</v>
      </c>
      <c r="D23" s="156" t="s">
        <v>228</v>
      </c>
    </row>
    <row r="24" spans="3:4" ht="63.6" x14ac:dyDescent="0.4">
      <c r="C24" s="158" t="s">
        <v>229</v>
      </c>
      <c r="D24" s="156" t="s">
        <v>230</v>
      </c>
    </row>
    <row r="25" spans="3:4" ht="48" x14ac:dyDescent="0.4">
      <c r="C25" s="158" t="s">
        <v>231</v>
      </c>
      <c r="D25" s="156" t="s">
        <v>232</v>
      </c>
    </row>
    <row r="26" spans="3:4" x14ac:dyDescent="0.4">
      <c r="C26" s="158" t="s">
        <v>233</v>
      </c>
      <c r="D26" s="156" t="s">
        <v>234</v>
      </c>
    </row>
    <row r="27" spans="3:4" ht="63.6" x14ac:dyDescent="0.4">
      <c r="C27" s="158" t="s">
        <v>235</v>
      </c>
      <c r="D27" s="156" t="s">
        <v>236</v>
      </c>
    </row>
    <row r="30" spans="3:4" x14ac:dyDescent="0.4">
      <c r="C30" s="154" t="s">
        <v>237</v>
      </c>
      <c r="D30" s="155"/>
    </row>
    <row r="31" spans="3:4" x14ac:dyDescent="0.4">
      <c r="C31" s="154" t="s">
        <v>155</v>
      </c>
      <c r="D31" s="154" t="s">
        <v>213</v>
      </c>
    </row>
    <row r="32" spans="3:4" x14ac:dyDescent="0.4">
      <c r="C32" s="155" t="s">
        <v>238</v>
      </c>
      <c r="D32" s="156" t="s">
        <v>222</v>
      </c>
    </row>
    <row r="33" spans="3:4" x14ac:dyDescent="0.4">
      <c r="C33" s="155" t="s">
        <v>239</v>
      </c>
      <c r="D33" s="156" t="s">
        <v>226</v>
      </c>
    </row>
    <row r="34" spans="3:4" x14ac:dyDescent="0.4">
      <c r="C34" s="155" t="s">
        <v>17</v>
      </c>
      <c r="D34" s="156" t="s">
        <v>240</v>
      </c>
    </row>
    <row r="35" spans="3:4" x14ac:dyDescent="0.4">
      <c r="C35" s="155" t="s">
        <v>241</v>
      </c>
      <c r="D35" s="156" t="s">
        <v>242</v>
      </c>
    </row>
  </sheetData>
  <mergeCells count="5">
    <mergeCell ref="B1:E1"/>
    <mergeCell ref="H2:J2"/>
    <mergeCell ref="H3:J3"/>
    <mergeCell ref="H4:J4"/>
    <mergeCell ref="H5:J5"/>
  </mergeCells>
  <conditionalFormatting sqref="B4">
    <cfRule type="expression" dxfId="34" priority="20">
      <formula>$J$8="Please capture the Audit Date as financial period has already past"</formula>
    </cfRule>
  </conditionalFormatting>
  <conditionalFormatting sqref="B5:B6">
    <cfRule type="expression" dxfId="33" priority="75">
      <formula>#REF!="Please capture the Audit Date as financial period has already past"</formula>
    </cfRule>
  </conditionalFormatting>
  <conditionalFormatting sqref="G10:Q11">
    <cfRule type="expression" dxfId="30" priority="10">
      <formula>G10="Pending"</formula>
    </cfRule>
    <cfRule type="expression" dxfId="29" priority="11">
      <formula>G10="Outstanding"</formula>
    </cfRule>
    <cfRule type="expression" dxfId="28" priority="12">
      <formula>G10="Received"</formula>
    </cfRule>
  </conditionalFormatting>
  <dataValidations count="1">
    <dataValidation type="list" allowBlank="1" showInputMessage="1" showErrorMessage="1" sqref="G10:Q11" xr:uid="{ED0338BE-5C79-473F-ABA5-1CCF6D175A77}">
      <formula1>"Received,Outstanding,Pending,N/A"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D8F7D9B0-8C64-4058-A622-FC741D8AA51B}">
            <xm:f>AND(Home!$C$8-TODAY()&lt;=35,G10="Outstanding")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8" id="{CA3DE7E6-A336-4F67-A946-50F0D1E65073}">
            <xm:f>AND(Home!$C$8-TODAY()&lt;=35,G10="")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G10:Q11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W25"/>
  <sheetViews>
    <sheetView showGridLines="0" zoomScale="80" zoomScaleNormal="80" workbookViewId="0">
      <pane ySplit="6" topLeftCell="A7" activePane="bottomLeft" state="frozen"/>
      <selection pane="bottomLeft" activeCell="B9" sqref="B9:L9"/>
    </sheetView>
  </sheetViews>
  <sheetFormatPr defaultColWidth="9.109375" defaultRowHeight="16.8" x14ac:dyDescent="0.4"/>
  <cols>
    <col min="1" max="1" width="11.44140625" style="4" customWidth="1"/>
    <col min="2" max="2" width="19.33203125" style="4" customWidth="1"/>
    <col min="3" max="3" width="44" style="4" customWidth="1"/>
    <col min="4" max="4" width="29.6640625" style="4" bestFit="1" customWidth="1"/>
    <col min="5" max="5" width="16.44140625" style="4" customWidth="1"/>
    <col min="6" max="6" width="18.33203125" style="4" bestFit="1" customWidth="1"/>
    <col min="7" max="7" width="17.109375" style="4" customWidth="1"/>
    <col min="8" max="8" width="18" style="4" customWidth="1"/>
    <col min="9" max="9" width="18.88671875" style="4" bestFit="1" customWidth="1"/>
    <col min="10" max="10" width="18.109375" style="4" bestFit="1" customWidth="1"/>
    <col min="11" max="11" width="16.109375" style="4" customWidth="1"/>
    <col min="12" max="16384" width="9.109375" style="4"/>
  </cols>
  <sheetData>
    <row r="1" spans="2:23" ht="40.5" customHeight="1" x14ac:dyDescent="0.4">
      <c r="B1" s="197" t="str">
        <f>Home!C3&amp;" "&amp;"Audit - Enterprise Development Checklist"</f>
        <v>Thandanani Transport  Audit - Enterprise Development Checklist</v>
      </c>
      <c r="C1" s="197"/>
      <c r="D1" s="197"/>
      <c r="E1" s="10"/>
      <c r="F1" s="10"/>
      <c r="G1" s="10"/>
      <c r="H1" s="10"/>
      <c r="I1" s="10"/>
      <c r="J1" s="10"/>
      <c r="K1" s="10"/>
      <c r="L1" s="10"/>
      <c r="W1" s="61">
        <f>COUNTIF(EnterpriseDev_1[[EME Affidavit]:[Signed GL
(@31 Dec 2018)]],"Received")/(5*COUNTA(EnterpriseDev_1[Count])-COUNTIF(EnterpriseDev_1[[EME Affidavit]:[Signed GL
(@31 Dec 2018)]],"N/A"))</f>
        <v>0.4</v>
      </c>
    </row>
    <row r="2" spans="2:23" x14ac:dyDescent="0.4">
      <c r="B2" s="10"/>
      <c r="C2" s="10"/>
      <c r="D2" s="10"/>
      <c r="E2" s="10"/>
      <c r="F2" s="198"/>
      <c r="G2" s="198"/>
      <c r="H2" s="198"/>
      <c r="I2" s="10"/>
      <c r="J2" s="10"/>
      <c r="K2" s="10"/>
      <c r="L2" s="10"/>
    </row>
    <row r="3" spans="2:23" x14ac:dyDescent="0.4">
      <c r="B3" s="11" t="str">
        <f ca="1">IF(Home!$C$8="",IF(Home!$C$7&lt;TODAY(),"Please capture either the Financial Year End or the Audit Date","Time left before Financial Year End"),"Time left before Audit Date")</f>
        <v>Time left before Audit Date</v>
      </c>
      <c r="C3" s="12"/>
      <c r="D3" s="10"/>
      <c r="E3" s="10"/>
      <c r="F3" s="198"/>
      <c r="G3" s="198"/>
      <c r="H3" s="198"/>
      <c r="I3" s="10"/>
      <c r="J3" s="10"/>
      <c r="K3" s="10"/>
      <c r="L3" s="10"/>
    </row>
    <row r="4" spans="2:23" x14ac:dyDescent="0.4">
      <c r="B4" s="85" t="e">
        <f ca="1">Home!K8</f>
        <v>#VALUE!</v>
      </c>
      <c r="C4" s="10" t="str">
        <f>IF($H$8&lt;=1,"Month    Or;","Months    Or;")</f>
        <v>Month    Or;</v>
      </c>
      <c r="D4" s="10"/>
      <c r="E4" s="10"/>
      <c r="F4" s="198"/>
      <c r="G4" s="198"/>
      <c r="H4" s="198"/>
      <c r="I4" s="10"/>
      <c r="J4" s="10"/>
      <c r="K4" s="10"/>
      <c r="L4" s="10"/>
    </row>
    <row r="5" spans="2:23" x14ac:dyDescent="0.4">
      <c r="B5" s="71">
        <f ca="1">Home!K9</f>
        <v>3.7142857142857144</v>
      </c>
      <c r="C5" s="10" t="str">
        <f ca="1">IF(B5&lt;=1,"Week    Or;","Weeks     Or;")</f>
        <v>Weeks     Or;</v>
      </c>
      <c r="D5" s="4" t="s">
        <v>63</v>
      </c>
      <c r="E5" s="10"/>
      <c r="F5" s="198"/>
      <c r="G5" s="198"/>
      <c r="H5" s="198"/>
      <c r="I5" s="10"/>
      <c r="J5" s="10"/>
      <c r="K5" s="10"/>
      <c r="L5" s="10"/>
    </row>
    <row r="6" spans="2:23" ht="22.2" x14ac:dyDescent="0.55000000000000004">
      <c r="B6" s="71">
        <f ca="1">Home!K10</f>
        <v>19</v>
      </c>
      <c r="C6" s="10" t="str">
        <f ca="1">IF(B6&lt;=1,"Business Day","Business Days")</f>
        <v>Business Days</v>
      </c>
      <c r="D6" s="19">
        <f>AVERAGE(W1)</f>
        <v>0.4</v>
      </c>
      <c r="E6" s="10"/>
      <c r="J6" s="10"/>
      <c r="K6" s="10"/>
      <c r="L6" s="10"/>
    </row>
    <row r="7" spans="2:23" x14ac:dyDescent="0.4">
      <c r="B7" s="10"/>
      <c r="C7" s="10"/>
      <c r="D7" s="80"/>
      <c r="E7" s="10"/>
      <c r="F7" s="10"/>
      <c r="G7" s="10"/>
      <c r="H7" s="10"/>
      <c r="I7" s="10"/>
      <c r="J7" s="10"/>
      <c r="K7" s="10"/>
      <c r="L7" s="10"/>
    </row>
    <row r="8" spans="2:23" x14ac:dyDescent="0.4">
      <c r="B8" s="10"/>
      <c r="C8" s="10"/>
      <c r="D8" s="10"/>
      <c r="E8" s="10"/>
      <c r="F8" s="13"/>
      <c r="G8" s="10"/>
      <c r="H8" s="10"/>
      <c r="I8" s="10"/>
      <c r="J8" s="10"/>
      <c r="K8" s="10"/>
      <c r="L8" s="10"/>
    </row>
    <row r="9" spans="2:23" ht="64.8" x14ac:dyDescent="0.4">
      <c r="B9" s="167" t="s">
        <v>5</v>
      </c>
      <c r="C9" s="177" t="s">
        <v>33</v>
      </c>
      <c r="D9" s="177" t="s">
        <v>34</v>
      </c>
      <c r="E9" s="187" t="s">
        <v>103</v>
      </c>
      <c r="F9" s="187" t="s">
        <v>104</v>
      </c>
      <c r="G9" s="177" t="s">
        <v>92</v>
      </c>
      <c r="H9" s="177" t="s">
        <v>36</v>
      </c>
      <c r="I9" s="177" t="s">
        <v>117</v>
      </c>
      <c r="J9" s="177" t="s">
        <v>116</v>
      </c>
      <c r="K9" s="177" t="s">
        <v>118</v>
      </c>
      <c r="L9" s="188" t="s">
        <v>254</v>
      </c>
      <c r="M9" s="10"/>
      <c r="N9" s="10"/>
    </row>
    <row r="10" spans="2:23" x14ac:dyDescent="0.4">
      <c r="B10" s="120">
        <f>ROW(B1)</f>
        <v>1</v>
      </c>
      <c r="C10" s="151" t="s">
        <v>143</v>
      </c>
      <c r="D10" s="56" t="s">
        <v>145</v>
      </c>
      <c r="E10" s="152">
        <v>150415.64000000001</v>
      </c>
      <c r="F10" s="123"/>
      <c r="G10" s="122" t="s">
        <v>73</v>
      </c>
      <c r="H10" s="122" t="s">
        <v>142</v>
      </c>
      <c r="I10" s="122" t="s">
        <v>142</v>
      </c>
      <c r="J10" s="122" t="s">
        <v>142</v>
      </c>
      <c r="K10" s="122" t="s">
        <v>73</v>
      </c>
      <c r="L10" s="122" t="s">
        <v>73</v>
      </c>
    </row>
    <row r="11" spans="2:23" x14ac:dyDescent="0.4">
      <c r="B11" s="120">
        <f>ROW(B2)</f>
        <v>2</v>
      </c>
      <c r="C11" s="151" t="s">
        <v>144</v>
      </c>
      <c r="D11" s="56" t="s">
        <v>145</v>
      </c>
      <c r="E11" s="152">
        <v>10000</v>
      </c>
      <c r="F11" s="123"/>
      <c r="G11" s="122" t="s">
        <v>73</v>
      </c>
      <c r="H11" s="122" t="s">
        <v>73</v>
      </c>
      <c r="I11" s="122" t="s">
        <v>73</v>
      </c>
      <c r="J11" s="122" t="s">
        <v>142</v>
      </c>
      <c r="K11" s="122" t="s">
        <v>73</v>
      </c>
      <c r="L11" s="122" t="s">
        <v>73</v>
      </c>
    </row>
    <row r="13" spans="2:23" x14ac:dyDescent="0.4">
      <c r="G13" s="4" t="s">
        <v>252</v>
      </c>
      <c r="H13" s="4" t="s">
        <v>251</v>
      </c>
      <c r="I13" s="4" t="s">
        <v>253</v>
      </c>
      <c r="L13" s="4" t="s">
        <v>249</v>
      </c>
    </row>
    <row r="14" spans="2:23" x14ac:dyDescent="0.4">
      <c r="C14" s="157" t="s">
        <v>69</v>
      </c>
      <c r="D14" s="155"/>
    </row>
    <row r="15" spans="2:23" x14ac:dyDescent="0.4">
      <c r="C15" s="155"/>
      <c r="D15" s="155"/>
    </row>
    <row r="16" spans="2:23" x14ac:dyDescent="0.4">
      <c r="C16" s="155"/>
      <c r="D16" s="155"/>
    </row>
    <row r="17" spans="3:8" x14ac:dyDescent="0.4">
      <c r="C17" s="160" t="s">
        <v>243</v>
      </c>
      <c r="D17" s="155"/>
    </row>
    <row r="18" spans="3:8" x14ac:dyDescent="0.4">
      <c r="C18" s="160"/>
      <c r="D18" s="155"/>
    </row>
    <row r="19" spans="3:8" x14ac:dyDescent="0.4">
      <c r="C19" s="154" t="s">
        <v>155</v>
      </c>
      <c r="D19" s="155"/>
    </row>
    <row r="20" spans="3:8" ht="32.4" x14ac:dyDescent="0.4">
      <c r="C20" s="158" t="s">
        <v>244</v>
      </c>
      <c r="D20" s="156" t="s">
        <v>245</v>
      </c>
    </row>
    <row r="21" spans="3:8" ht="48" x14ac:dyDescent="0.4">
      <c r="C21" s="158" t="s">
        <v>223</v>
      </c>
      <c r="D21" s="156" t="s">
        <v>246</v>
      </c>
    </row>
    <row r="22" spans="3:8" ht="141.6" x14ac:dyDescent="0.4">
      <c r="C22" s="158" t="s">
        <v>225</v>
      </c>
      <c r="D22" s="156" t="s">
        <v>247</v>
      </c>
      <c r="H22" s="128"/>
    </row>
    <row r="23" spans="3:8" ht="32.4" x14ac:dyDescent="0.4">
      <c r="C23" s="158" t="s">
        <v>227</v>
      </c>
      <c r="D23" s="156" t="s">
        <v>248</v>
      </c>
    </row>
    <row r="24" spans="3:8" x14ac:dyDescent="0.4">
      <c r="C24" s="158" t="s">
        <v>233</v>
      </c>
      <c r="D24" s="156" t="s">
        <v>249</v>
      </c>
    </row>
    <row r="25" spans="3:8" ht="48" x14ac:dyDescent="0.4">
      <c r="C25" s="158" t="s">
        <v>235</v>
      </c>
      <c r="D25" s="156" t="s">
        <v>250</v>
      </c>
    </row>
  </sheetData>
  <mergeCells count="5">
    <mergeCell ref="B1:D1"/>
    <mergeCell ref="F2:H2"/>
    <mergeCell ref="F3:H3"/>
    <mergeCell ref="F4:H4"/>
    <mergeCell ref="F5:H5"/>
  </mergeCells>
  <conditionalFormatting sqref="B4">
    <cfRule type="expression" dxfId="27" priority="8">
      <formula>$H$8="Please capture the Audit Date as financial period has already past"</formula>
    </cfRule>
  </conditionalFormatting>
  <conditionalFormatting sqref="B5:B6">
    <cfRule type="expression" dxfId="26" priority="66">
      <formula>#REF!="Please capture the Audit Date as financial period has already past"</formula>
    </cfRule>
  </conditionalFormatting>
  <conditionalFormatting sqref="G10:K11">
    <cfRule type="expression" dxfId="23" priority="12">
      <formula>G10="Pending"</formula>
    </cfRule>
    <cfRule type="expression" dxfId="22" priority="13">
      <formula>G10="Outstanding"</formula>
    </cfRule>
    <cfRule type="expression" dxfId="21" priority="14">
      <formula>G10="Received"</formula>
    </cfRule>
  </conditionalFormatting>
  <conditionalFormatting sqref="L10:L11">
    <cfRule type="expression" dxfId="18" priority="4">
      <formula>L10="Pending"</formula>
    </cfRule>
    <cfRule type="expression" dxfId="17" priority="5">
      <formula>L10="Outstanding"</formula>
    </cfRule>
    <cfRule type="expression" dxfId="16" priority="6">
      <formula>L10="Received"</formula>
    </cfRule>
  </conditionalFormatting>
  <dataValidations count="1">
    <dataValidation type="list" allowBlank="1" showInputMessage="1" showErrorMessage="1" sqref="G10:L11" xr:uid="{00000000-0002-0000-0700-000000000000}">
      <formula1>"Received,Outstanding,Pending,N/A"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9DB0AF62-5418-4CE2-BDA0-856EDB3C3F76}">
            <xm:f>AND(Home!$C$8-TODAY()&lt;=35,G10="Outstanding")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10" id="{678C1633-D685-4C00-963C-34C94C1A4BE1}">
            <xm:f>AND(Home!$C$8-TODAY()&lt;=35,G10="")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G10:K11</xm:sqref>
        </x14:conditionalFormatting>
        <x14:conditionalFormatting xmlns:xm="http://schemas.microsoft.com/office/excel/2006/main">
          <x14:cfRule type="expression" priority="1" id="{057A2ADE-079C-464D-A64C-EDF497104B08}">
            <xm:f>AND(Home!$C$8-TODAY()&lt;=35,L10="Outstanding")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2" id="{68BF0389-CA6C-47EB-8DBA-2446BE9ABAC4}">
            <xm:f>AND(Home!$C$8-TODAY()&lt;=35,L10="")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L10:L11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AA22"/>
  <sheetViews>
    <sheetView showGridLines="0" tabSelected="1" zoomScale="90" zoomScaleNormal="90" workbookViewId="0">
      <pane ySplit="6" topLeftCell="A7" activePane="bottomLeft" state="frozen"/>
      <selection pane="bottomLeft" activeCell="E22" sqref="E22"/>
    </sheetView>
  </sheetViews>
  <sheetFormatPr defaultColWidth="9.109375" defaultRowHeight="16.8" x14ac:dyDescent="0.4"/>
  <cols>
    <col min="1" max="1" width="11.5546875" style="4" customWidth="1"/>
    <col min="2" max="2" width="14.44140625" style="4" customWidth="1"/>
    <col min="3" max="3" width="46.109375" style="4" customWidth="1"/>
    <col min="4" max="4" width="48" style="4" customWidth="1"/>
    <col min="5" max="5" width="24.5546875" style="4" customWidth="1"/>
    <col min="6" max="7" width="20.5546875" style="4" customWidth="1"/>
    <col min="8" max="8" width="20.6640625" style="4" customWidth="1"/>
    <col min="9" max="10" width="18.44140625" style="4" customWidth="1"/>
    <col min="11" max="11" width="17.109375" style="4" customWidth="1"/>
    <col min="12" max="12" width="17.44140625" style="4" customWidth="1"/>
    <col min="13" max="13" width="18.44140625" style="4" customWidth="1"/>
    <col min="14" max="14" width="22.33203125" style="4" bestFit="1" customWidth="1"/>
    <col min="15" max="16384" width="9.109375" style="4"/>
  </cols>
  <sheetData>
    <row r="1" spans="2:27" ht="43.5" customHeight="1" x14ac:dyDescent="0.4">
      <c r="B1" s="197" t="str">
        <f>Home!C3&amp;" "&amp;"Audit - Gsupplier Development Checklist"</f>
        <v>Thandanani Transport  Audit - Gsupplier Development Checklist</v>
      </c>
      <c r="C1" s="197"/>
      <c r="D1" s="197"/>
      <c r="E1" s="197"/>
      <c r="F1" s="11"/>
      <c r="G1" s="11"/>
      <c r="H1" s="10"/>
      <c r="I1" s="10"/>
      <c r="J1" s="10"/>
      <c r="K1" s="10"/>
      <c r="L1" s="10"/>
      <c r="M1" s="10"/>
      <c r="N1" s="10"/>
      <c r="O1" s="10"/>
      <c r="P1" s="10"/>
      <c r="Q1" s="10"/>
      <c r="AA1" s="61">
        <f>COUNTIF(Socio_1[[Signed letter of confirmation with black beneficiary %]:[Proof of payment]],"Received")/(4*COUNTA(Socio_1[Count])-COUNTIF(Socio_1[[Signed letter of confirmation with black beneficiary %]:[Proof of payment]],"N/A"))</f>
        <v>0.625</v>
      </c>
    </row>
    <row r="2" spans="2:27" ht="16.5" customHeight="1" x14ac:dyDescent="0.4">
      <c r="B2" s="25"/>
      <c r="C2" s="25"/>
      <c r="D2" s="25"/>
      <c r="E2" s="25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27" x14ac:dyDescent="0.4">
      <c r="B3" s="11" t="str">
        <f ca="1">IF(Home!$C$8="",IF(Home!$C$7&lt;TODAY(),"Please capture either the Financial Year End or the Audit Date","Time left before Financial Year End"),"Time left before Audit Date")</f>
        <v>Time left before Audit Date</v>
      </c>
      <c r="C3" s="12"/>
      <c r="D3" s="25"/>
      <c r="E3" s="2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27" x14ac:dyDescent="0.4">
      <c r="B4" s="85" t="e">
        <f ca="1">Home!K8</f>
        <v>#VALUE!</v>
      </c>
      <c r="C4" s="10" t="str">
        <f>IF($K$8&lt;=1,"Month    Or;","Months    Or;")</f>
        <v>Month    Or;</v>
      </c>
      <c r="D4" s="25"/>
      <c r="E4" s="2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2:27" x14ac:dyDescent="0.4">
      <c r="B5" s="71">
        <f ca="1">Home!K9</f>
        <v>3.7142857142857144</v>
      </c>
      <c r="C5" s="10" t="str">
        <f>IF($M$9&lt;=1,"Week    Or;","Weeks     Or;")</f>
        <v>Week    Or;</v>
      </c>
      <c r="D5" s="4" t="s">
        <v>63</v>
      </c>
      <c r="E5" s="2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2:27" ht="22.2" x14ac:dyDescent="0.55000000000000004">
      <c r="B6" s="71">
        <f ca="1">Home!K10</f>
        <v>19</v>
      </c>
      <c r="C6" s="10" t="str">
        <f>IF($M$10&lt;=1,"Business Day","Business Days")</f>
        <v>Business Day</v>
      </c>
      <c r="D6" s="19">
        <f>AVERAGE(AA1)</f>
        <v>0.625</v>
      </c>
      <c r="E6" s="25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2:27" x14ac:dyDescent="0.4">
      <c r="B7" s="23"/>
      <c r="C7" s="10"/>
      <c r="D7" s="8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27" x14ac:dyDescent="0.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2:27" ht="48.6" x14ac:dyDescent="0.4">
      <c r="B9" s="167" t="s">
        <v>5</v>
      </c>
      <c r="C9" s="177" t="s">
        <v>33</v>
      </c>
      <c r="D9" s="177" t="s">
        <v>34</v>
      </c>
      <c r="E9" s="178" t="s">
        <v>37</v>
      </c>
      <c r="F9" s="187" t="s">
        <v>103</v>
      </c>
      <c r="G9" s="187" t="s">
        <v>104</v>
      </c>
      <c r="H9" s="177" t="s">
        <v>84</v>
      </c>
      <c r="I9" s="177" t="s">
        <v>263</v>
      </c>
      <c r="J9" s="177" t="s">
        <v>17</v>
      </c>
      <c r="K9" s="177" t="s">
        <v>27</v>
      </c>
      <c r="L9" s="188" t="s">
        <v>262</v>
      </c>
      <c r="M9" s="10"/>
      <c r="N9" s="10"/>
      <c r="O9" s="10"/>
      <c r="P9" s="10"/>
      <c r="Q9" s="10"/>
      <c r="R9" s="10"/>
      <c r="S9" s="10"/>
    </row>
    <row r="10" spans="2:27" x14ac:dyDescent="0.4">
      <c r="B10" s="55">
        <f>ROW(B1)</f>
        <v>1</v>
      </c>
      <c r="C10" t="s">
        <v>285</v>
      </c>
      <c r="D10" s="57" t="s">
        <v>145</v>
      </c>
      <c r="E10" s="63">
        <v>1</v>
      </c>
      <c r="F10" s="126">
        <v>500</v>
      </c>
      <c r="G10" s="126"/>
      <c r="H10" s="69" t="s">
        <v>73</v>
      </c>
      <c r="I10" s="69" t="s">
        <v>73</v>
      </c>
      <c r="J10" s="69" t="s">
        <v>142</v>
      </c>
      <c r="K10" s="69" t="s">
        <v>142</v>
      </c>
      <c r="L10" s="69" t="s">
        <v>73</v>
      </c>
      <c r="M10" s="102"/>
      <c r="N10" s="10"/>
      <c r="O10" s="10"/>
      <c r="P10" s="10"/>
      <c r="Q10" s="10"/>
      <c r="R10" s="10"/>
      <c r="S10" s="10"/>
    </row>
    <row r="11" spans="2:27" x14ac:dyDescent="0.4">
      <c r="B11" s="203">
        <f>ROW(B2)</f>
        <v>2</v>
      </c>
      <c r="C11" t="s">
        <v>286</v>
      </c>
      <c r="D11" s="57" t="s">
        <v>145</v>
      </c>
      <c r="E11" s="209">
        <v>1</v>
      </c>
      <c r="F11" s="210">
        <v>400</v>
      </c>
      <c r="G11" s="211"/>
      <c r="H11" s="212" t="s">
        <v>142</v>
      </c>
      <c r="I11" s="213"/>
      <c r="J11" s="213" t="s">
        <v>142</v>
      </c>
      <c r="K11" s="201" t="s">
        <v>142</v>
      </c>
      <c r="L11" s="213" t="s">
        <v>73</v>
      </c>
      <c r="M11" s="102"/>
      <c r="N11" s="10"/>
      <c r="O11" s="10"/>
      <c r="P11" s="10"/>
      <c r="Q11" s="10"/>
      <c r="R11" s="10"/>
      <c r="S11" s="10"/>
    </row>
    <row r="12" spans="2:27" x14ac:dyDescent="0.4">
      <c r="B12" s="203">
        <f>ROW(B2)</f>
        <v>2</v>
      </c>
      <c r="C12" t="s">
        <v>286</v>
      </c>
      <c r="D12" s="57" t="s">
        <v>145</v>
      </c>
      <c r="E12" s="209">
        <v>1</v>
      </c>
      <c r="F12" s="210">
        <v>400</v>
      </c>
      <c r="G12" s="211"/>
      <c r="H12" s="212" t="s">
        <v>142</v>
      </c>
      <c r="I12" s="213"/>
      <c r="J12" s="213" t="s">
        <v>142</v>
      </c>
      <c r="K12" s="201" t="s">
        <v>142</v>
      </c>
      <c r="L12" s="213" t="s">
        <v>73</v>
      </c>
      <c r="M12" s="102"/>
      <c r="N12" s="10"/>
      <c r="O12" s="10"/>
      <c r="P12" s="10"/>
      <c r="Q12" s="10"/>
      <c r="R12" s="10"/>
      <c r="S12" s="10"/>
    </row>
    <row r="13" spans="2:27" x14ac:dyDescent="0.4">
      <c r="B13" s="55">
        <f>ROW(B2)</f>
        <v>2</v>
      </c>
      <c r="C13" t="s">
        <v>285</v>
      </c>
      <c r="D13" s="57" t="s">
        <v>145</v>
      </c>
      <c r="E13" s="63">
        <v>1</v>
      </c>
      <c r="F13" s="127">
        <v>500</v>
      </c>
      <c r="G13" s="127"/>
      <c r="H13" s="69" t="s">
        <v>73</v>
      </c>
      <c r="I13" s="69" t="s">
        <v>73</v>
      </c>
      <c r="J13" s="69" t="s">
        <v>142</v>
      </c>
      <c r="K13" s="69" t="s">
        <v>142</v>
      </c>
      <c r="L13" s="69" t="s">
        <v>73</v>
      </c>
      <c r="M13" s="10"/>
      <c r="N13" s="10"/>
      <c r="O13" s="10"/>
      <c r="P13" s="10"/>
      <c r="Q13" s="10"/>
      <c r="R13" s="10"/>
      <c r="S13" s="10"/>
    </row>
    <row r="14" spans="2:27" x14ac:dyDescent="0.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2:27" x14ac:dyDescent="0.4">
      <c r="B15" s="10"/>
      <c r="C15" s="10"/>
      <c r="D15" s="10"/>
      <c r="E15" s="10"/>
      <c r="F15" s="10"/>
      <c r="G15" s="10"/>
      <c r="H15" s="161" t="s">
        <v>260</v>
      </c>
      <c r="I15" s="161" t="s">
        <v>261</v>
      </c>
      <c r="J15" s="161" t="s">
        <v>264</v>
      </c>
      <c r="K15" s="10"/>
      <c r="L15" s="161" t="s">
        <v>261</v>
      </c>
      <c r="M15" s="10"/>
      <c r="N15" s="10"/>
      <c r="O15" s="10"/>
      <c r="P15" s="10"/>
      <c r="Q15" s="10"/>
    </row>
    <row r="16" spans="2:27" x14ac:dyDescent="0.4">
      <c r="B16" s="10"/>
      <c r="C16" s="157" t="s">
        <v>255</v>
      </c>
      <c r="D16" s="15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2:17" x14ac:dyDescent="0.4">
      <c r="B17" s="10"/>
      <c r="C17" s="155"/>
      <c r="D17" s="15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2:17" x14ac:dyDescent="0.4">
      <c r="C18" s="154" t="s">
        <v>155</v>
      </c>
      <c r="D18" s="154" t="s">
        <v>213</v>
      </c>
      <c r="E18" s="154" t="s">
        <v>2</v>
      </c>
    </row>
    <row r="19" spans="2:17" ht="48" x14ac:dyDescent="0.4">
      <c r="C19" s="158" t="s">
        <v>256</v>
      </c>
      <c r="D19" s="156"/>
    </row>
    <row r="20" spans="2:17" ht="48" x14ac:dyDescent="0.4">
      <c r="C20" s="158" t="s">
        <v>257</v>
      </c>
      <c r="D20" s="156"/>
    </row>
    <row r="21" spans="2:17" x14ac:dyDescent="0.4">
      <c r="C21" s="158" t="s">
        <v>258</v>
      </c>
      <c r="D21" s="156"/>
      <c r="E21" s="4" t="s">
        <v>300</v>
      </c>
    </row>
    <row r="22" spans="2:17" ht="32.4" x14ac:dyDescent="0.4">
      <c r="C22" s="158" t="s">
        <v>259</v>
      </c>
      <c r="D22" s="156"/>
      <c r="F22" s="128"/>
      <c r="G22" s="128"/>
    </row>
  </sheetData>
  <mergeCells count="1">
    <mergeCell ref="B1:E1"/>
  </mergeCells>
  <conditionalFormatting sqref="B4">
    <cfRule type="expression" dxfId="15" priority="8">
      <formula>$K$8="Please capture the Audit Date as financial period has already past"</formula>
    </cfRule>
  </conditionalFormatting>
  <conditionalFormatting sqref="B5:B6">
    <cfRule type="expression" dxfId="14" priority="7">
      <formula>$M$9="Please capture the Audit Date as financial period has already past"</formula>
    </cfRule>
  </conditionalFormatting>
  <conditionalFormatting sqref="H10:K13">
    <cfRule type="expression" dxfId="11" priority="12">
      <formula>H10="Pending"</formula>
    </cfRule>
    <cfRule type="expression" dxfId="10" priority="13">
      <formula>H10="Outstanding"</formula>
    </cfRule>
    <cfRule type="expression" dxfId="9" priority="14">
      <formula>H10="Received"</formula>
    </cfRule>
  </conditionalFormatting>
  <conditionalFormatting sqref="L10:L13">
    <cfRule type="expression" dxfId="6" priority="4">
      <formula>L10="Pending"</formula>
    </cfRule>
    <cfRule type="expression" dxfId="5" priority="5">
      <formula>L10="Outstanding"</formula>
    </cfRule>
    <cfRule type="expression" dxfId="4" priority="6">
      <formula>L10="Received"</formula>
    </cfRule>
  </conditionalFormatting>
  <dataValidations count="1">
    <dataValidation type="list" allowBlank="1" showInputMessage="1" showErrorMessage="1" sqref="H10:L13" xr:uid="{00000000-0002-0000-0900-000000000000}">
      <formula1>"Received,Outstanding,Pending,N/A"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306AA214-C211-453D-8BDF-1F1CD340C29B}">
            <xm:f>AND(Home!$C$8-TODAY()&lt;=35,H10="Outstanding")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10" id="{79C9B7F6-2E16-4899-8C50-3AF05002D28A}">
            <xm:f>AND(Home!$C$8-TODAY()&lt;=35,H10="")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H10:K13</xm:sqref>
        </x14:conditionalFormatting>
        <x14:conditionalFormatting xmlns:xm="http://schemas.microsoft.com/office/excel/2006/main">
          <x14:cfRule type="expression" priority="1" id="{C72D7C3A-91A0-4A3F-BA3F-B4BE260A780E}">
            <xm:f>AND(Home!$C$8-TODAY()&lt;=35,L10="Outstanding")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2" id="{310E06EE-CE71-462A-93CF-36EDDB1A0887}">
            <xm:f>AND(Home!$C$8-TODAY()&lt;=35,L10="")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L10:L13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C3:D9"/>
  <sheetViews>
    <sheetView workbookViewId="0">
      <selection activeCell="G15" sqref="G15"/>
    </sheetView>
  </sheetViews>
  <sheetFormatPr defaultRowHeight="14.4" x14ac:dyDescent="0.3"/>
  <cols>
    <col min="3" max="3" width="28.109375" bestFit="1" customWidth="1"/>
  </cols>
  <sheetData>
    <row r="3" spans="3:4" x14ac:dyDescent="0.3">
      <c r="C3" t="s">
        <v>65</v>
      </c>
      <c r="D3" s="79">
        <f>'General &amp; Financials'!E6</f>
        <v>0.8</v>
      </c>
    </row>
    <row r="4" spans="3:4" x14ac:dyDescent="0.3">
      <c r="C4" t="s">
        <v>66</v>
      </c>
      <c r="D4" s="79">
        <f>'Management Control'!D6</f>
        <v>0.18333333333333335</v>
      </c>
    </row>
    <row r="5" spans="3:4" x14ac:dyDescent="0.3">
      <c r="C5" t="s">
        <v>67</v>
      </c>
      <c r="D5" s="79">
        <f>'Skills Development'!D6</f>
        <v>0.19375000000000001</v>
      </c>
    </row>
    <row r="6" spans="3:4" x14ac:dyDescent="0.3">
      <c r="C6" t="s">
        <v>68</v>
      </c>
      <c r="D6" s="79">
        <f>'Preferential Procurement'!D6</f>
        <v>0.44444444444444448</v>
      </c>
    </row>
    <row r="7" spans="3:4" x14ac:dyDescent="0.3">
      <c r="C7" t="s">
        <v>69</v>
      </c>
      <c r="D7" s="79">
        <f>'Enterprise Development'!D6</f>
        <v>0.4</v>
      </c>
    </row>
    <row r="8" spans="3:4" x14ac:dyDescent="0.3">
      <c r="C8" t="s">
        <v>70</v>
      </c>
      <c r="D8" s="79">
        <f>'Supplier Development'!D6</f>
        <v>0.8</v>
      </c>
    </row>
    <row r="9" spans="3:4" x14ac:dyDescent="0.3">
      <c r="C9" t="s">
        <v>71</v>
      </c>
      <c r="D9" s="79">
        <f>'Socio-economic Development'!D6</f>
        <v>0.625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13"/>
  <sheetViews>
    <sheetView workbookViewId="0">
      <selection activeCell="H9" sqref="H9"/>
    </sheetView>
  </sheetViews>
  <sheetFormatPr defaultRowHeight="14.4" x14ac:dyDescent="0.3"/>
  <cols>
    <col min="1" max="1" width="10.6640625" bestFit="1" customWidth="1"/>
    <col min="2" max="2" width="21.5546875" bestFit="1" customWidth="1"/>
  </cols>
  <sheetData>
    <row r="1" spans="1:3" ht="15.6" x14ac:dyDescent="0.3">
      <c r="A1" s="199" t="s">
        <v>40</v>
      </c>
      <c r="B1" s="199"/>
    </row>
    <row r="2" spans="1:3" x14ac:dyDescent="0.3">
      <c r="A2" s="6">
        <v>42737</v>
      </c>
      <c r="B2" s="7" t="s">
        <v>41</v>
      </c>
      <c r="C2" s="7"/>
    </row>
    <row r="3" spans="1:3" x14ac:dyDescent="0.3">
      <c r="A3" s="6">
        <v>42815</v>
      </c>
      <c r="B3" t="s">
        <v>45</v>
      </c>
    </row>
    <row r="4" spans="1:3" x14ac:dyDescent="0.3">
      <c r="A4" s="6">
        <v>42839</v>
      </c>
      <c r="B4" t="s">
        <v>42</v>
      </c>
    </row>
    <row r="5" spans="1:3" x14ac:dyDescent="0.3">
      <c r="A5" s="6">
        <v>42842</v>
      </c>
      <c r="B5" t="s">
        <v>43</v>
      </c>
    </row>
    <row r="6" spans="1:3" x14ac:dyDescent="0.3">
      <c r="A6" s="6">
        <v>42852</v>
      </c>
      <c r="B6" t="s">
        <v>44</v>
      </c>
    </row>
    <row r="7" spans="1:3" x14ac:dyDescent="0.3">
      <c r="A7" s="6">
        <v>42856</v>
      </c>
      <c r="B7" t="s">
        <v>46</v>
      </c>
    </row>
    <row r="8" spans="1:3" x14ac:dyDescent="0.3">
      <c r="A8" s="6">
        <v>42902</v>
      </c>
      <c r="B8" t="s">
        <v>47</v>
      </c>
    </row>
    <row r="9" spans="1:3" x14ac:dyDescent="0.3">
      <c r="A9" s="6">
        <v>42956</v>
      </c>
      <c r="B9" t="s">
        <v>48</v>
      </c>
    </row>
    <row r="10" spans="1:3" x14ac:dyDescent="0.3">
      <c r="A10" s="6">
        <v>43003</v>
      </c>
      <c r="B10" t="s">
        <v>49</v>
      </c>
    </row>
    <row r="11" spans="1:3" x14ac:dyDescent="0.3">
      <c r="A11" s="6">
        <v>43085</v>
      </c>
      <c r="B11" t="s">
        <v>50</v>
      </c>
    </row>
    <row r="12" spans="1:3" x14ac:dyDescent="0.3">
      <c r="A12" s="6">
        <v>43094</v>
      </c>
      <c r="B12" t="s">
        <v>51</v>
      </c>
    </row>
    <row r="13" spans="1:3" x14ac:dyDescent="0.3">
      <c r="A13" s="6">
        <v>43095</v>
      </c>
      <c r="B13" t="s">
        <v>52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36"/>
  <sheetViews>
    <sheetView topLeftCell="A7" workbookViewId="0">
      <selection activeCell="C6" sqref="C6"/>
    </sheetView>
  </sheetViews>
  <sheetFormatPr defaultRowHeight="14.4" x14ac:dyDescent="0.3"/>
  <cols>
    <col min="1" max="1" width="10.6640625" bestFit="1" customWidth="1"/>
    <col min="2" max="2" width="21.5546875" bestFit="1" customWidth="1"/>
  </cols>
  <sheetData>
    <row r="1" spans="1:2" ht="15.6" x14ac:dyDescent="0.3">
      <c r="A1" s="70" t="s">
        <v>78</v>
      </c>
      <c r="B1" s="86" t="s">
        <v>79</v>
      </c>
    </row>
    <row r="2" spans="1:2" x14ac:dyDescent="0.3">
      <c r="A2" s="87">
        <v>42737</v>
      </c>
      <c r="B2" s="7" t="s">
        <v>41</v>
      </c>
    </row>
    <row r="3" spans="1:2" x14ac:dyDescent="0.3">
      <c r="A3" s="87">
        <v>42815</v>
      </c>
      <c r="B3" t="s">
        <v>45</v>
      </c>
    </row>
    <row r="4" spans="1:2" x14ac:dyDescent="0.3">
      <c r="A4" s="87">
        <v>42839</v>
      </c>
      <c r="B4" t="s">
        <v>42</v>
      </c>
    </row>
    <row r="5" spans="1:2" x14ac:dyDescent="0.3">
      <c r="A5" s="87">
        <v>42842</v>
      </c>
      <c r="B5" t="s">
        <v>43</v>
      </c>
    </row>
    <row r="6" spans="1:2" x14ac:dyDescent="0.3">
      <c r="A6" s="87">
        <v>42852</v>
      </c>
      <c r="B6" t="s">
        <v>44</v>
      </c>
    </row>
    <row r="7" spans="1:2" x14ac:dyDescent="0.3">
      <c r="A7" s="87">
        <v>42856</v>
      </c>
      <c r="B7" t="s">
        <v>46</v>
      </c>
    </row>
    <row r="8" spans="1:2" x14ac:dyDescent="0.3">
      <c r="A8" s="87">
        <v>42902</v>
      </c>
      <c r="B8" t="s">
        <v>47</v>
      </c>
    </row>
    <row r="9" spans="1:2" x14ac:dyDescent="0.3">
      <c r="A9" s="87">
        <v>42956</v>
      </c>
      <c r="B9" t="s">
        <v>48</v>
      </c>
    </row>
    <row r="10" spans="1:2" x14ac:dyDescent="0.3">
      <c r="A10" s="87">
        <v>43003</v>
      </c>
      <c r="B10" t="s">
        <v>49</v>
      </c>
    </row>
    <row r="11" spans="1:2" x14ac:dyDescent="0.3">
      <c r="A11" s="87">
        <v>43085</v>
      </c>
      <c r="B11" t="s">
        <v>50</v>
      </c>
    </row>
    <row r="12" spans="1:2" x14ac:dyDescent="0.3">
      <c r="A12" s="87">
        <v>43094</v>
      </c>
      <c r="B12" t="s">
        <v>51</v>
      </c>
    </row>
    <row r="13" spans="1:2" x14ac:dyDescent="0.3">
      <c r="A13" s="87">
        <v>43095</v>
      </c>
      <c r="B13" t="s">
        <v>52</v>
      </c>
    </row>
    <row r="14" spans="1:2" x14ac:dyDescent="0.3">
      <c r="A14" s="87">
        <v>43087</v>
      </c>
      <c r="B14" t="s">
        <v>80</v>
      </c>
    </row>
    <row r="15" spans="1:2" x14ac:dyDescent="0.3">
      <c r="A15" s="87">
        <v>43088</v>
      </c>
      <c r="B15" t="s">
        <v>80</v>
      </c>
    </row>
    <row r="16" spans="1:2" x14ac:dyDescent="0.3">
      <c r="A16" s="87">
        <v>43089</v>
      </c>
      <c r="B16" t="s">
        <v>80</v>
      </c>
    </row>
    <row r="17" spans="1:2" x14ac:dyDescent="0.3">
      <c r="A17" s="87">
        <v>43090</v>
      </c>
      <c r="B17" t="s">
        <v>80</v>
      </c>
    </row>
    <row r="18" spans="1:2" x14ac:dyDescent="0.3">
      <c r="A18" s="87">
        <v>43091</v>
      </c>
      <c r="B18" t="s">
        <v>80</v>
      </c>
    </row>
    <row r="19" spans="1:2" x14ac:dyDescent="0.3">
      <c r="A19" s="87">
        <v>43096</v>
      </c>
      <c r="B19" t="s">
        <v>80</v>
      </c>
    </row>
    <row r="20" spans="1:2" x14ac:dyDescent="0.3">
      <c r="A20" s="87">
        <v>43097</v>
      </c>
      <c r="B20" t="s">
        <v>80</v>
      </c>
    </row>
    <row r="21" spans="1:2" x14ac:dyDescent="0.3">
      <c r="A21" s="87">
        <v>43098</v>
      </c>
      <c r="B21" t="s">
        <v>80</v>
      </c>
    </row>
    <row r="22" spans="1:2" x14ac:dyDescent="0.3">
      <c r="A22" s="87">
        <v>43101</v>
      </c>
      <c r="B22" t="s">
        <v>41</v>
      </c>
    </row>
    <row r="23" spans="1:2" x14ac:dyDescent="0.3">
      <c r="A23" s="87">
        <v>43102</v>
      </c>
      <c r="B23" t="s">
        <v>80</v>
      </c>
    </row>
    <row r="24" spans="1:2" x14ac:dyDescent="0.3">
      <c r="A24" s="87">
        <v>43103</v>
      </c>
      <c r="B24" t="s">
        <v>80</v>
      </c>
    </row>
    <row r="25" spans="1:2" x14ac:dyDescent="0.3">
      <c r="A25" s="87">
        <v>43104</v>
      </c>
      <c r="B25" t="s">
        <v>80</v>
      </c>
    </row>
    <row r="26" spans="1:2" x14ac:dyDescent="0.3">
      <c r="A26" s="87">
        <v>43105</v>
      </c>
      <c r="B26" t="s">
        <v>80</v>
      </c>
    </row>
    <row r="27" spans="1:2" x14ac:dyDescent="0.3">
      <c r="A27" s="87">
        <v>43180</v>
      </c>
      <c r="B27" t="s">
        <v>45</v>
      </c>
    </row>
    <row r="28" spans="1:2" x14ac:dyDescent="0.3">
      <c r="A28" s="87">
        <v>43189</v>
      </c>
      <c r="B28" t="s">
        <v>42</v>
      </c>
    </row>
    <row r="29" spans="1:2" x14ac:dyDescent="0.3">
      <c r="A29" s="87">
        <v>43192</v>
      </c>
      <c r="B29" t="s">
        <v>43</v>
      </c>
    </row>
    <row r="30" spans="1:2" x14ac:dyDescent="0.3">
      <c r="A30" s="87">
        <v>43217</v>
      </c>
      <c r="B30" t="s">
        <v>44</v>
      </c>
    </row>
    <row r="31" spans="1:2" x14ac:dyDescent="0.3">
      <c r="A31" s="87">
        <v>43221</v>
      </c>
      <c r="B31" t="s">
        <v>46</v>
      </c>
    </row>
    <row r="32" spans="1:2" x14ac:dyDescent="0.3">
      <c r="A32" s="87">
        <v>43321</v>
      </c>
      <c r="B32" t="s">
        <v>48</v>
      </c>
    </row>
    <row r="33" spans="1:2" x14ac:dyDescent="0.3">
      <c r="A33" s="87">
        <v>43367</v>
      </c>
      <c r="B33" t="s">
        <v>49</v>
      </c>
    </row>
    <row r="34" spans="1:2" x14ac:dyDescent="0.3">
      <c r="A34" s="87">
        <v>43451</v>
      </c>
      <c r="B34" t="s">
        <v>50</v>
      </c>
    </row>
    <row r="35" spans="1:2" x14ac:dyDescent="0.3">
      <c r="A35" s="87">
        <v>43459</v>
      </c>
      <c r="B35" t="s">
        <v>51</v>
      </c>
    </row>
    <row r="36" spans="1:2" x14ac:dyDescent="0.3">
      <c r="A36" s="87">
        <v>43460</v>
      </c>
      <c r="B36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56622a-5208-4acd-b81a-289d56b29a6c">
      <Terms xmlns="http://schemas.microsoft.com/office/infopath/2007/PartnerControls"/>
    </lcf76f155ced4ddcb4097134ff3c332f>
    <TaxCatchAll xmlns="dfe03c44-69f7-4c9f-9bd1-19419750fc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68E1A28E41A49B8674E508EA59FD2" ma:contentTypeVersion="13" ma:contentTypeDescription="Create a new document." ma:contentTypeScope="" ma:versionID="5f19f465a20af59f167148e9192f78a8">
  <xsd:schema xmlns:xsd="http://www.w3.org/2001/XMLSchema" xmlns:xs="http://www.w3.org/2001/XMLSchema" xmlns:p="http://schemas.microsoft.com/office/2006/metadata/properties" xmlns:ns2="c656622a-5208-4acd-b81a-289d56b29a6c" xmlns:ns3="dfe03c44-69f7-4c9f-9bd1-19419750fc7a" targetNamespace="http://schemas.microsoft.com/office/2006/metadata/properties" ma:root="true" ma:fieldsID="990f7652f7172dd306e0dfe48f507c05" ns2:_="" ns3:_="">
    <xsd:import namespace="c656622a-5208-4acd-b81a-289d56b29a6c"/>
    <xsd:import namespace="dfe03c44-69f7-4c9f-9bd1-19419750f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6622a-5208-4acd-b81a-289d56b29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659b8b8-6ae3-4cc3-80ef-99276c49de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03c44-69f7-4c9f-9bd1-19419750fc7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05bc6c8-e8bc-47a3-96e0-1df1bf139207}" ma:internalName="TaxCatchAll" ma:showField="CatchAllData" ma:web="dfe03c44-69f7-4c9f-9bd1-19419750f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2D396-7FEA-48AC-8B44-11D8534521D2}">
  <ds:schemaRefs>
    <ds:schemaRef ds:uri="http://schemas.microsoft.com/office/2006/metadata/properties"/>
    <ds:schemaRef ds:uri="http://schemas.microsoft.com/office/infopath/2007/PartnerControls"/>
    <ds:schemaRef ds:uri="a364e130-8a87-4e2a-8d57-9e0746f5ff19"/>
    <ds:schemaRef ds:uri="19450fec-c5c2-4a9e-a556-0a82459bc0e5"/>
  </ds:schemaRefs>
</ds:datastoreItem>
</file>

<file path=customXml/itemProps2.xml><?xml version="1.0" encoding="utf-8"?>
<ds:datastoreItem xmlns:ds="http://schemas.openxmlformats.org/officeDocument/2006/customXml" ds:itemID="{0D4E15B5-D9FB-40AC-89EE-83E2A4DB0119}"/>
</file>

<file path=customXml/itemProps3.xml><?xml version="1.0" encoding="utf-8"?>
<ds:datastoreItem xmlns:ds="http://schemas.openxmlformats.org/officeDocument/2006/customXml" ds:itemID="{6C392AF6-1769-4AB5-88B0-735CB693A4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Audit Schedule</vt:lpstr>
      <vt:lpstr>General &amp; Financials</vt:lpstr>
      <vt:lpstr>Management Control</vt:lpstr>
      <vt:lpstr>Skills Development</vt:lpstr>
      <vt:lpstr>Preferential Procurement</vt:lpstr>
      <vt:lpstr>Sheet1</vt:lpstr>
      <vt:lpstr>Supplier Development</vt:lpstr>
      <vt:lpstr>Enterprise Development</vt:lpstr>
      <vt:lpstr>Socio-economic Development</vt:lpstr>
      <vt:lpstr>Sheet2</vt:lpstr>
      <vt:lpstr>Public Holidays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Shernon Davis</dc:creator>
  <cp:lastModifiedBy>Lehlohonolo Xaba</cp:lastModifiedBy>
  <cp:lastPrinted>2017-05-15T05:32:08Z</cp:lastPrinted>
  <dcterms:created xsi:type="dcterms:W3CDTF">2017-05-09T05:23:48Z</dcterms:created>
  <dcterms:modified xsi:type="dcterms:W3CDTF">2025-12-12T09:51:07Z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0x0101009A568E1A28E41A49B8674E508EA59FD2</vt:lpwstr>
  </property>
  <property fmtid="{D5CDD505-2E9C-101B-9397-08002B2CF9AE}" pid="3" name="MediaServiceImageTags">
    <vt:lpwstr/>
  </property>
</Properties>
</file>