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tilweKomati\Downloads\"/>
    </mc:Choice>
  </mc:AlternateContent>
  <xr:revisionPtr revIDLastSave="0" documentId="8_{E65D7920-25EA-4FFD-BC70-251ACAA49E90}" xr6:coauthVersionLast="47" xr6:coauthVersionMax="47" xr10:uidLastSave="{00000000-0000-0000-0000-000000000000}"/>
  <bookViews>
    <workbookView xWindow="-108" yWindow="-108" windowWidth="23256" windowHeight="12456" xr2:uid="{5B5623C1-0299-425B-B199-445388ED6B1C}"/>
  </bookViews>
  <sheets>
    <sheet name="Industry Norms" sheetId="1" r:id="rId1"/>
    <sheet name="EAP Targets 25th C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5" i="1" l="1"/>
  <c r="J64" i="1"/>
  <c r="J12" i="2"/>
  <c r="J11" i="2"/>
  <c r="J10" i="2"/>
  <c r="J9" i="2"/>
  <c r="J8" i="2"/>
  <c r="J7" i="2"/>
  <c r="J5" i="2"/>
  <c r="J4" i="2"/>
  <c r="J3" i="2"/>
  <c r="J6" i="2"/>
  <c r="K4" i="2"/>
  <c r="K5" i="2"/>
  <c r="K6" i="2"/>
  <c r="K7" i="2"/>
  <c r="K8" i="2"/>
  <c r="K9" i="2"/>
  <c r="K10" i="2"/>
  <c r="K11" i="2"/>
  <c r="K12" i="2"/>
  <c r="K3" i="2"/>
  <c r="G24" i="1"/>
  <c r="F24" i="1"/>
  <c r="E24" i="1"/>
  <c r="D24" i="1"/>
  <c r="C24" i="1"/>
  <c r="C32" i="1"/>
  <c r="D32" i="1"/>
  <c r="E32" i="1"/>
  <c r="F32" i="1"/>
  <c r="G32" i="1"/>
  <c r="D72" i="1"/>
  <c r="E72" i="1"/>
  <c r="F72" i="1"/>
  <c r="G72" i="1"/>
  <c r="C72" i="1"/>
  <c r="D64" i="1"/>
  <c r="E64" i="1"/>
  <c r="F64" i="1"/>
  <c r="G64" i="1"/>
  <c r="C64" i="1"/>
  <c r="D56" i="1"/>
  <c r="E56" i="1"/>
  <c r="F56" i="1"/>
  <c r="G56" i="1"/>
  <c r="C56" i="1"/>
  <c r="D49" i="1"/>
  <c r="E49" i="1"/>
  <c r="F49" i="1"/>
  <c r="G49" i="1"/>
  <c r="C49" i="1"/>
  <c r="D40" i="1"/>
  <c r="E40" i="1"/>
  <c r="F40" i="1"/>
  <c r="G40" i="1"/>
  <c r="C40" i="1"/>
  <c r="D16" i="1"/>
  <c r="E16" i="1"/>
  <c r="F16" i="1"/>
  <c r="G16" i="1"/>
  <c r="C16" i="1"/>
  <c r="G8" i="1"/>
  <c r="F8" i="1"/>
  <c r="E8" i="1"/>
  <c r="D8" i="1"/>
  <c r="C8" i="1"/>
  <c r="G25" i="1" l="1"/>
  <c r="F25" i="1"/>
  <c r="C25" i="1"/>
  <c r="E25" i="1"/>
  <c r="D25" i="1"/>
  <c r="F17" i="1"/>
  <c r="G17" i="1"/>
  <c r="C17" i="1"/>
  <c r="F41" i="1"/>
  <c r="F73" i="1"/>
  <c r="E65" i="1"/>
  <c r="D50" i="1"/>
  <c r="C50" i="1"/>
  <c r="D41" i="1"/>
  <c r="E17" i="1"/>
  <c r="D73" i="1"/>
  <c r="F50" i="1"/>
  <c r="E73" i="1"/>
  <c r="C73" i="1"/>
  <c r="E50" i="1"/>
  <c r="E41" i="1"/>
  <c r="C41" i="1"/>
  <c r="G73" i="1"/>
  <c r="G50" i="1"/>
  <c r="G41" i="1"/>
  <c r="D17" i="1"/>
  <c r="G33" i="1"/>
  <c r="F33" i="1"/>
  <c r="D33" i="1"/>
  <c r="E33" i="1"/>
  <c r="C33" i="1"/>
  <c r="G65" i="1"/>
  <c r="C65" i="1"/>
  <c r="D65" i="1"/>
  <c r="F65" i="1"/>
  <c r="G57" i="1"/>
  <c r="E57" i="1"/>
  <c r="D57" i="1"/>
  <c r="C57" i="1"/>
  <c r="F57" i="1"/>
  <c r="D9" i="1"/>
  <c r="E9" i="1"/>
  <c r="F9" i="1"/>
  <c r="G9" i="1"/>
  <c r="C9" i="1"/>
</calcChain>
</file>

<file path=xl/sharedStrings.xml><?xml version="1.0" encoding="utf-8"?>
<sst xmlns="http://schemas.openxmlformats.org/spreadsheetml/2006/main" count="78" uniqueCount="38">
  <si>
    <t>December 2025 Industry Norms calculated from Stats SA figures</t>
  </si>
  <si>
    <t>All Industries</t>
  </si>
  <si>
    <t>Turnover</t>
  </si>
  <si>
    <t>NPBT</t>
  </si>
  <si>
    <t>Tax</t>
  </si>
  <si>
    <t>NPAT</t>
  </si>
  <si>
    <t xml:space="preserve">Average profit Margin </t>
  </si>
  <si>
    <t xml:space="preserve">Mining and Quarrying industry </t>
  </si>
  <si>
    <t>Electricity Gas and Water supply industry</t>
  </si>
  <si>
    <t>Construction industry</t>
  </si>
  <si>
    <t>Trade industry</t>
  </si>
  <si>
    <t xml:space="preserve">Transport Storage &amp; Communication industry </t>
  </si>
  <si>
    <t>Real Estate &amp; Other business services industry</t>
  </si>
  <si>
    <t>Community, Social &amp; personal services industry</t>
  </si>
  <si>
    <t xml:space="preserve">Manufacturing Industry </t>
  </si>
  <si>
    <t xml:space="preserve">Published 31 March 2026 </t>
  </si>
  <si>
    <t>Year of report: 2024 - 2025</t>
  </si>
  <si>
    <t>Number of report: 25th</t>
  </si>
  <si>
    <t>Limpopo</t>
  </si>
  <si>
    <t>KwaZulu-Natal</t>
  </si>
  <si>
    <t>Free State</t>
  </si>
  <si>
    <t>Mpumalanga</t>
  </si>
  <si>
    <t>North West</t>
  </si>
  <si>
    <t>Eastern Cape</t>
  </si>
  <si>
    <t>Northern Cape</t>
  </si>
  <si>
    <t>Gauteng</t>
  </si>
  <si>
    <t>Western Cape</t>
  </si>
  <si>
    <t>National</t>
  </si>
  <si>
    <t>Black %</t>
  </si>
  <si>
    <t>All%</t>
  </si>
  <si>
    <t>AM</t>
  </si>
  <si>
    <t>CM</t>
  </si>
  <si>
    <t>IM</t>
  </si>
  <si>
    <t>WM</t>
  </si>
  <si>
    <t>AF</t>
  </si>
  <si>
    <t>CF</t>
  </si>
  <si>
    <t>IF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</si>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</sst>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17" fontId="2" fillId="0" borderId="0" xfId="0" applyNumberFormat="1" applyFont="1"/>
    <xf numFmtId="9" fontId="0" fillId="0" borderId="0" xfId="1" applyFont="1"/>
    <xf numFmtId="0" fontId="4" fillId="0" borderId="0" xfId="0" applyFont="1" applyAlignment="1">
      <alignment horizontal="center"/>
    </xf>
    <xf numFmtId="10" fontId="2" fillId="0" borderId="0" xfId="1" applyNumberFormat="1" applyFont="1"/>
    <xf numFmtId="0" fontId="4" fillId="0" borderId="0" xfId="0" applyFont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10" fontId="4" fillId="2" borderId="0" xfId="1" applyNumberFormat="1" applyFont="1" applyFill="1"/>
    <xf numFmtId="0" fontId="2" fillId="3" borderId="0" xfId="0" applyFont="1" applyFill="1"/>
    <xf numFmtId="0" fontId="4" fillId="3" borderId="0" xfId="0" applyFont="1" applyFill="1" applyAlignment="1">
      <alignment horizontal="center"/>
    </xf>
    <xf numFmtId="10" fontId="2" fillId="3" borderId="0" xfId="1" applyNumberFormat="1" applyFont="1" applyFill="1"/>
    <xf numFmtId="0" fontId="2" fillId="4" borderId="0" xfId="0" applyFont="1" applyFill="1"/>
    <xf numFmtId="0" fontId="4" fillId="4" borderId="0" xfId="0" applyFont="1" applyFill="1" applyAlignment="1">
      <alignment horizontal="center"/>
    </xf>
    <xf numFmtId="10" fontId="2" fillId="4" borderId="0" xfId="1" applyNumberFormat="1" applyFont="1" applyFill="1"/>
    <xf numFmtId="0" fontId="2" fillId="5" borderId="0" xfId="0" applyFont="1" applyFill="1"/>
    <xf numFmtId="0" fontId="4" fillId="5" borderId="0" xfId="0" applyFont="1" applyFill="1" applyAlignment="1">
      <alignment horizontal="center"/>
    </xf>
    <xf numFmtId="10" fontId="2" fillId="5" borderId="0" xfId="1" applyNumberFormat="1" applyFont="1" applyFill="1"/>
    <xf numFmtId="0" fontId="2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10" fontId="2" fillId="6" borderId="0" xfId="1" applyNumberFormat="1" applyFont="1" applyFill="1"/>
    <xf numFmtId="0" fontId="2" fillId="7" borderId="0" xfId="0" applyFont="1" applyFill="1"/>
    <xf numFmtId="0" fontId="4" fillId="7" borderId="0" xfId="0" applyFont="1" applyFill="1" applyAlignment="1">
      <alignment horizontal="center"/>
    </xf>
    <xf numFmtId="10" fontId="2" fillId="7" borderId="0" xfId="1" applyNumberFormat="1" applyFont="1" applyFill="1"/>
    <xf numFmtId="0" fontId="2" fillId="8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10" fontId="2" fillId="8" borderId="0" xfId="1" applyNumberFormat="1" applyFont="1" applyFill="1"/>
    <xf numFmtId="0" fontId="2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/>
    </xf>
    <xf numFmtId="10" fontId="2" fillId="9" borderId="0" xfId="1" applyNumberFormat="1" applyFont="1" applyFill="1"/>
    <xf numFmtId="0" fontId="2" fillId="10" borderId="0" xfId="0" applyFont="1" applyFill="1" applyAlignment="1">
      <alignment horizontal="left"/>
    </xf>
    <xf numFmtId="0" fontId="4" fillId="10" borderId="0" xfId="0" applyFont="1" applyFill="1" applyAlignment="1">
      <alignment horizontal="center"/>
    </xf>
    <xf numFmtId="10" fontId="2" fillId="10" borderId="0" xfId="1" applyNumberFormat="1" applyFont="1" applyFill="1"/>
    <xf numFmtId="0" fontId="5" fillId="0" borderId="0" xfId="0" applyFont="1"/>
    <xf numFmtId="0" fontId="6" fillId="11" borderId="0" xfId="0" applyFont="1" applyFill="1"/>
    <xf numFmtId="0" fontId="0" fillId="12" borderId="0" xfId="0" applyFill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68580</xdr:rowOff>
    </xdr:from>
    <xdr:to>
      <xdr:col>7</xdr:col>
      <xdr:colOff>324560</xdr:colOff>
      <xdr:row>22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0722A-1008-F18F-7771-57C05F56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6020"/>
          <a:ext cx="5574740" cy="1661160"/>
        </a:xfrm>
        <a:prstGeom prst="rect">
          <a:avLst/>
        </a:prstGeom>
      </xdr:spPr>
    </xdr:pic>
    <xdr:clientData/>
  </xdr:twoCellAnchor>
  <xdr:twoCellAnchor editAs="oneCell">
    <xdr:from>
      <xdr:col>7</xdr:col>
      <xdr:colOff>441960</xdr:colOff>
      <xdr:row>13</xdr:row>
      <xdr:rowOff>45719</xdr:rowOff>
    </xdr:from>
    <xdr:to>
      <xdr:col>16</xdr:col>
      <xdr:colOff>244485</xdr:colOff>
      <xdr:row>44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8F1865-8BEF-BF28-A42C-58CD8132C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140" y="2423159"/>
          <a:ext cx="5677545" cy="5692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9947-AD90-4C92-BE4B-59AD27B80E58}">
  <dimension ref="A1:CO73"/>
  <sheetViews>
    <sheetView tabSelected="1" workbookViewId="0">
      <pane xSplit="2" ySplit="1" topLeftCell="C45" activePane="bottomRight" state="frozen"/>
      <selection pane="topRight" activeCell="C1" sqref="C1"/>
      <selection pane="bottomLeft" activeCell="A2" sqref="A2"/>
      <selection pane="bottomRight" activeCell="J46" sqref="J46"/>
    </sheetView>
  </sheetViews>
  <sheetFormatPr defaultRowHeight="14.4" x14ac:dyDescent="0.3"/>
  <cols>
    <col min="1" max="1" width="6.21875" customWidth="1"/>
    <col min="2" max="2" width="43.109375" customWidth="1"/>
    <col min="3" max="3" width="16.5546875" customWidth="1"/>
    <col min="4" max="4" width="20.109375" customWidth="1"/>
    <col min="5" max="5" width="16.77734375" customWidth="1"/>
    <col min="6" max="6" width="18.33203125" customWidth="1"/>
    <col min="7" max="7" width="22.21875" customWidth="1"/>
  </cols>
  <sheetData>
    <row r="1" spans="1:93" ht="15.6" x14ac:dyDescent="0.3">
      <c r="B1" s="2" t="s">
        <v>0</v>
      </c>
      <c r="G1" s="37" t="s">
        <v>15</v>
      </c>
    </row>
    <row r="4" spans="1:93" s="1" customFormat="1" x14ac:dyDescent="0.3">
      <c r="A4" s="1">
        <v>1</v>
      </c>
      <c r="B4" s="10" t="s">
        <v>1</v>
      </c>
      <c r="C4" s="5">
        <v>45627</v>
      </c>
      <c r="D4" s="5">
        <v>45717</v>
      </c>
      <c r="E4" s="5">
        <v>45809</v>
      </c>
      <c r="F4" s="5">
        <v>45901</v>
      </c>
      <c r="G4" s="5">
        <v>45992</v>
      </c>
    </row>
    <row r="5" spans="1:93" x14ac:dyDescent="0.3">
      <c r="B5" s="3" t="s">
        <v>2</v>
      </c>
      <c r="C5" s="4">
        <v>3944618</v>
      </c>
      <c r="D5" s="4">
        <v>3630753</v>
      </c>
      <c r="E5" s="4">
        <v>3777495</v>
      </c>
      <c r="F5" s="4">
        <v>4005173</v>
      </c>
      <c r="G5" s="4">
        <v>4180159</v>
      </c>
    </row>
    <row r="6" spans="1:93" x14ac:dyDescent="0.3">
      <c r="B6" s="3" t="s">
        <v>3</v>
      </c>
      <c r="C6" s="4">
        <v>311626</v>
      </c>
      <c r="D6" s="4">
        <v>213631</v>
      </c>
      <c r="E6" s="4">
        <v>282480</v>
      </c>
      <c r="F6" s="4">
        <v>350728</v>
      </c>
      <c r="G6" s="4">
        <v>328533</v>
      </c>
    </row>
    <row r="7" spans="1:93" x14ac:dyDescent="0.3">
      <c r="B7" s="3" t="s">
        <v>4</v>
      </c>
      <c r="C7" s="4">
        <v>61745</v>
      </c>
      <c r="D7" s="4">
        <v>46116</v>
      </c>
      <c r="E7" s="4">
        <v>51496</v>
      </c>
      <c r="F7" s="4">
        <v>57063</v>
      </c>
      <c r="G7" s="4">
        <v>56865</v>
      </c>
    </row>
    <row r="8" spans="1:93" x14ac:dyDescent="0.3">
      <c r="B8" s="3" t="s">
        <v>5</v>
      </c>
      <c r="C8" s="4">
        <f>C6-C7</f>
        <v>249881</v>
      </c>
      <c r="D8" s="4">
        <f>D6-D7</f>
        <v>167515</v>
      </c>
      <c r="E8" s="4">
        <f>E6-E7</f>
        <v>230984</v>
      </c>
      <c r="F8" s="4">
        <f>F6-F7</f>
        <v>293665</v>
      </c>
      <c r="G8" s="4">
        <f>G6-G7</f>
        <v>271668</v>
      </c>
    </row>
    <row r="9" spans="1:93" x14ac:dyDescent="0.3">
      <c r="B9" s="11" t="s">
        <v>6</v>
      </c>
      <c r="C9" s="12">
        <f>C8/C5</f>
        <v>6.334732539373901E-2</v>
      </c>
      <c r="D9" s="12">
        <f t="shared" ref="D9:G9" si="0">D8/D5</f>
        <v>4.6137812183863786E-2</v>
      </c>
      <c r="E9" s="12">
        <f t="shared" si="0"/>
        <v>6.1147400592191384E-2</v>
      </c>
      <c r="F9" s="12">
        <f t="shared" si="0"/>
        <v>7.3321427064448899E-2</v>
      </c>
      <c r="G9" s="12">
        <f t="shared" si="0"/>
        <v>6.4989872394806039E-2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</row>
    <row r="12" spans="1:93" s="1" customFormat="1" x14ac:dyDescent="0.3">
      <c r="A12" s="1">
        <v>2</v>
      </c>
      <c r="B12" s="13" t="s">
        <v>7</v>
      </c>
      <c r="C12" s="5">
        <v>45627</v>
      </c>
      <c r="D12" s="5">
        <v>45717</v>
      </c>
      <c r="E12" s="5">
        <v>45809</v>
      </c>
      <c r="F12" s="5">
        <v>45901</v>
      </c>
      <c r="G12" s="5">
        <v>45992</v>
      </c>
    </row>
    <row r="13" spans="1:93" x14ac:dyDescent="0.3">
      <c r="B13" s="3" t="s">
        <v>2</v>
      </c>
      <c r="C13" s="4">
        <v>331090</v>
      </c>
      <c r="D13" s="4">
        <v>271751</v>
      </c>
      <c r="E13" s="4">
        <v>299154</v>
      </c>
      <c r="F13" s="4">
        <v>332040</v>
      </c>
      <c r="G13" s="4">
        <v>383017</v>
      </c>
    </row>
    <row r="14" spans="1:93" x14ac:dyDescent="0.3">
      <c r="B14" s="3" t="s">
        <v>3</v>
      </c>
      <c r="C14" s="4">
        <v>47805</v>
      </c>
      <c r="D14" s="4">
        <v>26046</v>
      </c>
      <c r="E14" s="4">
        <v>27723</v>
      </c>
      <c r="F14" s="4">
        <v>63815</v>
      </c>
      <c r="G14" s="4">
        <v>65748</v>
      </c>
    </row>
    <row r="15" spans="1:93" x14ac:dyDescent="0.3">
      <c r="B15" s="3" t="s">
        <v>4</v>
      </c>
      <c r="C15" s="4">
        <v>9284</v>
      </c>
      <c r="D15" s="4">
        <v>6824</v>
      </c>
      <c r="E15">
        <v>8166</v>
      </c>
      <c r="F15" s="4">
        <v>8336</v>
      </c>
      <c r="G15" s="4">
        <v>11327</v>
      </c>
    </row>
    <row r="16" spans="1:93" x14ac:dyDescent="0.3">
      <c r="B16" s="3" t="s">
        <v>5</v>
      </c>
      <c r="C16" s="4">
        <f>C14-C15</f>
        <v>38521</v>
      </c>
      <c r="D16" s="4">
        <f t="shared" ref="D16:G16" si="1">D14-D15</f>
        <v>19222</v>
      </c>
      <c r="E16" s="4">
        <f t="shared" si="1"/>
        <v>19557</v>
      </c>
      <c r="F16" s="4">
        <f t="shared" si="1"/>
        <v>55479</v>
      </c>
      <c r="G16" s="4">
        <f t="shared" si="1"/>
        <v>54421</v>
      </c>
    </row>
    <row r="17" spans="1:20" x14ac:dyDescent="0.3">
      <c r="B17" s="14" t="s">
        <v>6</v>
      </c>
      <c r="C17" s="15">
        <f>C16/C13</f>
        <v>0.11634600863813464</v>
      </c>
      <c r="D17" s="15">
        <f t="shared" ref="D17:G17" si="2">D16/D13</f>
        <v>7.0733870344543356E-2</v>
      </c>
      <c r="E17" s="15">
        <f t="shared" si="2"/>
        <v>6.5374355683026131E-2</v>
      </c>
      <c r="F17" s="15">
        <f t="shared" si="2"/>
        <v>0.16708529092880375</v>
      </c>
      <c r="G17" s="15">
        <f t="shared" si="2"/>
        <v>0.1420850771636768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">
      <c r="B18" s="7"/>
      <c r="C18" s="8"/>
      <c r="D18" s="8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">
      <c r="B19" s="7"/>
      <c r="C19" s="8"/>
      <c r="D19" s="8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1" customFormat="1" x14ac:dyDescent="0.3">
      <c r="A20" s="1">
        <v>3</v>
      </c>
      <c r="B20" s="16" t="s">
        <v>14</v>
      </c>
      <c r="C20" s="5">
        <v>45627</v>
      </c>
      <c r="D20" s="5">
        <v>45717</v>
      </c>
      <c r="E20" s="5">
        <v>45809</v>
      </c>
      <c r="F20" s="5">
        <v>45901</v>
      </c>
      <c r="G20" s="5">
        <v>45992</v>
      </c>
    </row>
    <row r="21" spans="1:20" x14ac:dyDescent="0.3">
      <c r="B21" s="3" t="s">
        <v>2</v>
      </c>
      <c r="C21" s="4">
        <v>1104254</v>
      </c>
      <c r="D21" s="4">
        <v>1042654</v>
      </c>
      <c r="E21" s="4">
        <v>1092426</v>
      </c>
      <c r="F21" s="4">
        <v>1181965</v>
      </c>
      <c r="G21" s="4">
        <v>1196566</v>
      </c>
    </row>
    <row r="22" spans="1:20" x14ac:dyDescent="0.3">
      <c r="B22" s="3" t="s">
        <v>3</v>
      </c>
      <c r="C22" s="4">
        <v>80118</v>
      </c>
      <c r="D22" s="4">
        <v>59632</v>
      </c>
      <c r="E22" s="4">
        <v>75904</v>
      </c>
      <c r="F22" s="4">
        <v>90755</v>
      </c>
      <c r="G22" s="4">
        <v>69639</v>
      </c>
    </row>
    <row r="23" spans="1:20" x14ac:dyDescent="0.3">
      <c r="B23" s="3" t="s">
        <v>4</v>
      </c>
      <c r="C23" s="4">
        <v>13907</v>
      </c>
      <c r="D23" s="4">
        <v>9198</v>
      </c>
      <c r="E23">
        <v>10326</v>
      </c>
      <c r="F23" s="4">
        <v>11397</v>
      </c>
      <c r="G23" s="4">
        <v>12955</v>
      </c>
    </row>
    <row r="24" spans="1:20" x14ac:dyDescent="0.3">
      <c r="B24" s="3" t="s">
        <v>5</v>
      </c>
      <c r="C24" s="4">
        <f>C22-C23</f>
        <v>66211</v>
      </c>
      <c r="D24" s="4">
        <f t="shared" ref="D24" si="3">D22-D23</f>
        <v>50434</v>
      </c>
      <c r="E24" s="4">
        <f t="shared" ref="E24" si="4">E22-E23</f>
        <v>65578</v>
      </c>
      <c r="F24" s="4">
        <f t="shared" ref="F24" si="5">F22-F23</f>
        <v>79358</v>
      </c>
      <c r="G24" s="4">
        <f t="shared" ref="G24" si="6">G22-G23</f>
        <v>56684</v>
      </c>
    </row>
    <row r="25" spans="1:20" x14ac:dyDescent="0.3">
      <c r="B25" s="17" t="s">
        <v>6</v>
      </c>
      <c r="C25" s="18">
        <f>C24/C21</f>
        <v>5.9959936753681671E-2</v>
      </c>
      <c r="D25" s="18">
        <f t="shared" ref="D25" si="7">D24/D21</f>
        <v>4.8370792228294331E-2</v>
      </c>
      <c r="E25" s="18">
        <f t="shared" ref="E25" si="8">E24/E21</f>
        <v>6.0029695375247383E-2</v>
      </c>
      <c r="F25" s="18">
        <f t="shared" ref="F25" si="9">F24/F21</f>
        <v>6.7140735977799681E-2</v>
      </c>
      <c r="G25" s="18">
        <f t="shared" ref="G25" si="10">G24/G21</f>
        <v>4.7372230198752092E-2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B26" s="7"/>
      <c r="C26" s="8"/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B27" s="7"/>
      <c r="C27" s="8"/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1" customFormat="1" x14ac:dyDescent="0.3">
      <c r="A28" s="1">
        <v>4</v>
      </c>
      <c r="B28" s="19" t="s">
        <v>8</v>
      </c>
      <c r="C28" s="5">
        <v>45627</v>
      </c>
      <c r="D28" s="5">
        <v>45717</v>
      </c>
      <c r="E28" s="5">
        <v>45809</v>
      </c>
      <c r="F28" s="5">
        <v>45901</v>
      </c>
      <c r="G28" s="5">
        <v>45992</v>
      </c>
    </row>
    <row r="29" spans="1:20" x14ac:dyDescent="0.3">
      <c r="B29" s="3" t="s">
        <v>2</v>
      </c>
      <c r="C29" s="4">
        <v>199417</v>
      </c>
      <c r="D29" s="4">
        <v>124087</v>
      </c>
      <c r="E29" s="4">
        <v>134468</v>
      </c>
      <c r="F29" s="4">
        <v>146691</v>
      </c>
      <c r="G29" s="4">
        <v>135159</v>
      </c>
    </row>
    <row r="30" spans="1:20" x14ac:dyDescent="0.3">
      <c r="B30" s="3" t="s">
        <v>3</v>
      </c>
      <c r="C30" s="4">
        <v>12822</v>
      </c>
      <c r="D30" s="4">
        <v>-3144</v>
      </c>
      <c r="E30" s="4">
        <v>15185</v>
      </c>
      <c r="F30" s="4">
        <v>30900</v>
      </c>
      <c r="G30" s="4">
        <v>12789</v>
      </c>
    </row>
    <row r="31" spans="1:20" x14ac:dyDescent="0.3">
      <c r="B31" s="3" t="s">
        <v>4</v>
      </c>
      <c r="C31">
        <v>756</v>
      </c>
      <c r="D31">
        <v>614</v>
      </c>
      <c r="E31">
        <v>3082</v>
      </c>
      <c r="F31">
        <v>6370</v>
      </c>
      <c r="G31">
        <v>1075</v>
      </c>
    </row>
    <row r="32" spans="1:20" x14ac:dyDescent="0.3">
      <c r="B32" s="3" t="s">
        <v>5</v>
      </c>
      <c r="C32" s="4">
        <f>C30-C31</f>
        <v>12066</v>
      </c>
      <c r="D32" s="4">
        <f t="shared" ref="D32:G32" si="11">D30-D31</f>
        <v>-3758</v>
      </c>
      <c r="E32" s="4">
        <f t="shared" si="11"/>
        <v>12103</v>
      </c>
      <c r="F32" s="4">
        <f t="shared" si="11"/>
        <v>24530</v>
      </c>
      <c r="G32" s="4">
        <f t="shared" si="11"/>
        <v>11714</v>
      </c>
    </row>
    <row r="33" spans="1:21" x14ac:dyDescent="0.3">
      <c r="B33" s="20" t="s">
        <v>6</v>
      </c>
      <c r="C33" s="21">
        <f>C32/C29</f>
        <v>6.0506376086291537E-2</v>
      </c>
      <c r="D33" s="21">
        <f t="shared" ref="D33:G33" si="12">D32/D29</f>
        <v>-3.0285203123614882E-2</v>
      </c>
      <c r="E33" s="21">
        <f t="shared" si="12"/>
        <v>9.0006544307939432E-2</v>
      </c>
      <c r="F33" s="21">
        <f t="shared" si="12"/>
        <v>0.16722225630747625</v>
      </c>
      <c r="G33" s="21">
        <f t="shared" si="12"/>
        <v>8.6668294379212626E-2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6" spans="1:21" s="1" customFormat="1" x14ac:dyDescent="0.3">
      <c r="A36" s="1">
        <v>5</v>
      </c>
      <c r="B36" s="22" t="s">
        <v>9</v>
      </c>
      <c r="C36" s="5">
        <v>45627</v>
      </c>
      <c r="D36" s="5">
        <v>45717</v>
      </c>
      <c r="E36" s="5">
        <v>45809</v>
      </c>
      <c r="F36" s="5">
        <v>45901</v>
      </c>
      <c r="G36" s="5">
        <v>45992</v>
      </c>
    </row>
    <row r="37" spans="1:21" x14ac:dyDescent="0.3">
      <c r="B37" s="3" t="s">
        <v>2</v>
      </c>
      <c r="C37" s="4">
        <v>92846</v>
      </c>
      <c r="D37" s="4">
        <v>93463</v>
      </c>
      <c r="E37" s="4">
        <v>98072</v>
      </c>
      <c r="F37" s="4">
        <v>99511</v>
      </c>
      <c r="G37" s="4">
        <v>102261</v>
      </c>
    </row>
    <row r="38" spans="1:21" x14ac:dyDescent="0.3">
      <c r="B38" s="3" t="s">
        <v>3</v>
      </c>
      <c r="C38" s="4">
        <v>1102</v>
      </c>
      <c r="D38" s="4">
        <v>1291</v>
      </c>
      <c r="E38" s="4">
        <v>3435</v>
      </c>
      <c r="F38" s="4">
        <v>2565</v>
      </c>
      <c r="G38" s="4">
        <v>2083</v>
      </c>
    </row>
    <row r="39" spans="1:21" x14ac:dyDescent="0.3">
      <c r="B39" s="3" t="s">
        <v>4</v>
      </c>
      <c r="C39">
        <v>514</v>
      </c>
      <c r="D39">
        <v>582</v>
      </c>
      <c r="E39">
        <v>487</v>
      </c>
      <c r="F39">
        <v>461</v>
      </c>
      <c r="G39">
        <v>471</v>
      </c>
    </row>
    <row r="40" spans="1:21" x14ac:dyDescent="0.3">
      <c r="B40" s="3" t="s">
        <v>5</v>
      </c>
      <c r="C40" s="4">
        <f>C38-C39</f>
        <v>588</v>
      </c>
      <c r="D40" s="4">
        <f t="shared" ref="D40:G40" si="13">D38-D39</f>
        <v>709</v>
      </c>
      <c r="E40" s="4">
        <f t="shared" si="13"/>
        <v>2948</v>
      </c>
      <c r="F40" s="4">
        <f t="shared" si="13"/>
        <v>2104</v>
      </c>
      <c r="G40" s="4">
        <f t="shared" si="13"/>
        <v>1612</v>
      </c>
    </row>
    <row r="41" spans="1:21" x14ac:dyDescent="0.3">
      <c r="B41" s="23" t="s">
        <v>6</v>
      </c>
      <c r="C41" s="24">
        <f>C40/C37</f>
        <v>6.3330676604269436E-3</v>
      </c>
      <c r="D41" s="24">
        <f t="shared" ref="D41:G41" si="14">D40/D37</f>
        <v>7.5858896033724572E-3</v>
      </c>
      <c r="E41" s="24">
        <f t="shared" si="14"/>
        <v>3.0059548087119668E-2</v>
      </c>
      <c r="F41" s="24">
        <f t="shared" si="14"/>
        <v>2.1143391182884306E-2</v>
      </c>
      <c r="G41" s="24">
        <f t="shared" si="14"/>
        <v>1.5763585335562921E-2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5" spans="1:21" s="1" customFormat="1" x14ac:dyDescent="0.3">
      <c r="A45" s="1">
        <v>6</v>
      </c>
      <c r="B45" s="25" t="s">
        <v>10</v>
      </c>
      <c r="C45" s="5">
        <v>45627</v>
      </c>
      <c r="D45" s="5">
        <v>45717</v>
      </c>
      <c r="E45" s="5">
        <v>45809</v>
      </c>
      <c r="F45" s="5">
        <v>45901</v>
      </c>
      <c r="G45" s="5">
        <v>45992</v>
      </c>
    </row>
    <row r="46" spans="1:21" x14ac:dyDescent="0.3">
      <c r="B46" s="3" t="s">
        <v>2</v>
      </c>
      <c r="C46" s="4">
        <v>1383106</v>
      </c>
      <c r="D46" s="4">
        <v>1287726</v>
      </c>
      <c r="E46" s="4">
        <v>1314783</v>
      </c>
      <c r="F46" s="4">
        <v>1361270</v>
      </c>
      <c r="G46" s="4">
        <v>1436018</v>
      </c>
    </row>
    <row r="47" spans="1:21" x14ac:dyDescent="0.3">
      <c r="B47" s="3" t="s">
        <v>3</v>
      </c>
      <c r="C47" s="4">
        <v>98820</v>
      </c>
      <c r="D47" s="4">
        <v>64348</v>
      </c>
      <c r="E47" s="4">
        <v>66766</v>
      </c>
      <c r="F47" s="4">
        <v>71019</v>
      </c>
      <c r="G47" s="4">
        <v>82087</v>
      </c>
    </row>
    <row r="48" spans="1:21" x14ac:dyDescent="0.3">
      <c r="B48" s="3" t="s">
        <v>4</v>
      </c>
      <c r="C48" s="4">
        <v>19958</v>
      </c>
      <c r="D48" s="4">
        <v>12192</v>
      </c>
      <c r="E48" s="4">
        <v>12697</v>
      </c>
      <c r="F48" s="4">
        <v>13483</v>
      </c>
      <c r="G48" s="4">
        <v>13340</v>
      </c>
    </row>
    <row r="49" spans="1:21" x14ac:dyDescent="0.3">
      <c r="B49" s="3" t="s">
        <v>5</v>
      </c>
      <c r="C49" s="4">
        <f>C47-C48</f>
        <v>78862</v>
      </c>
      <c r="D49" s="4">
        <f t="shared" ref="D49:G49" si="15">D47-D48</f>
        <v>52156</v>
      </c>
      <c r="E49" s="4">
        <f t="shared" si="15"/>
        <v>54069</v>
      </c>
      <c r="F49" s="4">
        <f t="shared" si="15"/>
        <v>57536</v>
      </c>
      <c r="G49" s="4">
        <f t="shared" si="15"/>
        <v>68747</v>
      </c>
    </row>
    <row r="50" spans="1:21" x14ac:dyDescent="0.3">
      <c r="B50" s="26" t="s">
        <v>6</v>
      </c>
      <c r="C50" s="27">
        <f>C49/C46</f>
        <v>5.7018044893160758E-2</v>
      </c>
      <c r="D50" s="27">
        <f t="shared" ref="D50:G50" si="16">D49/D46</f>
        <v>4.0502405014731395E-2</v>
      </c>
      <c r="E50" s="27">
        <f t="shared" si="16"/>
        <v>4.1123896490903825E-2</v>
      </c>
      <c r="F50" s="27">
        <f t="shared" si="16"/>
        <v>4.2266412981994753E-2</v>
      </c>
      <c r="G50" s="27">
        <f t="shared" si="16"/>
        <v>4.7873355347913468E-2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2" spans="1:21" s="1" customFormat="1" x14ac:dyDescent="0.3">
      <c r="A52" s="1">
        <v>7</v>
      </c>
      <c r="B52" s="28" t="s">
        <v>11</v>
      </c>
      <c r="C52" s="5">
        <v>45627</v>
      </c>
      <c r="D52" s="5">
        <v>45717</v>
      </c>
      <c r="E52" s="5">
        <v>45809</v>
      </c>
      <c r="F52" s="5">
        <v>45901</v>
      </c>
      <c r="G52" s="5">
        <v>45992</v>
      </c>
    </row>
    <row r="53" spans="1:21" x14ac:dyDescent="0.3">
      <c r="B53" s="3" t="s">
        <v>2</v>
      </c>
      <c r="C53" s="4">
        <v>286940</v>
      </c>
      <c r="D53" s="4">
        <v>274360</v>
      </c>
      <c r="E53" s="4">
        <v>287831</v>
      </c>
      <c r="F53" s="4">
        <v>298256</v>
      </c>
      <c r="G53" s="4">
        <v>332715</v>
      </c>
    </row>
    <row r="54" spans="1:21" x14ac:dyDescent="0.3">
      <c r="B54" s="3" t="s">
        <v>3</v>
      </c>
      <c r="C54" s="4">
        <v>15840</v>
      </c>
      <c r="D54" s="4">
        <v>14026</v>
      </c>
      <c r="E54" s="4">
        <v>20171</v>
      </c>
      <c r="F54" s="4">
        <v>21192</v>
      </c>
      <c r="G54" s="4">
        <v>19762</v>
      </c>
    </row>
    <row r="55" spans="1:21" x14ac:dyDescent="0.3">
      <c r="B55" s="3" t="s">
        <v>4</v>
      </c>
      <c r="C55" s="4">
        <v>4466</v>
      </c>
      <c r="D55" s="4">
        <v>4240</v>
      </c>
      <c r="E55" s="4">
        <v>4401</v>
      </c>
      <c r="F55" s="4">
        <v>4057</v>
      </c>
      <c r="G55" s="4">
        <v>6241</v>
      </c>
    </row>
    <row r="56" spans="1:21" x14ac:dyDescent="0.3">
      <c r="B56" s="3" t="s">
        <v>5</v>
      </c>
      <c r="C56" s="4">
        <f>C54-C55</f>
        <v>11374</v>
      </c>
      <c r="D56" s="4">
        <f t="shared" ref="D56:G56" si="17">D54-D55</f>
        <v>9786</v>
      </c>
      <c r="E56" s="4">
        <f t="shared" si="17"/>
        <v>15770</v>
      </c>
      <c r="F56" s="4">
        <f t="shared" si="17"/>
        <v>17135</v>
      </c>
      <c r="G56" s="4">
        <f t="shared" si="17"/>
        <v>13521</v>
      </c>
    </row>
    <row r="57" spans="1:21" x14ac:dyDescent="0.3">
      <c r="B57" s="29" t="s">
        <v>6</v>
      </c>
      <c r="C57" s="30">
        <f>C56/C53</f>
        <v>3.9638948909179621E-2</v>
      </c>
      <c r="D57" s="30">
        <f t="shared" ref="D57:G57" si="18">D56/D53</f>
        <v>3.566846479078583E-2</v>
      </c>
      <c r="E57" s="30">
        <f t="shared" si="18"/>
        <v>5.4789094989768299E-2</v>
      </c>
      <c r="F57" s="30">
        <f t="shared" si="18"/>
        <v>5.7450646424548037E-2</v>
      </c>
      <c r="G57" s="30">
        <f t="shared" si="18"/>
        <v>4.0638384202695998E-2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60" spans="1:21" s="1" customFormat="1" x14ac:dyDescent="0.3">
      <c r="A60" s="1">
        <v>7</v>
      </c>
      <c r="B60" s="31" t="s">
        <v>12</v>
      </c>
      <c r="C60" s="5">
        <v>45627</v>
      </c>
      <c r="D60" s="5">
        <v>45717</v>
      </c>
      <c r="E60" s="5">
        <v>45809</v>
      </c>
      <c r="F60" s="5">
        <v>45901</v>
      </c>
      <c r="G60" s="5">
        <v>45992</v>
      </c>
    </row>
    <row r="61" spans="1:21" x14ac:dyDescent="0.3">
      <c r="B61" s="3" t="s">
        <v>2</v>
      </c>
      <c r="C61" s="4">
        <v>442905</v>
      </c>
      <c r="D61" s="4">
        <v>430882</v>
      </c>
      <c r="E61" s="4">
        <v>443425</v>
      </c>
      <c r="F61" s="4">
        <v>476590</v>
      </c>
      <c r="G61" s="4">
        <v>483611</v>
      </c>
    </row>
    <row r="62" spans="1:21" x14ac:dyDescent="0.3">
      <c r="B62" s="3" t="s">
        <v>3</v>
      </c>
      <c r="C62" s="4">
        <v>44447</v>
      </c>
      <c r="D62" s="4">
        <v>41551</v>
      </c>
      <c r="E62" s="4">
        <v>63205</v>
      </c>
      <c r="F62" s="4">
        <v>61439</v>
      </c>
      <c r="G62" s="4">
        <v>67695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1" x14ac:dyDescent="0.3">
      <c r="B63" s="3" t="s">
        <v>4</v>
      </c>
      <c r="C63" s="4">
        <v>10885</v>
      </c>
      <c r="D63" s="4">
        <v>10664</v>
      </c>
      <c r="E63" s="4">
        <v>10658</v>
      </c>
      <c r="F63" s="4">
        <v>11031</v>
      </c>
      <c r="G63" s="4">
        <v>9765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1" x14ac:dyDescent="0.3">
      <c r="B64" s="3" t="s">
        <v>5</v>
      </c>
      <c r="C64" s="4">
        <f>C62-C63</f>
        <v>33562</v>
      </c>
      <c r="D64" s="4">
        <f t="shared" ref="D64:G64" si="19">D62-D63</f>
        <v>30887</v>
      </c>
      <c r="E64" s="4">
        <f t="shared" si="19"/>
        <v>52547</v>
      </c>
      <c r="F64" s="4">
        <f t="shared" si="19"/>
        <v>50408</v>
      </c>
      <c r="G64" s="4">
        <f t="shared" si="19"/>
        <v>57930</v>
      </c>
      <c r="H64" s="4"/>
      <c r="I64" s="4"/>
      <c r="J64" s="6">
        <f>SUM(D65:G65)</f>
        <v>0.41574018172142985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1" x14ac:dyDescent="0.3">
      <c r="B65" s="32" t="s">
        <v>6</v>
      </c>
      <c r="C65" s="33">
        <f>C64/C61</f>
        <v>7.5776972488456898E-2</v>
      </c>
      <c r="D65" s="33">
        <f t="shared" ref="D65:G65" si="20">D64/D61</f>
        <v>7.1683198648353846E-2</v>
      </c>
      <c r="E65" s="33">
        <f t="shared" si="20"/>
        <v>0.11850256525906297</v>
      </c>
      <c r="F65" s="33">
        <f t="shared" si="20"/>
        <v>0.10576806059715899</v>
      </c>
      <c r="G65" s="33">
        <f t="shared" si="20"/>
        <v>0.11978635721685404</v>
      </c>
      <c r="H65" s="6"/>
      <c r="I65" s="6"/>
      <c r="J65" s="42">
        <f>J64/4</f>
        <v>0.10393504543035746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8" spans="1:21" s="1" customFormat="1" x14ac:dyDescent="0.3">
      <c r="A68" s="1">
        <v>8</v>
      </c>
      <c r="B68" s="34" t="s">
        <v>13</v>
      </c>
      <c r="C68" s="5">
        <v>45627</v>
      </c>
      <c r="D68" s="5">
        <v>45717</v>
      </c>
      <c r="E68" s="5">
        <v>45809</v>
      </c>
      <c r="F68" s="5">
        <v>45901</v>
      </c>
      <c r="G68" s="5">
        <v>45992</v>
      </c>
    </row>
    <row r="69" spans="1:21" x14ac:dyDescent="0.3">
      <c r="B69" s="3" t="s">
        <v>2</v>
      </c>
      <c r="C69" s="4">
        <v>104060</v>
      </c>
      <c r="D69" s="4">
        <v>105830</v>
      </c>
      <c r="E69" s="4">
        <v>107336</v>
      </c>
      <c r="F69" s="4">
        <v>108850</v>
      </c>
      <c r="G69" s="4">
        <v>110812</v>
      </c>
    </row>
    <row r="70" spans="1:21" x14ac:dyDescent="0.3">
      <c r="B70" s="3" t="s">
        <v>3</v>
      </c>
      <c r="C70">
        <v>10672</v>
      </c>
      <c r="D70">
        <v>9881</v>
      </c>
      <c r="E70">
        <v>10091</v>
      </c>
      <c r="F70">
        <v>9043</v>
      </c>
      <c r="G70">
        <v>8730</v>
      </c>
    </row>
    <row r="71" spans="1:21" x14ac:dyDescent="0.3">
      <c r="B71" s="3" t="s">
        <v>4</v>
      </c>
      <c r="C71">
        <v>1975</v>
      </c>
      <c r="D71">
        <v>1802</v>
      </c>
      <c r="E71">
        <v>1679</v>
      </c>
      <c r="F71">
        <v>1928</v>
      </c>
      <c r="G71">
        <v>1691</v>
      </c>
    </row>
    <row r="72" spans="1:21" x14ac:dyDescent="0.3">
      <c r="B72" s="3" t="s">
        <v>5</v>
      </c>
      <c r="C72">
        <f>C70-C71</f>
        <v>8697</v>
      </c>
      <c r="D72">
        <f t="shared" ref="D72:G72" si="21">D70-D71</f>
        <v>8079</v>
      </c>
      <c r="E72">
        <f t="shared" si="21"/>
        <v>8412</v>
      </c>
      <c r="F72">
        <f t="shared" si="21"/>
        <v>7115</v>
      </c>
      <c r="G72">
        <f t="shared" si="21"/>
        <v>7039</v>
      </c>
    </row>
    <row r="73" spans="1:21" x14ac:dyDescent="0.3">
      <c r="B73" s="35" t="s">
        <v>6</v>
      </c>
      <c r="C73" s="36">
        <f>C72/C69</f>
        <v>8.3576782625408422E-2</v>
      </c>
      <c r="D73" s="36">
        <f t="shared" ref="D73:G73" si="22">D72/D69</f>
        <v>7.6339412264953221E-2</v>
      </c>
      <c r="E73" s="36">
        <f t="shared" si="22"/>
        <v>7.8370723708727733E-2</v>
      </c>
      <c r="F73" s="36">
        <f t="shared" si="22"/>
        <v>6.5365181442351858E-2</v>
      </c>
      <c r="G73" s="36">
        <f t="shared" si="22"/>
        <v>6.3522001227303906E-2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F067-D72F-4C9C-9DE1-120ED70D6BAA}">
  <dimension ref="A1:L16"/>
  <sheetViews>
    <sheetView showGridLines="0" workbookViewId="0">
      <selection activeCell="T21" sqref="T21"/>
    </sheetView>
  </sheetViews>
  <sheetFormatPr defaultRowHeight="14.4" x14ac:dyDescent="0.3"/>
  <cols>
    <col min="1" max="1" width="23.21875" customWidth="1"/>
    <col min="10" max="10" width="11.44140625" customWidth="1"/>
    <col min="11" max="11" width="12" customWidth="1"/>
  </cols>
  <sheetData>
    <row r="1" spans="1:12" x14ac:dyDescent="0.3">
      <c r="A1" s="37" t="s">
        <v>16</v>
      </c>
      <c r="F1" s="37" t="s">
        <v>17</v>
      </c>
    </row>
    <row r="2" spans="1:12" x14ac:dyDescent="0.3">
      <c r="A2" s="37"/>
      <c r="B2" s="38" t="s">
        <v>30</v>
      </c>
      <c r="C2" s="38" t="s">
        <v>31</v>
      </c>
      <c r="D2" s="38" t="s">
        <v>32</v>
      </c>
      <c r="E2" s="38" t="s">
        <v>33</v>
      </c>
      <c r="F2" s="38" t="s">
        <v>34</v>
      </c>
      <c r="G2" s="38" t="s">
        <v>35</v>
      </c>
      <c r="H2" s="38" t="s">
        <v>36</v>
      </c>
      <c r="I2" s="38" t="s">
        <v>37</v>
      </c>
      <c r="J2" s="38" t="s">
        <v>28</v>
      </c>
      <c r="K2" s="38" t="s">
        <v>29</v>
      </c>
    </row>
    <row r="3" spans="1:12" x14ac:dyDescent="0.3">
      <c r="A3" s="39" t="s">
        <v>18</v>
      </c>
      <c r="B3" s="40">
        <v>0.51100000000000001</v>
      </c>
      <c r="C3" s="40">
        <v>1E-3</v>
      </c>
      <c r="D3" s="40">
        <v>3.0000000000000001E-3</v>
      </c>
      <c r="E3" s="40">
        <v>0.02</v>
      </c>
      <c r="F3" s="40">
        <v>0.44900000000000001</v>
      </c>
      <c r="G3" s="40">
        <v>0</v>
      </c>
      <c r="H3" s="40">
        <v>0</v>
      </c>
      <c r="I3" s="40">
        <v>1.6E-2</v>
      </c>
      <c r="J3" s="40">
        <f>SUM(B3:D3,F3:H3)</f>
        <v>0.96399999999999997</v>
      </c>
      <c r="K3" s="40">
        <f>SUM(B3:I3)</f>
        <v>1</v>
      </c>
      <c r="L3" s="6"/>
    </row>
    <row r="4" spans="1:12" x14ac:dyDescent="0.3">
      <c r="A4" s="39" t="s">
        <v>19</v>
      </c>
      <c r="B4" s="40">
        <v>0.437</v>
      </c>
      <c r="C4" s="40">
        <v>6.0000000000000001E-3</v>
      </c>
      <c r="D4" s="40">
        <v>4.5999999999999999E-2</v>
      </c>
      <c r="E4" s="40">
        <v>1.9E-2</v>
      </c>
      <c r="F4" s="40">
        <v>0.434</v>
      </c>
      <c r="G4" s="40">
        <v>7.0000000000000001E-3</v>
      </c>
      <c r="H4" s="40">
        <v>3.5000000000000003E-2</v>
      </c>
      <c r="I4" s="40">
        <v>1.6E-2</v>
      </c>
      <c r="J4" s="40">
        <f>SUM(B4:D4,F4:H4)</f>
        <v>0.96500000000000008</v>
      </c>
      <c r="K4" s="40">
        <f t="shared" ref="K4:K12" si="0">SUM(B4:I4)</f>
        <v>1</v>
      </c>
      <c r="L4" s="6"/>
    </row>
    <row r="5" spans="1:12" x14ac:dyDescent="0.3">
      <c r="A5" s="39" t="s">
        <v>20</v>
      </c>
      <c r="B5" s="40">
        <v>0.50600000000000001</v>
      </c>
      <c r="C5" s="40">
        <v>1.6E-2</v>
      </c>
      <c r="D5" s="40">
        <v>3.0000000000000001E-3</v>
      </c>
      <c r="E5" s="40">
        <v>2.1000000000000001E-2</v>
      </c>
      <c r="F5" s="40">
        <v>0.41799999999999998</v>
      </c>
      <c r="G5" s="40">
        <v>1.9E-2</v>
      </c>
      <c r="H5" s="40">
        <v>0</v>
      </c>
      <c r="I5" s="40">
        <v>1.7000000000000001E-2</v>
      </c>
      <c r="J5" s="40">
        <f>SUM(B5:D5,F5:H5)</f>
        <v>0.96200000000000008</v>
      </c>
      <c r="K5" s="40">
        <f t="shared" si="0"/>
        <v>1</v>
      </c>
      <c r="L5" s="6"/>
    </row>
    <row r="6" spans="1:12" x14ac:dyDescent="0.3">
      <c r="A6" s="39" t="s">
        <v>21</v>
      </c>
      <c r="B6" s="40">
        <v>0.51200000000000001</v>
      </c>
      <c r="C6" s="40">
        <v>3.0000000000000001E-3</v>
      </c>
      <c r="D6" s="40">
        <v>4.0000000000000001E-3</v>
      </c>
      <c r="E6" s="40">
        <v>2.5999999999999999E-2</v>
      </c>
      <c r="F6" s="40">
        <v>0.43099999999999999</v>
      </c>
      <c r="G6" s="40">
        <v>2E-3</v>
      </c>
      <c r="H6" s="40">
        <v>2E-3</v>
      </c>
      <c r="I6" s="40">
        <v>0.02</v>
      </c>
      <c r="J6" s="40">
        <f t="shared" ref="J6" si="1">SUM(B6:D6,F6:H6)</f>
        <v>0.95399999999999996</v>
      </c>
      <c r="K6" s="40">
        <f t="shared" si="0"/>
        <v>1</v>
      </c>
      <c r="L6" s="6"/>
    </row>
    <row r="7" spans="1:12" x14ac:dyDescent="0.3">
      <c r="A7" s="39" t="s">
        <v>22</v>
      </c>
      <c r="B7" s="40">
        <v>0.52700000000000002</v>
      </c>
      <c r="C7" s="40">
        <v>0.01</v>
      </c>
      <c r="D7" s="40">
        <v>1.9E-2</v>
      </c>
      <c r="E7" s="40">
        <v>2.9000000000000001E-2</v>
      </c>
      <c r="F7" s="40">
        <v>0.38500000000000001</v>
      </c>
      <c r="G7" s="40">
        <v>0.01</v>
      </c>
      <c r="H7" s="40">
        <v>1E-3</v>
      </c>
      <c r="I7" s="40">
        <v>1.9E-2</v>
      </c>
      <c r="J7" s="40">
        <f t="shared" ref="J7:J12" si="2">SUM(B7:D7,F7:H7)</f>
        <v>0.95200000000000007</v>
      </c>
      <c r="K7" s="40">
        <f t="shared" si="0"/>
        <v>1</v>
      </c>
      <c r="L7" s="6"/>
    </row>
    <row r="8" spans="1:12" x14ac:dyDescent="0.3">
      <c r="A8" s="39" t="s">
        <v>23</v>
      </c>
      <c r="B8" s="40">
        <v>0.433</v>
      </c>
      <c r="C8" s="40">
        <v>5.7000000000000002E-2</v>
      </c>
      <c r="D8" s="40">
        <v>8.0000000000000002E-3</v>
      </c>
      <c r="E8" s="40">
        <v>2.8000000000000001E-2</v>
      </c>
      <c r="F8" s="40">
        <v>0.39800000000000002</v>
      </c>
      <c r="G8" s="40">
        <v>4.9000000000000002E-2</v>
      </c>
      <c r="H8" s="40">
        <v>3.0000000000000001E-3</v>
      </c>
      <c r="I8" s="40">
        <v>2.4E-2</v>
      </c>
      <c r="J8" s="40">
        <f t="shared" si="2"/>
        <v>0.94800000000000006</v>
      </c>
      <c r="K8" s="40">
        <f t="shared" si="0"/>
        <v>1</v>
      </c>
      <c r="L8" s="6"/>
    </row>
    <row r="9" spans="1:12" x14ac:dyDescent="0.3">
      <c r="A9" s="39" t="s">
        <v>24</v>
      </c>
      <c r="B9" s="40">
        <v>0.29899999999999999</v>
      </c>
      <c r="C9" s="40">
        <v>0.186</v>
      </c>
      <c r="D9" s="40">
        <v>6.0000000000000001E-3</v>
      </c>
      <c r="E9" s="40">
        <v>5.2999999999999999E-2</v>
      </c>
      <c r="F9" s="40">
        <v>0.248</v>
      </c>
      <c r="G9" s="40">
        <v>0.16900000000000001</v>
      </c>
      <c r="H9" s="40">
        <v>2E-3</v>
      </c>
      <c r="I9" s="40">
        <v>3.6999999999999998E-2</v>
      </c>
      <c r="J9" s="40">
        <f t="shared" si="2"/>
        <v>0.91</v>
      </c>
      <c r="K9" s="40">
        <f t="shared" si="0"/>
        <v>1</v>
      </c>
      <c r="L9" s="6"/>
    </row>
    <row r="10" spans="1:12" x14ac:dyDescent="0.3">
      <c r="A10" s="39" t="s">
        <v>25</v>
      </c>
      <c r="B10" s="40">
        <v>0.46600000000000003</v>
      </c>
      <c r="C10" s="40">
        <v>1.2E-2</v>
      </c>
      <c r="D10" s="40">
        <v>1.7000000000000001E-2</v>
      </c>
      <c r="E10" s="40">
        <v>5.8000000000000003E-2</v>
      </c>
      <c r="F10" s="40">
        <v>0.374</v>
      </c>
      <c r="G10" s="40">
        <v>1.2E-2</v>
      </c>
      <c r="H10" s="40">
        <v>1.0999999999999999E-2</v>
      </c>
      <c r="I10" s="40">
        <v>0.05</v>
      </c>
      <c r="J10" s="40">
        <f t="shared" si="2"/>
        <v>0.89200000000000002</v>
      </c>
      <c r="K10" s="40">
        <f t="shared" si="0"/>
        <v>1</v>
      </c>
      <c r="L10" s="6"/>
    </row>
    <row r="11" spans="1:12" x14ac:dyDescent="0.3">
      <c r="A11" s="39" t="s">
        <v>26</v>
      </c>
      <c r="B11" s="40">
        <v>0.22500000000000001</v>
      </c>
      <c r="C11" s="40">
        <v>0.224</v>
      </c>
      <c r="D11" s="40">
        <v>8.0000000000000002E-3</v>
      </c>
      <c r="E11" s="40">
        <v>7.1999999999999995E-2</v>
      </c>
      <c r="F11" s="40">
        <v>0.20699999999999999</v>
      </c>
      <c r="G11" s="40">
        <v>0.19800000000000001</v>
      </c>
      <c r="H11" s="40">
        <v>6.0000000000000001E-3</v>
      </c>
      <c r="I11" s="40">
        <v>0.06</v>
      </c>
      <c r="J11" s="40">
        <f t="shared" si="2"/>
        <v>0.8680000000000001</v>
      </c>
      <c r="K11" s="40">
        <f t="shared" si="0"/>
        <v>1</v>
      </c>
      <c r="L11" s="6"/>
    </row>
    <row r="12" spans="1:12" x14ac:dyDescent="0.3">
      <c r="A12" s="39" t="s">
        <v>27</v>
      </c>
      <c r="B12" s="40">
        <v>0.435</v>
      </c>
      <c r="C12" s="40">
        <v>4.5999999999999999E-2</v>
      </c>
      <c r="D12" s="40">
        <v>1.7000000000000001E-2</v>
      </c>
      <c r="E12" s="40">
        <v>4.1000000000000002E-2</v>
      </c>
      <c r="F12" s="40">
        <v>0.375</v>
      </c>
      <c r="G12" s="40">
        <v>4.2000000000000003E-2</v>
      </c>
      <c r="H12" s="40">
        <v>0.01</v>
      </c>
      <c r="I12" s="40">
        <v>3.4000000000000002E-2</v>
      </c>
      <c r="J12" s="40">
        <f t="shared" si="2"/>
        <v>0.92500000000000004</v>
      </c>
      <c r="K12" s="40">
        <f t="shared" si="0"/>
        <v>1</v>
      </c>
      <c r="L12" s="6"/>
    </row>
    <row r="13" spans="1:12" x14ac:dyDescent="0.3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6"/>
    </row>
    <row r="14" spans="1:12" x14ac:dyDescent="0.3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6"/>
    </row>
    <row r="15" spans="1:12" x14ac:dyDescent="0.3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6"/>
    </row>
    <row r="16" spans="1:12" x14ac:dyDescent="0.3">
      <c r="B16" s="41"/>
      <c r="C16" s="41"/>
      <c r="D16" s="41"/>
      <c r="E16" s="41"/>
      <c r="F16" s="41"/>
      <c r="G16" s="41"/>
      <c r="H16" s="41"/>
      <c r="I16" s="41"/>
      <c r="J16" s="41"/>
      <c r="K16" s="4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 xmlns="45b197c4-de78-4434-9a2b-7ea68267c30b">Document</Media>
    <TaxKeywordTaxHTField xmlns="fd7cb25b-5386-433c-9bea-0f1440abcbbe">
      <Terms xmlns="http://schemas.microsoft.com/office/infopath/2007/PartnerControls"/>
    </TaxKeywordTaxHTField>
    <Update_x0020_priority xmlns="45b197c4-de78-4434-9a2b-7ea68267c30b" xsi:nil="true"/>
    <Review_x0020_Date xmlns="45b197c4-de78-4434-9a2b-7ea68267c30b" xsi:nil="true"/>
    <Domain2 xmlns="45b197c4-de78-4434-9a2b-7ea68267c30b" xsi:nil="true"/>
    <Domain xmlns="45b197c4-de78-4434-9a2b-7ea68267c30b" xsi:nil="true"/>
    <Objective xmlns="45b197c4-de78-4434-9a2b-7ea68267c30b" xsi:nil="true"/>
    <Category xmlns="45b197c4-de78-4434-9a2b-7ea68267c30b" xsi:nil="true"/>
    <TaxCatchAll xmlns="fd7cb25b-5386-433c-9bea-0f1440abcbbe" xsi:nil="true"/>
    <Comment xmlns="45b197c4-de78-4434-9a2b-7ea68267c30b" xsi:nil="true"/>
    <Schedule xmlns="45b197c4-de78-4434-9a2b-7ea68267c30b" xsi:nil="true"/>
    <lcf76f155ced4ddcb4097134ff3c332f xmlns="45b197c4-de78-4434-9a2b-7ea68267c30b">
      <Terms xmlns="http://schemas.microsoft.com/office/infopath/2007/PartnerControls"/>
    </lcf76f155ced4ddcb4097134ff3c332f>
    <Source0 xmlns="45b197c4-de78-4434-9a2b-7ea68267c30b" xsi:nil="true"/>
    <Security0 xmlns="45b197c4-de78-4434-9a2b-7ea68267c30b" xsi:nil="true"/>
    <Product xmlns="45b197c4-de78-4434-9a2b-7ea68267c30b" xsi:nil="true"/>
    <ID_x002f_Version_x002f_Gazette_x0020__x0023_ xmlns="45b197c4-de78-4434-9a2b-7ea68267c30b" xsi:nil="true"/>
    <Source xmlns="45b197c4-de78-4434-9a2b-7ea68267c30b" xsi:nil="true"/>
    <HomeFolder xmlns="45b197c4-de78-4434-9a2b-7ea68267c30b">Core</HomeFolder>
    <Status xmlns="45b197c4-de78-4434-9a2b-7ea68267c30b" xsi:nil="true"/>
    <Sector xmlns="45b197c4-de78-4434-9a2b-7ea68267c3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3BC5ACF796741AC5829F6F7D3F320" ma:contentTypeVersion="37" ma:contentTypeDescription="Create a new document." ma:contentTypeScope="" ma:versionID="a1a91bd7da381463c588733173174356">
  <xsd:schema xmlns:xsd="http://www.w3.org/2001/XMLSchema" xmlns:xs="http://www.w3.org/2001/XMLSchema" xmlns:p="http://schemas.microsoft.com/office/2006/metadata/properties" xmlns:ns1="45b197c4-de78-4434-9a2b-7ea68267c30b" xmlns:ns3="fd7cb25b-5386-433c-9bea-0f1440abcbbe" targetNamespace="http://schemas.microsoft.com/office/2006/metadata/properties" ma:root="true" ma:fieldsID="95458651ca10423907ff673d8aee8da2" ns1:_="" ns3:_="">
    <xsd:import namespace="45b197c4-de78-4434-9a2b-7ea68267c30b"/>
    <xsd:import namespace="fd7cb25b-5386-433c-9bea-0f1440abcbbe"/>
    <xsd:element name="properties">
      <xsd:complexType>
        <xsd:sequence>
          <xsd:element name="documentManagement">
            <xsd:complexType>
              <xsd:all>
                <xsd:element ref="ns1:Review_x0020_Date" minOccurs="0"/>
                <xsd:element ref="ns1:ID_x002f_Version_x002f_Gazette_x0020__x0023_" minOccurs="0"/>
                <xsd:element ref="ns1:Status" minOccurs="0"/>
                <xsd:element ref="ns1:Objective" minOccurs="0"/>
                <xsd:element ref="ns1:Domain" minOccurs="0"/>
                <xsd:element ref="ns1:Source" minOccurs="0"/>
                <xsd:element ref="ns1:Security0" minOccurs="0"/>
                <xsd:element ref="ns1:Update_x0020_priority" minOccurs="0"/>
                <xsd:element ref="ns1:Sector" minOccurs="0"/>
                <xsd:element ref="ns1:Domain2" minOccurs="0"/>
                <xsd:element ref="ns1:Product" minOccurs="0"/>
                <xsd:element ref="ns1:Source0" minOccurs="0"/>
                <xsd:element ref="ns1:Category" minOccurs="0"/>
                <xsd:element ref="ns1:Comment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3:SharedWithUsers" minOccurs="0"/>
                <xsd:element ref="ns3:SharedWithDetails" minOccurs="0"/>
                <xsd:element ref="ns1:Media" minOccurs="0"/>
                <xsd:element ref="ns1:Schedule" minOccurs="0"/>
                <xsd:element ref="ns1:HomeFolder" minOccurs="0"/>
                <xsd:element ref="ns3:TaxKeywordTaxHTField" minOccurs="0"/>
                <xsd:element ref="ns3:TaxCatchAll" minOccurs="0"/>
                <xsd:element ref="ns1:lcf76f155ced4ddcb4097134ff3c332f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MediaLengthInSeconds" minOccurs="0"/>
                <xsd:element ref="ns1:MediaServiceLocation" minOccurs="0"/>
                <xsd:element ref="ns1:MediaServiceObjectDetectorVersions" minOccurs="0"/>
                <xsd:element ref="ns1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197c4-de78-4434-9a2b-7ea68267c30b" elementFormDefault="qualified">
    <xsd:import namespace="http://schemas.microsoft.com/office/2006/documentManagement/types"/>
    <xsd:import namespace="http://schemas.microsoft.com/office/infopath/2007/PartnerControls"/>
    <xsd:element name="Review_x0020_Date" ma:index="0" nillable="true" ma:displayName="Review status" ma:description="Document status review" ma:format="Dropdown" ma:internalName="Review_x0020_Date">
      <xsd:simpleType>
        <xsd:restriction base="dms:Choice">
          <xsd:enumeration value="Archived"/>
          <xsd:enumeration value="Current"/>
          <xsd:enumeration value="To be updated"/>
          <xsd:enumeration value="Check"/>
          <xsd:enumeration value="Redone"/>
        </xsd:restriction>
      </xsd:simpleType>
    </xsd:element>
    <xsd:element name="ID_x002f_Version_x002f_Gazette_x0020__x0023_" ma:index="1" nillable="true" ma:displayName="ID/Version/Gazette #" ma:description="Number of document" ma:internalName="ID_x002f_Version_x002f_Gazette_x0020__x0023_">
      <xsd:simpleType>
        <xsd:restriction base="dms:Text">
          <xsd:maxLength value="255"/>
        </xsd:restriction>
      </xsd:simpleType>
    </xsd:element>
    <xsd:element name="Status" ma:index="4" nillable="true" ma:displayName="Status" ma:description="Status of document" ma:format="Dropdown" ma:internalName="Status">
      <xsd:simpleType>
        <xsd:restriction base="dms:Choice">
          <xsd:enumeration value="Original"/>
          <xsd:enumeration value="Public comment"/>
          <xsd:enumeration value="Draft"/>
          <xsd:enumeration value="Revised"/>
          <xsd:enumeration value="Amended"/>
          <xsd:enumeration value="Repealed"/>
        </xsd:restriction>
      </xsd:simpleType>
    </xsd:element>
    <xsd:element name="Objective" ma:index="5" nillable="true" ma:displayName="Objective" ma:description="Objective of document" ma:format="Dropdown" ma:internalName="Objective">
      <xsd:simpleType>
        <xsd:restriction base="dms:Choice">
          <xsd:enumeration value="Template"/>
          <xsd:enumeration value="Training"/>
          <xsd:enumeration value="Request"/>
          <xsd:enumeration value="Report"/>
          <xsd:enumeration value="Legal"/>
          <xsd:enumeration value="Framework"/>
          <xsd:enumeration value="Synopsis"/>
          <xsd:enumeration value="Clarification"/>
          <xsd:enumeration value="Commentary"/>
          <xsd:enumeration value="Interpretation"/>
          <xsd:enumeration value="Calculation"/>
          <xsd:enumeration value="List"/>
          <xsd:enumeration value="Minutes"/>
          <xsd:enumeration value="Article"/>
          <xsd:enumeration value="Proposal"/>
          <xsd:enumeration value="Affidavit"/>
          <xsd:enumeration value="MOU"/>
          <xsd:enumeration value="T&amp;C"/>
          <xsd:enumeration value="Test[questions]"/>
          <xsd:enumeration value="Test[answers]"/>
        </xsd:restriction>
      </xsd:simpleType>
    </xsd:element>
    <xsd:element name="Domain" ma:index="6" nillable="true" ma:displayName="Domain" ma:description="Sphere of influence" ma:format="Dropdown" ma:internalName="Domain">
      <xsd:simpleType>
        <xsd:restriction base="dms:Choice">
          <xsd:enumeration value="BBBEE"/>
          <xsd:enumeration value="OE"/>
          <xsd:enumeration value="MC/EE"/>
          <xsd:enumeration value="SD"/>
          <xsd:enumeration value="PP"/>
          <xsd:enumeration value="ESD"/>
          <xsd:enumeration value="ED"/>
          <xsd:enumeration value="SED"/>
        </xsd:restriction>
      </xsd:simpleType>
    </xsd:element>
    <xsd:element name="Source" ma:index="7" nillable="true" ma:displayName="Agent" ma:description="Disseminated from" ma:format="Dropdown" ma:internalName="Source">
      <xsd:simpleType>
        <xsd:restriction base="dms:Choice">
          <xsd:enumeration value="Govt"/>
          <xsd:enumeration value="3rd party"/>
          <xsd:enumeration value="Transcend"/>
          <xsd:enumeration value="dti"/>
          <xsd:enumeration value="SANAS"/>
          <xsd:enumeration value="Statssa"/>
          <xsd:enumeration value="ABP"/>
          <xsd:enumeration value="B-BBEE Comm"/>
          <xsd:enumeration value="Industry sector"/>
          <xsd:enumeration value="SAQA"/>
          <xsd:enumeration value="Sector Charter Council"/>
          <xsd:enumeration value="YES4Youth"/>
          <xsd:enumeration value="Dept Labour"/>
          <xsd:enumeration value="CEE"/>
        </xsd:restriction>
      </xsd:simpleType>
    </xsd:element>
    <xsd:element name="Security0" ma:index="8" nillable="true" ma:displayName="Security" ma:description="Document security" ma:format="Dropdown" ma:internalName="Security0">
      <xsd:simpleType>
        <xsd:restriction base="dms:Choice">
          <xsd:enumeration value="In house"/>
          <xsd:enumeration value="Client"/>
          <xsd:enumeration value="Public"/>
        </xsd:restriction>
      </xsd:simpleType>
    </xsd:element>
    <xsd:element name="Update_x0020_priority" ma:index="9" nillable="true" ma:displayName="Update priority" ma:format="Dropdown" ma:internalName="Update_x0020_priority">
      <xsd:simpleType>
        <xsd:restriction base="dms:Choice">
          <xsd:enumeration value="High"/>
          <xsd:enumeration value="Medium"/>
          <xsd:enumeration value="Low"/>
          <xsd:enumeration value="None"/>
        </xsd:restriction>
      </xsd:simpleType>
    </xsd:element>
    <xsd:element name="Sector" ma:index="10" nillable="true" ma:displayName="Sector" ma:format="Dropdown" ma:internalName="Sector">
      <xsd:simpleType>
        <xsd:restriction base="dms:Choice">
          <xsd:enumeration value="RCOGP"/>
          <xsd:enumeration value="Mining"/>
          <xsd:enumeration value="Financial services"/>
          <xsd:enumeration value="Agriculture"/>
          <xsd:enumeration value="Info Comm Tech"/>
          <xsd:enumeration value="Non profit"/>
          <xsd:enumeration value="Forestry"/>
          <xsd:enumeration value="Media  Advertising"/>
          <xsd:enumeration value="Special Enterprise"/>
          <xsd:enumeration value="Accountancy"/>
          <xsd:enumeration value="Defence"/>
          <xsd:enumeration value="Liquid Fuels"/>
          <xsd:enumeration value="Legal"/>
          <xsd:enumeration value="Transport"/>
          <xsd:enumeration value="Construction"/>
          <xsd:enumeration value="Property"/>
          <xsd:enumeration value="Tourism"/>
          <xsd:enumeration value="YES4Y"/>
          <xsd:enumeration value="QSE"/>
          <xsd:enumeration value="DTI"/>
          <xsd:enumeration value="SANAS"/>
          <xsd:enumeration value="JSE/BEE Commission"/>
          <xsd:enumeration value="All sectors"/>
        </xsd:restriction>
      </xsd:simpleType>
    </xsd:element>
    <xsd:element name="Domain2" ma:index="11" nillable="true" ma:displayName="Domain2" ma:internalName="Domain2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BBEE"/>
                    <xsd:enumeration value="OE"/>
                    <xsd:enumeration value="MC/EE"/>
                    <xsd:enumeration value="SD"/>
                    <xsd:enumeration value="PP"/>
                    <xsd:enumeration value="ESD"/>
                    <xsd:enumeration value="ED"/>
                    <xsd:enumeration value="SED"/>
                  </xsd:restriction>
                </xsd:simpleType>
              </xsd:element>
            </xsd:sequence>
          </xsd:extension>
        </xsd:complexContent>
      </xsd:complexType>
    </xsd:element>
    <xsd:element name="Product" ma:index="12" nillable="true" ma:displayName="Product" ma:format="Dropdown" ma:internalName="Product">
      <xsd:simpleType>
        <xsd:restriction base="dms:Choice">
          <xsd:enumeration value="Scorecard"/>
          <xsd:enumeration value="Strategy"/>
          <xsd:enumeration value="Audit prep"/>
          <xsd:enumeration value="Training"/>
          <xsd:enumeration value="WSP"/>
        </xsd:restriction>
      </xsd:simpleType>
    </xsd:element>
    <xsd:element name="Source0" ma:index="13" nillable="true" ma:displayName="Source" ma:description="Is the source of this information in house or external?" ma:format="Dropdown" ma:internalName="Source0">
      <xsd:simpleType>
        <xsd:restriction base="dms:Choice">
          <xsd:enumeration value="Internal"/>
          <xsd:enumeration value="External"/>
        </xsd:restriction>
      </xsd:simpleType>
    </xsd:element>
    <xsd:element name="Category" ma:index="14" nillable="true" ma:displayName="Category" ma:format="Dropdown" ma:internalName="Category">
      <xsd:simpleType>
        <xsd:restriction base="dms:Choice">
          <xsd:enumeration value="CoreL"/>
          <xsd:enumeration value="Supplementary"/>
          <xsd:enumeration value="Presentation"/>
          <xsd:enumeration value="AncillaryL"/>
          <xsd:enumeration value="Tools"/>
        </xsd:restriction>
      </xsd:simpleType>
    </xsd:element>
    <xsd:element name="Comment" ma:index="15" nillable="true" ma:displayName="Tags" ma:internalName="Comment">
      <xsd:simpleType>
        <xsd:restriction base="dms:Text">
          <xsd:maxLength value="255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" ma:index="29" nillable="true" ma:displayName="Media" ma:default="Document" ma:description="How is this information conveyed to the user" ma:format="Dropdown" ma:internalName="Media">
      <xsd:simpleType>
        <xsd:restriction base="dms:Choice">
          <xsd:enumeration value="Document"/>
          <xsd:enumeration value="Webpage / url"/>
          <xsd:enumeration value="Webinar"/>
          <xsd:enumeration value="Image"/>
          <xsd:enumeration value="Podcast"/>
          <xsd:enumeration value="Video"/>
        </xsd:restriction>
      </xsd:simpleType>
    </xsd:element>
    <xsd:element name="Schedule" ma:index="30" nillable="true" ma:displayName="Schedule" ma:format="RadioButtons" ma:internalName="Schedule">
      <xsd:simpleType>
        <xsd:restriction base="dms:Choice">
          <xsd:enumeration value="House rule"/>
          <xsd:enumeration value="Q&amp;A"/>
          <xsd:enumeration value="Information"/>
        </xsd:restriction>
      </xsd:simpleType>
    </xsd:element>
    <xsd:element name="HomeFolder" ma:index="31" nillable="true" ma:displayName="HomeFolder" ma:default="Core" ma:format="Dropdown" ma:internalName="HomeFolder">
      <xsd:simpleType>
        <xsd:restriction base="dms:Choice">
          <xsd:enumeration value="Core"/>
          <xsd:enumeration value="Ancilliary"/>
          <xsd:enumeration value="Tools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cb7a384d-a7d4-4dfc-a4d7-2adddc50d1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cb25b-5386-433c-9bea-0f1440abcbbe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33" nillable="true" ma:taxonomy="true" ma:internalName="TaxKeywordTaxHTField" ma:taxonomyFieldName="TaxKeyword" ma:displayName="Enterprise Keywords" ma:fieldId="{23f27201-bee3-471e-b2e7-b64fd8b7ca38}" ma:taxonomyMulti="true" ma:sspId="cb7a384d-a7d4-4dfc-a4d7-2adddc50d1d5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a3cd19fb-1c89-46e9-b7ff-472fd26bd736}" ma:internalName="TaxCatchAll" ma:showField="CatchAllData" ma:web="fd7cb25b-5386-433c-9bea-0f1440abcb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B68290-BBF3-430E-8D0A-9904A3375935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purl.org/dc/terms/"/>
    <ds:schemaRef ds:uri="fd7cb25b-5386-433c-9bea-0f1440abcbbe"/>
    <ds:schemaRef ds:uri="http://schemas.microsoft.com/office/infopath/2007/PartnerControls"/>
    <ds:schemaRef ds:uri="http://schemas.openxmlformats.org/package/2006/metadata/core-properties"/>
    <ds:schemaRef ds:uri="45b197c4-de78-4434-9a2b-7ea68267c30b"/>
  </ds:schemaRefs>
</ds:datastoreItem>
</file>

<file path=customXml/itemProps2.xml><?xml version="1.0" encoding="utf-8"?>
<ds:datastoreItem xmlns:ds="http://schemas.openxmlformats.org/officeDocument/2006/customXml" ds:itemID="{C5D7A594-5F13-4048-B3A6-DB1EA850E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197c4-de78-4434-9a2b-7ea68267c30b"/>
    <ds:schemaRef ds:uri="fd7cb25b-5386-433c-9bea-0f1440abcb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E1C8E7-A8CB-4CD6-9261-E45A6D5F9D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Norms</vt:lpstr>
      <vt:lpstr>EAP Targets 25th 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Kali</dc:creator>
  <cp:lastModifiedBy>Oratilwe Komati</cp:lastModifiedBy>
  <dcterms:created xsi:type="dcterms:W3CDTF">2026-05-28T04:57:27Z</dcterms:created>
  <dcterms:modified xsi:type="dcterms:W3CDTF">2026-06-09T08:10:14Z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0x0101000173BC5ACF796741AC5829F6F7D3F320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