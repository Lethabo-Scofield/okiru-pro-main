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1.xml" ContentType="application/vnd.openxmlformats-officedocument.spreadsheetml.comments+xml"/>
  <Override PartName="/xl/comments5.xml" ContentType="application/vnd.openxmlformats-officedocument.spreadsheetml.comments+xml"/>
  <Override PartName="/xl/comments1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3.xml" ContentType="application/vnd.openxmlformats-officedocument.spreadsheetml.comments+xml"/>
  <Override PartName="/xl/comments23.xml" ContentType="application/vnd.openxmlformats-officedocument.spreadsheetml.comments+xml"/>
  <Override PartName="/xl/comments22.xml" ContentType="application/vnd.openxmlformats-officedocument.spreadsheetml.comments+xml"/>
  <Override PartName="/xl/sharedStrings.xml" ContentType="application/vnd.openxmlformats-officedocument.spreadsheetml.sharedStrings+xml"/>
  <Override PartName="/xl/comments14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4.xml.rels" ContentType="application/vnd.openxmlformats-package.relationships+xml"/>
  <Override PartName="/xl/worksheets/_rels/sheet23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5.xml.rels" ContentType="application/vnd.openxmlformats-package.relationships+xml"/>
  <Override PartName="/xl/worksheets/_rels/sheet2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sheets/sheet1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comments24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_rels/drawing1.xml.rels" ContentType="application/vnd.openxmlformats-package.relationships+xml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drawings/vmlDrawing8.vml" ContentType="application/vnd.openxmlformats-officedocument.vmlDrawing"/>
  <Override PartName="/xl/drawings/vmlDrawing9.vml" ContentType="application/vnd.openxmlformats-officedocument.vmlDrawing"/>
  <Override PartName="/xl/drawings/vmlDrawing10.vml" ContentType="application/vnd.openxmlformats-officedocument.vmlDrawing"/>
  <Override PartName="/xl/drawings/vmlDrawing1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Audit_Log" sheetId="3" state="visible" r:id="rId5"/>
    <sheet name="ESG_Dashboard" sheetId="4" state="visible" r:id="rId6"/>
    <sheet name="E_Data" sheetId="5" state="visible" r:id="rId7"/>
    <sheet name="Fleet_Register" sheetId="6" state="visible" r:id="rId8"/>
    <sheet name="ISO_14083" sheetId="7" state="visible" r:id="rId9"/>
    <sheet name="Waste_Register" sheetId="8" state="visible" r:id="rId10"/>
    <sheet name="Driver_Debrief" sheetId="9" state="visible" r:id="rId11"/>
    <sheet name="S_Data" sheetId="10" state="visible" r:id="rId12"/>
    <sheet name="G_Data" sheetId="11" state="visible" r:id="rId13"/>
    <sheet name="EE_Scorecard" sheetId="12" state="visible" r:id="rId14"/>
    <sheet name="E_Scorecard" sheetId="13" state="visible" r:id="rId15"/>
    <sheet name="S_Scorecard" sheetId="14" state="visible" r:id="rId16"/>
    <sheet name="G_Scorecard" sheetId="15" state="visible" r:id="rId17"/>
    <sheet name="King5_Scorecard" sheetId="16" state="visible" r:id="rId18"/>
    <sheet name="IFRS_S1_S2" sheetId="17" state="visible" r:id="rId19"/>
    <sheet name="GARP_GRAP" sheetId="18" state="visible" r:id="rId20"/>
    <sheet name="ISO_Tracker" sheetId="19" state="visible" r:id="rId21"/>
    <sheet name="SAQ_Supplier" sheetId="20" state="visible" r:id="rId22"/>
    <sheet name="NetZero_Roadmap" sheetId="21" state="visible" r:id="rId23"/>
    <sheet name="B_BBEE_ESG" sheetId="22" state="visible" r:id="rId24"/>
    <sheet name="Materiality_Matrix" sheetId="23" state="visible" r:id="rId25"/>
    <sheet name="Carbon_Tax" sheetId="24" state="visible" r:id="rId26"/>
    <sheet name="Standards_Map" sheetId="25" state="visible" r:id="rId27"/>
    <sheet name="Glossary" sheetId="26" state="visible" r:id="rId28"/>
    <sheet name="Validation" sheetId="27" state="visible" r:id="rId29"/>
    <sheet name="Data_Status" sheetId="28" state="visible" r:id="rId3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8" authorId="0">
      <text>
        <r>
          <rPr>
            <sz val="10"/>
            <rFont val="Arial"/>
            <family val="2"/>
          </rPr>
          <t xml:space="preserve">SCORING STANCE: Controls how strictly partial credit is awarded.
• Lean (30% floor): generous, encourages early progress
• Standard (50% floor): assurance-grade convention (default)
• Strict (70% floor): closest to B-BBEE binary logic
See Glossary for banding methodology.</t>
        </r>
      </text>
    </comment>
    <comment ref="A10" authorId="0">
      <text>
        <r>
          <rPr>
            <sz val="10"/>
            <rFont val="Arial"/>
            <family val="2"/>
          </rPr>
          <t xml:space="preserve">SECTOR: Locked to Transport/FMCG Distribution for this SuperGroup instance.
ISO_14083 sheet and fleet-specific scoring depend on this.
Forking to other sectors = use Generic template, not toggle change.</t>
        </r>
      </text>
    </comment>
    <comment ref="A11" authorId="0">
      <text>
        <r>
          <rPr>
            <sz val="10"/>
            <rFont val="Arial"/>
            <family val="2"/>
          </rPr>
          <t xml:space="preserve">REPORTING STANDARD: Drives emphasis in dashboard and exec summary.
King V mandatory for JSE-listed entities; IFRS S1/S2 expected by 2026.
See Glossary for IFRS S1, S2, GRI, ESRS, TCFD.</t>
        </r>
      </text>
    </comment>
    <comment ref="A12" authorId="0">
      <text>
        <r>
          <rPr>
            <sz val="10"/>
            <rFont val="Arial"/>
            <family val="2"/>
          </rPr>
          <t xml:space="preserve">MATERIALITY BASIS:
• Single: financial only (IFRS approach)
• Double: financial + impact (ESRS approach, more rigorous)
• Dynamic: weighted average of both
Affects Materiality_Matrix scoring. See Glossary.</t>
        </r>
      </text>
    </comment>
    <comment ref="A13" authorId="0">
      <text>
        <r>
          <rPr>
            <sz val="10"/>
            <rFont val="Arial"/>
            <family val="2"/>
          </rPr>
          <t xml:space="preserve">CURRENCY: Drives display in Carbon_Tax, CSI spend, procurement.
Currency symbol auto-derives (row 14).
Note: emission factors stay in metric units regardless of currency.</t>
        </r>
      </text>
    </comment>
    <comment ref="A15" authorId="0">
      <text>
        <r>
          <rPr>
            <sz val="10"/>
            <rFont val="Arial"/>
            <family val="2"/>
          </rPr>
          <t xml:space="preserve">CARBON TAX DISPLAY:
• Tier 1 only: current R236/tCO₂e — conservative liability view
• Tier 2 only: escalated R640/tCO₂e — forward-looking
• Both: sensitivity view (recommended)
See Glossary for Carbon Tax Act / Section 12L.</t>
        </r>
      </text>
    </comment>
    <comment ref="A30" authorId="0">
      <text>
        <r>
          <rPr>
            <sz val="10"/>
            <rFont val="Arial"/>
            <family val="2"/>
          </rPr>
          <t xml:space="preserve">DIESEL EMISSION FACTOR: 2.68 kgCO₂e per litre of road-freight diesel.
Source: DEFRA 2024 — Mobile combustion, HGV diesel.
Used by Fleet_Register, ISO_14083, E_Data tCO₂e calculations.</t>
        </r>
      </text>
    </comment>
    <comment ref="A33" authorId="0">
      <text>
        <r>
          <rPr>
            <sz val="10"/>
            <rFont val="Arial"/>
            <family val="2"/>
          </rPr>
          <t xml:space="preserve">ELECTRICITY EMISSION FACTOR: 0.82 kgCO₂e per kWh.
Source: Eskom NERSA 2024 — SA grid emission factor.
Used for Scope 2 location-based emissions. Update annually.</t>
        </r>
      </text>
    </comment>
    <comment ref="A39" authorId="0">
      <text>
        <r>
          <rPr>
            <sz val="10"/>
            <rFont val="Arial"/>
            <family val="2"/>
          </rPr>
          <t xml:space="preserve">BASIC ALLOWANCE: 60% tax-free emissions allowance under Income Tax Act Section 12L.
Reduces taxable Scope 1+2 base. Applies to industrial/commercial firms only.
See Glossary for Section 12L allowance.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SCOPE 1A: Direct emissions from fleet diesel combustion.
Owned/controlled vehicles. Most material Scope 1 source for distribution firms.
See Glossary for Scope 1 definition.</t>
        </r>
      </text>
    </comment>
    <comment ref="A21" authorId="0">
      <text>
        <r>
          <rPr>
            <sz val="10"/>
            <rFont val="Arial"/>
            <family val="2"/>
          </rPr>
          <t xml:space="preserve">SCOPE 1B: Direct emissions from generator diesel combustion (backup power).
Owned/controlled generators on-site.</t>
        </r>
      </text>
    </comment>
    <comment ref="A30" authorId="0">
      <text>
        <r>
          <rPr>
            <sz val="10"/>
            <rFont val="Arial"/>
            <family val="2"/>
          </rPr>
          <t xml:space="preserve">SCOPE 1C: Direct emissions from LPG combustion (forklifts).
Only DBN warehouse uses LPG forklifts; other depots are electric.</t>
        </r>
      </text>
    </comment>
    <comment ref="A39" authorId="0">
      <text>
        <r>
          <rPr>
            <sz val="10"/>
            <rFont val="Arial"/>
            <family val="2"/>
          </rPr>
          <t xml:space="preserve">SCOPE 2: Indirect emissions from purchased electricity (grid).
Use LOCATION-BASED method (Eskom grid EF). Solar generation offsets this.
See Glossary for Scope 2, Location-based vs Market-based.</t>
        </r>
      </text>
    </comment>
    <comment ref="A48" authorId="0">
      <text>
        <r>
          <rPr>
            <sz val="10"/>
            <rFont val="Arial"/>
            <family val="2"/>
          </rPr>
          <t xml:space="preserve">SOLAR GENERATION: kWh of onsite solar PV. Reduces net Scope 2 emissions.
Calculated as -solar_kWh × EF_SOLAR (small lifecycle factor for PV manufacture).
See Glossary for RE100.</t>
        </r>
      </text>
    </comment>
    <comment ref="A56" authorId="0">
      <text>
        <r>
          <rPr>
            <sz val="10"/>
            <rFont val="Arial"/>
            <family val="2"/>
          </rPr>
          <t xml:space="preserve">WATER: Treated as Scope 3 emissions (upstream water treatment + supply).
Factor: 0.000344 tCO₂e/kL. See GHG Protocol Scope 3 Cat 5.</t>
        </r>
      </text>
    </comment>
    <comment ref="A88" authorId="0">
      <text>
        <r>
          <rPr>
            <sz val="10"/>
            <rFont val="Arial"/>
            <family val="2"/>
          </rPr>
          <t xml:space="preserve">NET-ZERO TARGETS: Aligned to SBTi Corporate Net Zero Standard 2.0.
Near-term (2030): -50% Scope 1+2 vs baseline.
Long-term (2050): -90% across all scopes + residual neutralisation.
See Glossary for SBTi, CNZS 2.0.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TRIP REGISTER: Each row is one journey/leg per ISO 14083 §6.2.
ISO 14083 requires emissions calculated at journey level, not just totals.
See Glossary for ISO 14083, GLEC Framework.</t>
        </r>
      </text>
    </comment>
    <comment ref="A5" authorId="0">
      <text>
        <r>
          <rPr>
            <sz val="10"/>
            <rFont val="Arial"/>
            <family val="2"/>
          </rPr>
          <t xml:space="preserve">Unique identifier per ISO 14083 §6.2</t>
        </r>
      </text>
    </comment>
    <comment ref="A28" authorId="0">
      <text>
        <r>
          <rPr>
            <sz val="10"/>
            <rFont val="Arial"/>
            <family val="2"/>
          </rPr>
          <t xml:space="preserve">PER-TRIP EMISSIONS: Two methods per ISO 14083.
• Fuel-based (§7.2): preferred — actual fuel × EF. Highest data quality.
• Distance-based (§7.3): fallback — distance × default EF by vehicle class.
See Glossary for Fuel-based method, Distance-based method.</t>
        </r>
      </text>
    </comment>
    <comment ref="A52" authorId="0">
      <text>
        <r>
          <rPr>
            <sz val="10"/>
            <rFont val="Arial"/>
            <family val="2"/>
          </rPr>
          <t xml:space="preserve">INTENSITY METRICS — GLEC framework benchmarks.
Used for client reporting, benchmarking, optimisation.</t>
        </r>
      </text>
    </comment>
    <comment ref="A65" authorId="0">
      <text>
        <r>
          <rPr>
            <sz val="10"/>
            <rFont val="Arial"/>
            <family val="2"/>
          </rPr>
          <t xml:space="preserve">CUSTOMER ALLOCATION — Client-ready emissions per customer.
Enables your customer to report THEIR Scope 3 transport emissions credibly.
ISO 14083 §8 allocation methodology.</t>
        </r>
      </text>
    </comment>
    <comment ref="B5" authorId="0">
      <text>
        <r>
          <rPr>
            <sz val="10"/>
            <rFont val="Arial"/>
            <family val="2"/>
          </rPr>
          <t xml:space="preserve">Trip date</t>
        </r>
      </text>
    </comment>
    <comment ref="C5" authorId="0">
      <text>
        <r>
          <rPr>
            <sz val="10"/>
            <rFont val="Arial"/>
            <family val="2"/>
          </rPr>
          <t xml:space="preserve">Origin depot</t>
        </r>
      </text>
    </comment>
    <comment ref="D5" authorId="0">
      <text>
        <r>
          <rPr>
            <sz val="10"/>
            <rFont val="Arial"/>
            <family val="2"/>
          </rPr>
          <t xml:space="preserve">Pulled from Fleet_Register</t>
        </r>
      </text>
    </comment>
    <comment ref="E5" authorId="0">
      <text>
        <r>
          <rPr>
            <sz val="10"/>
            <rFont val="Arial"/>
            <family val="2"/>
          </rPr>
          <t xml:space="preserve">Driver_Debrief route reference</t>
        </r>
      </text>
    </comment>
    <comment ref="F5" authorId="0">
      <text>
        <r>
          <rPr>
            <sz val="10"/>
            <rFont val="Arial"/>
            <family val="2"/>
          </rPr>
          <t xml:space="preserve">Road / Rail / Sea / Air</t>
        </r>
      </text>
    </comment>
    <comment ref="G5" authorId="0">
      <text>
        <r>
          <rPr>
            <sz val="10"/>
            <rFont val="Arial"/>
            <family val="2"/>
          </rPr>
          <t xml:space="preserve">Light / Medium / Heavy</t>
        </r>
      </text>
    </comment>
    <comment ref="G29" authorId="0">
      <text>
        <r>
          <rPr>
            <sz val="10"/>
            <rFont val="Arial"/>
            <family val="2"/>
          </rPr>
          <t xml:space="preserve">gCO₂e per tonne-kilometre — THE key ISO 14083 intensity metric.
Benchmark for heavy road freight: 80 g/t·km (GLEC).
Below 80 = best practice. Above 300 = high intensity.
See Glossary for Emissions intensity (transport).</t>
        </r>
      </text>
    </comment>
    <comment ref="H5" authorId="0">
      <text>
        <r>
          <rPr>
            <sz val="10"/>
            <rFont val="Arial"/>
            <family val="2"/>
          </rPr>
          <t xml:space="preserve">Diesel / Petrol / LPG / Electric</t>
        </r>
      </text>
    </comment>
    <comment ref="I5" authorId="0">
      <text>
        <r>
          <rPr>
            <sz val="10"/>
            <rFont val="Arial"/>
            <family val="2"/>
          </rPr>
          <t xml:space="preserve">Actual km travelled</t>
        </r>
      </text>
    </comment>
    <comment ref="J5" authorId="0">
      <text>
        <r>
          <rPr>
            <sz val="10"/>
            <rFont val="Arial"/>
            <family val="2"/>
          </rPr>
          <t xml:space="preserve">Cargo weight</t>
        </r>
      </text>
    </comment>
    <comment ref="K5" authorId="0">
      <text>
        <r>
          <rPr>
            <sz val="10"/>
            <rFont val="Arial"/>
            <family val="2"/>
          </rPr>
          <t xml:space="preserve">TONNE-KILOMETRE (t·km): Activity unit for transport emissions.
= Load (tonnes) × Distance (km).
Foundation for GHG intensity per ISO 14083.
See Glossary.</t>
        </r>
      </text>
    </comment>
    <comment ref="L5" authorId="0">
      <text>
        <r>
          <rPr>
            <sz val="10"/>
            <rFont val="Arial"/>
            <family val="2"/>
          </rPr>
          <t xml:space="preserve">Single-customer or "Shared"</t>
        </r>
      </text>
    </comment>
    <comment ref="M5" authorId="0">
      <text>
        <r>
          <rPr>
            <sz val="10"/>
            <rFont val="Arial"/>
            <family val="2"/>
          </rPr>
          <t xml:space="preserve">ALLOCATION BASIS: How emissions split across customers on shared loads.
• Weight: % of cargo weight (most common)
• Volume: % of cubic metres (for low-density goods)
• Distance: % of route distance
• Revenue: % of trip revenue
• Equal-share: 1/n per customer
See Glossary for Allocation (transport).</t>
        </r>
      </text>
    </comment>
    <comment ref="N5" authorId="0">
      <text>
        <r>
          <rPr>
            <sz val="10"/>
            <rFont val="Arial"/>
            <family val="2"/>
          </rPr>
          <t xml:space="preserve">LOADED?: Yes if cargo on board; No = empty/backhaul leg.
Empty trip emissions typically allocated to loaded trip(s).
Target loaded ratio ≥85%.
See Glossary for Backhaul.</t>
        </r>
      </text>
    </comment>
    <comment ref="O5" authorId="0">
      <text>
        <r>
          <rPr>
            <sz val="10"/>
            <rFont val="Arial"/>
            <family val="2"/>
          </rPr>
          <t xml:space="preserve">Actual fuel consumption (optional)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EMPLOYMENT EQUITY HEADCOUNT — EEA2 report basis.
6 occupational levels × race × gender breakdown.
Foundation for B-BBEE Management Control + EE Act compliance.
See Glossary for EEA, EEA2, Occupational Levels.</t>
        </r>
      </text>
    </comment>
    <comment ref="A14" authorId="0">
      <text>
        <r>
          <rPr>
            <sz val="10"/>
            <rFont val="Arial"/>
            <family val="2"/>
          </rPr>
          <t xml:space="preserve">EE TARGETS PER LEVEL: Drawn from EEA Section 20 numerical targets.
% Black target = 60%, Black female mgmt = 30%, PWD = 2%.
Tunable via Assumptions thresholds.</t>
        </r>
      </text>
    </comment>
    <comment ref="A24" authorId="0">
      <text>
        <r>
          <rPr>
            <sz val="10"/>
            <rFont val="Arial"/>
            <family val="2"/>
          </rPr>
          <t xml:space="preserve">HEALTH &amp; SAFETY: ISO 45001-aligned metrics. Source = Accidently system.
Key KPIs: LTIFR ≤2.0, TRIFR ≤4.0, Zero fatalities.
See Glossary for LTIFR, TRIFR, ISO 45001.</t>
        </r>
      </text>
    </comment>
    <comment ref="A41" authorId="0">
      <text>
        <r>
          <rPr>
            <sz val="10"/>
            <rFont val="Arial"/>
            <family val="2"/>
          </rPr>
          <t xml:space="preserve">WSP/ATR: Workplace Skills Plan + Annual Training Report.
Mandatory SETA submission by 30 April annually.
Compliant submission unlocks 20% Mandatory Grant + access to Discretionary Grants.
See Glossary for WSP, ATR, SDL, SETA.</t>
        </r>
      </text>
    </comment>
    <comment ref="A57" authorId="0">
      <text>
        <r>
          <rPr>
            <sz val="10"/>
            <rFont val="Arial"/>
            <family val="2"/>
          </rPr>
          <t xml:space="preserve">OFO CODES: Organising Framework for Occupations. National occupation classifier.
Each WSP training intervention must be tagged to an OFO code.
Examples: 911101 = HGV Driver, 334101 = SHEQ Officer.
See Glossary for OFO.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BOARD &amp; GOVERNANCE: Maps to King V Code (17 principles, Apply &amp; Explain).
S&amp;EC required if PI Score ≥500 or JSE-listed.
See Glossary for King V, S&amp;EC, PI Score.</t>
        </r>
      </text>
    </comment>
    <comment ref="A12" authorId="0">
      <text>
        <r>
          <rPr>
            <sz val="10"/>
            <rFont val="Arial"/>
            <family val="2"/>
          </rPr>
          <t xml:space="preserve">RISK COMMITTEE: King V P10 — board oversight of risks including climate/ESG.
Mandatory for listed entities.</t>
        </r>
      </text>
    </comment>
    <comment ref="A13" authorId="0">
      <text>
        <r>
          <rPr>
            <sz val="10"/>
            <rFont val="Arial"/>
            <family val="2"/>
          </rPr>
          <t xml:space="preserve">SOCIAL &amp; ETHICS COMMITTEE: Companies Act s72 mandatory committee.
Monitors: EE, B-BBEE, anti-corruption, consumer relations, CSI, environment.
PI Score ≥500 = mandatory.
See Glossary for S&amp;EC, PI Score.</t>
        </r>
      </text>
    </comment>
    <comment ref="A17" authorId="0">
      <text>
        <r>
          <rPr>
            <sz val="10"/>
            <rFont val="Arial"/>
            <family val="2"/>
          </rPr>
          <t xml:space="preserve">POPIA INFORMATION OFFICER: Mandatory POPIA s55 appointment.
Must be registered with Information Regulator.
Responsible for compliance, breach response, DSARs.
See Glossary for POPIA, Information Officer.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GHG SECTION — All Scope 1, 2, 3 indicators. Aligned to:
• GHG Protocol Corporate Standard (Scope 1+2)
• GHG Protocol Value Chain Standard (Scope 3)
• IFRS S2 climate disclosures
• SBTi CNZS 2.0 for targets</t>
        </r>
      </text>
    </comment>
    <comment ref="A14" authorId="0">
      <text>
        <r>
          <rPr>
            <sz val="10"/>
            <rFont val="Arial"/>
            <family val="2"/>
          </rPr>
          <t xml:space="preserve">FLEET SECTION — ISO 14083 alignment.
Fuel efficiency, intensity (gCO₂e/t·km), EV transition.
See ISO_14083 sheet for detail.</t>
        </r>
      </text>
    </comment>
    <comment ref="A25" authorId="0">
      <text>
        <r>
          <rPr>
            <sz val="10"/>
            <rFont val="Arial"/>
            <family val="2"/>
          </rPr>
          <t xml:space="preserve">ISO SECTION — Environmental Management System (ISO 14001:2015) certification.
Includes aspects register, environmental policy, NEMA legal compliance.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EMPLOYMENT EQUITY SECTION — EEA Section 27 demographic targets.
Also drives B-BBEE Management Control scoring.
See Glossary for EEA, EEA2, B-BBEE MC.</t>
        </r>
      </text>
    </comment>
    <comment ref="A11" authorId="0">
      <text>
        <r>
          <rPr>
            <sz val="10"/>
            <rFont val="Arial"/>
            <family val="2"/>
          </rPr>
          <t xml:space="preserve">WSP/ATR SECTION — Skills Development Act compliance.
Submission deadline 30 April. Drives B-BBEE Skills Development element (25 pts).
See Glossary for WSP, ATR, SDL, SD.</t>
        </r>
      </text>
    </comment>
    <comment ref="A16" authorId="0">
      <text>
        <r>
          <rPr>
            <sz val="10"/>
            <rFont val="Arial"/>
            <family val="2"/>
          </rPr>
          <t xml:space="preserve">HEALTH &amp; SAFETY SECTION — ISO 45001 / OHS Act compliance.
LTIFR target ≤2.0; Zero fatalities = absolute priority.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KING V SECTION — South African corporate governance code.
17 principles, Apply &amp; Explain methodology.
Detailed scoring in King5_Scorecard sheet.</t>
        </r>
      </text>
    </comment>
  </commentList>
</comments>
</file>

<file path=xl/comments2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OWNERSHIP (25 pts) — Statement 100.
% Black ownership in entity. Uses Flow-Through or Modified Flow-Through principle.
Target: ≥25.1% Black ownership for full points.
See Glossary for Ownership, Flow-Through, MFT.</t>
        </r>
      </text>
    </comment>
    <comment ref="A7" authorId="0">
      <text>
        <r>
          <rPr>
            <sz val="10"/>
            <rFont val="Arial"/>
            <family val="2"/>
          </rPr>
          <t xml:space="preserve">MANAGEMENT CONTROL (19 pts) — Statement 200.
% Black + Black female + PWD across board and senior management levels.
Sub-targets: Black 60%, Black Female 30%, PWD 2%.
See Glossary for MC.</t>
        </r>
      </text>
    </comment>
    <comment ref="A8" authorId="0">
      <text>
        <r>
          <rPr>
            <sz val="10"/>
            <rFont val="Arial"/>
            <family val="2"/>
          </rPr>
          <t xml:space="preserve">SKILLS DEVELOPMENT (25 pts) — Statement 300.
Target: 6% of payroll spent on training of Black employees.
Includes learnerships, bursaries, internships.
Closely tied to WSP/ATR submissions.
See Glossary for SD, WSP, ATR, SDL.</t>
        </r>
      </text>
    </comment>
    <comment ref="A9" authorId="0">
      <text>
        <r>
          <rPr>
            <sz val="10"/>
            <rFont val="Arial"/>
            <family val="2"/>
          </rPr>
          <t xml:space="preserve">ENTERPRISE &amp; SUPPLIER DEVELOPMENT (40 pts) — Statement 400.
PP (Preferential Procurement): 25 pts for buying from Level 1-8 suppliers.
ESD (Supplier/Enterprise Development): 15 pts for contributions.
Largest single element. See Glossary for ESD, PP.</t>
        </r>
      </text>
    </comment>
    <comment ref="A10" authorId="0">
      <text>
        <r>
          <rPr>
            <sz val="10"/>
            <rFont val="Arial"/>
            <family val="2"/>
          </rPr>
          <t xml:space="preserve">SOCIO-ECONOMIC DEVELOPMENT (5 pts) — Statement 500.
Target: 1% NPAT contribution to CSI for Black beneficiaries.
See Glossary for SED, NPAT.</t>
        </r>
      </text>
    </comment>
    <comment ref="A14" authorId="0">
      <text>
        <r>
          <rPr>
            <sz val="10"/>
            <rFont val="Arial"/>
            <family val="2"/>
          </rPr>
          <t xml:space="preserve">STATUS LEVEL: Determined by total points.
Level 1 (100+) = 135% procurement recognition (best)
Level 4 (80+) = 100% recognition (baseline)
Non-compliant (&lt;40) = 0% recognition
See Glossary for Generic Code, Level system.</t>
        </r>
      </text>
    </comment>
  </commentList>
</comments>
</file>

<file path=xl/comments2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MATERIALITY: Information is material if its omission would influence stakeholder decisions.
Single materiality (IFRS): financial impact only.
Double materiality (ESRS): financial + impact on environment/society.
Materiality basis controlled by Assumptions B12.
See Glossary.</t>
        </r>
      </text>
    </comment>
    <comment ref="D5" authorId="0">
      <text>
        <r>
          <rPr>
            <sz val="10"/>
            <rFont val="Arial"/>
            <family val="2"/>
          </rPr>
          <t xml:space="preserve">FINANCIAL IMPACT: 1-5 scale.
1 = Negligible (&lt;0.5% revenue)
3 = Moderate (1-5% revenue/EBITDA)
5 = Critical (&gt;10% revenue, existential)</t>
        </r>
      </text>
    </comment>
    <comment ref="E5" authorId="0">
      <text>
        <r>
          <rPr>
            <sz val="10"/>
            <rFont val="Arial"/>
            <family val="2"/>
          </rPr>
          <t xml:space="preserve">IMPACT ON E/S: 1-5 scale (Double Materiality only).
1 = Minor environmental/social impact
3 = Moderate community/ecosystem impact
5 = Severe — irreversible harm to environment or vulnerable communities</t>
        </r>
      </text>
    </comment>
    <comment ref="F5" authorId="0">
      <text>
        <r>
          <rPr>
            <sz val="10"/>
            <rFont val="Arial"/>
            <family val="2"/>
          </rPr>
          <t xml:space="preserve">MATERIAL SCORE = Severity × Likelihood × Impact (per chosen basis).
Scale 0-25 typical.
≥15 = Critical (board agenda)
10-14 = High (quarterly review)
5-9 = Monitor (annual review)
&lt;5 = Low (register only)</t>
        </r>
      </text>
    </comment>
  </commentList>
</comments>
</file>

<file path=xl/comments2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EMISSIONS BASE: Scope 1+2 only (Scope 3 not currently subject to Carbon Tax).
Annualised from YTD. Applies 60% basic allowance per §12L.
See Glossary for Carbon Tax, Section 12L allowance.</t>
        </r>
      </text>
    </comment>
    <comment ref="A13" authorId="0">
      <text>
        <r>
          <rPr>
            <sz val="10"/>
            <rFont val="Arial"/>
            <family val="2"/>
          </rPr>
          <t xml:space="preserve">LIABILITY CALCULATION:
Tier 1 (current): R236/tCO₂e — actual 2025 rate
Tier 2 (escalated): R640/tCO₂e — projected forward rate
Use Tier 2 for materiality/forward-planning view.
Rates editable in Assumptions B35/B36.</t>
        </r>
      </text>
    </comment>
    <comment ref="A19" authorId="0">
      <text>
        <r>
          <rPr>
            <sz val="10"/>
            <rFont val="Arial"/>
            <family val="2"/>
          </rPr>
          <t xml:space="preserve">MITIGATION SCENARIOS: Three illustrative levers.
Solar (-20% Scope 2): R4.5M capex.
Eco-driving (-10% fleet fuel): R350k for 77 drivers.
EV fleet (20% transition): R18M capex.
Customise capex inputs in column D.</t>
        </r>
      </text>
    </comment>
  </commentList>
</comments>
</file>

<file path=xl/sharedStrings.xml><?xml version="1.0" encoding="utf-8"?>
<sst xmlns="http://schemas.openxmlformats.org/spreadsheetml/2006/main" count="4331" uniqueCount="2776">
  <si>
    <t xml:space="preserve">🌱  SG CONSUMER  |  OKIRU ESG INTELLIGENCE TOOLKIT  v1.6  |  Net-Zero Edition</t>
  </si>
  <si>
    <t xml:space="preserve">King V · IFRS S1/S2 · GARP/GRAP · ISO 14001/45001/27001/26000 · GRI · EEA · WSP/ATR · SBTi CNZS 2.0  |  Powered by Okiru Consulting</t>
  </si>
  <si>
    <t xml:space="preserve">ENTITY INFORMATION</t>
  </si>
  <si>
    <t xml:space="preserve">Entity</t>
  </si>
  <si>
    <t xml:space="preserve">SG Consumer / SuperGroup SG Consumer (Pty) Ltd</t>
  </si>
  <si>
    <t xml:space="preserve">Reporting Period</t>
  </si>
  <si>
    <t xml:space="preserve">FY 2025/2026  |  July 2025 – June 2026</t>
  </si>
  <si>
    <t xml:space="preserve">Reporting Consultant</t>
  </si>
  <si>
    <t xml:space="preserve">Okiru Consulting  |  www.okiru.co.za</t>
  </si>
  <si>
    <t xml:space="preserve">Version</t>
  </si>
  <si>
    <t xml:space="preserve">v1.7 | May 2026 | SG Consumer Live Data Load (Coba submission)</t>
  </si>
  <si>
    <t xml:space="preserve">Last Updated</t>
  </si>
  <si>
    <t xml:space="preserve">2026-05-27</t>
  </si>
  <si>
    <t xml:space="preserve">Baseline Year (for SBTi)</t>
  </si>
  <si>
    <t xml:space="preserve">FY 2025/26</t>
  </si>
  <si>
    <t xml:space="preserve">Net-Zero Target Year</t>
  </si>
  <si>
    <t xml:space="preserve">2050 (SBTi CNZS 2.0)</t>
  </si>
  <si>
    <t xml:space="preserve">B-BBEE Sector</t>
  </si>
  <si>
    <t xml:space="preserve">Generic / FMCG Distribution</t>
  </si>
  <si>
    <t xml:space="preserve">SHEET NAVIGATOR  —  Click sheet tabs to navigate | Blue cells = enter data | Green = auto-calculated</t>
  </si>
  <si>
    <t xml:space="preserve">Sheet</t>
  </si>
  <si>
    <t xml:space="preserve">Description</t>
  </si>
  <si>
    <t xml:space="preserve">Type</t>
  </si>
  <si>
    <t xml:space="preserve">ESG_Dashboard</t>
  </si>
  <si>
    <t xml:space="preserve">Master ESG summary — E·S·G scores, GHG tiles, KPIs</t>
  </si>
  <si>
    <t xml:space="preserve">⚙️ AUTO</t>
  </si>
  <si>
    <t xml:space="preserve">E_Data</t>
  </si>
  <si>
    <t xml:space="preserve">Environmental raw data — 9 months actuals</t>
  </si>
  <si>
    <t xml:space="preserve">🔵 DATA ENTRY</t>
  </si>
  <si>
    <t xml:space="preserve">S_Data</t>
  </si>
  <si>
    <t xml:space="preserve">Social — EE headcount, H&amp;S, WSP/ATR, OFO codes</t>
  </si>
  <si>
    <t xml:space="preserve">G_Data</t>
  </si>
  <si>
    <t xml:space="preserve">Governance — board, risk, POPIA, ethics</t>
  </si>
  <si>
    <t xml:space="preserve">Fleet_Register</t>
  </si>
  <si>
    <t xml:space="preserve">134-vehicle register — L/100km, tCO₂e, EV</t>
  </si>
  <si>
    <t xml:space="preserve">Waste_Register</t>
  </si>
  <si>
    <t xml:space="preserve">Oricol, Oracle, Cority waste streams</t>
  </si>
  <si>
    <t xml:space="preserve">Driver_Debrief</t>
  </si>
  <si>
    <t xml:space="preserve">Route completion %, excess km, fatigue flags</t>
  </si>
  <si>
    <t xml:space="preserve">EE_Scorecard</t>
  </si>
  <si>
    <t xml:space="preserve">EEA2 scoring — Black%, female%, PWD%</t>
  </si>
  <si>
    <t xml:space="preserve">E_Scorecard</t>
  </si>
  <si>
    <t xml:space="preserve">Environmental score /100 — net-zero lens</t>
  </si>
  <si>
    <t xml:space="preserve">S_Scorecard</t>
  </si>
  <si>
    <t xml:space="preserve">Social score /100 — EE+WSP+H&amp;S+Community</t>
  </si>
  <si>
    <t xml:space="preserve">G_Scorecard</t>
  </si>
  <si>
    <t xml:space="preserve">Governance score /100 — King V+IFRS+GARP</t>
  </si>
  <si>
    <t xml:space="preserve">King5_Scorecard</t>
  </si>
  <si>
    <t xml:space="preserve">King V — all 17 principles, Apply &amp; Explain</t>
  </si>
  <si>
    <t xml:space="preserve">IFRS_S1_S2</t>
  </si>
  <si>
    <t xml:space="preserve">IFRS S1/S2 climate disclosure tracker</t>
  </si>
  <si>
    <t xml:space="preserve">GARP_GRAP</t>
  </si>
  <si>
    <t xml:space="preserve">GARP ERM + GRAP public interest alignment</t>
  </si>
  <si>
    <t xml:space="preserve">ISO_Tracker</t>
  </si>
  <si>
    <t xml:space="preserve">ISO 14001/45001/27001/26000/22000 gaps</t>
  </si>
  <si>
    <t xml:space="preserve">SAQ_Supplier</t>
  </si>
  <si>
    <t xml:space="preserve">IMS-T-149 + JDE SAQ + Sanulac</t>
  </si>
  <si>
    <t xml:space="preserve">NetZero_Roadmap</t>
  </si>
  <si>
    <t xml:space="preserve">SBTi CNZS 2.0 pathway + OER tiers</t>
  </si>
  <si>
    <t xml:space="preserve">Standards_Map</t>
  </si>
  <si>
    <t xml:space="preserve">GRI/IFRS/King V/ISO cross-reference</t>
  </si>
  <si>
    <t xml:space="preserve">📋 REFERENCE</t>
  </si>
  <si>
    <t xml:space="preserve">Validation</t>
  </si>
  <si>
    <t xml:space="preserve">Data quality &amp; formula checks</t>
  </si>
  <si>
    <t xml:space="preserve">ISO_14083</t>
  </si>
  <si>
    <t xml:space="preserve">Transport emissions per ISO 14083 / GLEC — trip register, intensity, customer alloc</t>
  </si>
  <si>
    <t xml:space="preserve">COLOUR GUIDE:  🔵 Blue text = User input (enter data)  |  🟢 Green bg = Auto-calculated  |  🟡 Amber = Target/benchmark  |  🔴 Red = Gap/below target</t>
  </si>
  <si>
    <t xml:space="preserve">B_BBEE_ESG</t>
  </si>
  <si>
    <t xml:space="preserve">B-BBEE Generic Code element mapping → status level + procurement recognition</t>
  </si>
  <si>
    <t xml:space="preserve">Materiality_Matrix</t>
  </si>
  <si>
    <t xml:space="preserve">Impact × Likelihood scoring with single/double materiality toggle</t>
  </si>
  <si>
    <t xml:space="preserve">Carbon_Tax</t>
  </si>
  <si>
    <t xml:space="preserve">Section 12L liability calc — Tier 1 + Tier 2 + mitigation scenarios</t>
  </si>
  <si>
    <t xml:space="preserve">Glossary</t>
  </si>
  <si>
    <t xml:space="preserve">Technical terms, definitions, source citations (98 entries)</t>
  </si>
  <si>
    <t xml:space="preserve">Assumptions</t>
  </si>
  <si>
    <t xml:space="preserve">Strategy toggles + thresholds + EFs (single source of truth)</t>
  </si>
  <si>
    <t xml:space="preserve">⚙️ TOGGLES</t>
  </si>
  <si>
    <t xml:space="preserve">COLOUR GUIDE:  🔵 Blue text = User input (enter data)  |  🟢 Green bg = Auto-calculated  |  🟡 Amber = Target/benchmark  |  🔴 Red = Gap/below target  |  🟧 Orange bg = Strategy toggle</t>
  </si>
  <si>
    <t xml:space="preserve">Data_Status</t>
  </si>
  <si>
    <t xml:space="preserve">Live data tracker — every field with source, status, refresh date</t>
  </si>
  <si>
    <t xml:space="preserve">📊 TRACKER</t>
  </si>
  <si>
    <t xml:space="preserve">⚙  ASSUMPTIONS  —  Single source of truth for thresholds, weights, emission factors, targets</t>
  </si>
  <si>
    <t xml:space="preserve">Edit values in the BLUE cells to retune the toolkit. All scorecards reference this sheet — one edit cascades everywhere.</t>
  </si>
  <si>
    <t xml:space="preserve">🔒  THIS INSTANCE IS CONFIGURED FOR SUPERGROUP  —  Transport / FMCG Distribution  |  Sector-locked deep build</t>
  </si>
  <si>
    <t xml:space="preserve">To deploy for a different sector (ICT, Financial Services, Mining, etc.) start from the Generic template — do not retrofit by changing the Sector toggle below. Each sector fork has bespoke depth (e.g. ISO 14083 for transport, task-based emissions for ICT, financed emissions for FinServ).</t>
  </si>
  <si>
    <t xml:space="preserve">BLOCK 0 — STRATEGY TOGGLES  ★  PRIMARY CONTROLS — change these to retune the whole toolkit</t>
  </si>
  <si>
    <t xml:space="preserve">Setting</t>
  </si>
  <si>
    <t xml:space="preserve">Active value</t>
  </si>
  <si>
    <t xml:space="preserve">Options</t>
  </si>
  <si>
    <t xml:space="preserve">Code</t>
  </si>
  <si>
    <t xml:space="preserve">Effect on toolkit</t>
  </si>
  <si>
    <t xml:space="preserve">Cell ref</t>
  </si>
  <si>
    <t xml:space="preserve">Scoring stance</t>
  </si>
  <si>
    <t xml:space="preserve">Standard</t>
  </si>
  <si>
    <t xml:space="preserve">Lean / Standard / Strict</t>
  </si>
  <si>
    <t xml:space="preserve">STANCE</t>
  </si>
  <si>
    <t xml:space="preserve">Drives the banding floor (Lean 30% / Std 50% / Strict 70%) for partial credit on all quantitative indicators</t>
  </si>
  <si>
    <t xml:space="preserve">Assumptions!B6</t>
  </si>
  <si>
    <t xml:space="preserve">Banding floor (auto from stance)</t>
  </si>
  <si>
    <t xml:space="preserve">0.30 / 0.50 / 0.70</t>
  </si>
  <si>
    <t xml:space="preserve">STANCE_FLR</t>
  </si>
  <si>
    <t xml:space="preserve">Below Actual/Target × this %, score = 0. Above, pro-rata.</t>
  </si>
  <si>
    <t xml:space="preserve">Assumptions!B7</t>
  </si>
  <si>
    <t xml:space="preserve">Sector</t>
  </si>
  <si>
    <t xml:space="preserve">Transport / FMCG Distribution</t>
  </si>
  <si>
    <t xml:space="preserve">See list →</t>
  </si>
  <si>
    <t xml:space="preserve">SECTOR</t>
  </si>
  <si>
    <t xml:space="preserve">🔒 Sector-locked for this SuperGroup instance. The toolkit is configured around transport/distribution logic (ISO 14083, Fleet_Register, Driver_Debrief). To use for another sector, fork from the Generic template — do not change this dropdown.</t>
  </si>
  <si>
    <t xml:space="preserve">Assumptions!B8</t>
  </si>
  <si>
    <t xml:space="preserve">Primary reporting standard</t>
  </si>
  <si>
    <t xml:space="preserve">King V + IFRS S1/S2</t>
  </si>
  <si>
    <t xml:space="preserve">SA / IFRS / GRI / ESRS / TCFD</t>
  </si>
  <si>
    <t xml:space="preserve">STD_PRIMARY</t>
  </si>
  <si>
    <t xml:space="preserve">Determines emphasis in dashboard, executive summary, and standards map</t>
  </si>
  <si>
    <t xml:space="preserve">Assumptions!B9</t>
  </si>
  <si>
    <t xml:space="preserve">Materiality basis</t>
  </si>
  <si>
    <t xml:space="preserve">Single (financial — IFRS)</t>
  </si>
  <si>
    <t xml:space="preserve">Single / Double / Dynamic</t>
  </si>
  <si>
    <t xml:space="preserve">MAT_BASIS</t>
  </si>
  <si>
    <t xml:space="preserve">Single: financial only (IFRS). Double: financial + impact (ESRS). Dynamic: both, evolving over time.</t>
  </si>
  <si>
    <t xml:space="preserve">Assumptions!B10</t>
  </si>
  <si>
    <t xml:space="preserve">Reporting currency</t>
  </si>
  <si>
    <t xml:space="preserve">ZAR</t>
  </si>
  <si>
    <t xml:space="preserve">CCY</t>
  </si>
  <si>
    <t xml:space="preserve">Drives currency symbol on CSI, Carbon Tax, training spend, and procurement</t>
  </si>
  <si>
    <t xml:space="preserve">Assumptions!B11</t>
  </si>
  <si>
    <t xml:space="preserve">Currency symbol (auto)</t>
  </si>
  <si>
    <t xml:space="preserve">Carbon tax display</t>
  </si>
  <si>
    <t xml:space="preserve">Both (current + escalated)</t>
  </si>
  <si>
    <t xml:space="preserve">Current / Escalated / Both</t>
  </si>
  <si>
    <t xml:space="preserve">TAX_MODE</t>
  </si>
  <si>
    <t xml:space="preserve">Side-by-side liability view: Tier 1 (current) vs Tier 2 (escalated forward-looking)</t>
  </si>
  <si>
    <t xml:space="preserve">Assumptions!B13</t>
  </si>
  <si>
    <t xml:space="preserve">★ How toggles work: change a value in column B → all scorecards and the dashboard recompute. The current scoring stance ("Standard") gives 50% banding floor; switch to "Lean" to use 30% (encourages early progress); switch to "Strict" for 70% (closer to B-BBEE binary).</t>
  </si>
  <si>
    <t xml:space="preserve">BLOCK 1 — EMISSION FACTORS  (DEFRA 2024 · Eskom NERSA 2024 · GHG Protocol)</t>
  </si>
  <si>
    <t xml:space="preserve">Factor</t>
  </si>
  <si>
    <t xml:space="preserve">Value</t>
  </si>
  <si>
    <t xml:space="preserve">Unit</t>
  </si>
  <si>
    <t xml:space="preserve">Source / Reference</t>
  </si>
  <si>
    <t xml:space="preserve">Diesel — road freight</t>
  </si>
  <si>
    <t xml:space="preserve">kgCO₂e/L</t>
  </si>
  <si>
    <t xml:space="preserve">EF_DIESEL</t>
  </si>
  <si>
    <t xml:space="preserve">DEFRA 2024 — Mobile combustion, HGV diesel</t>
  </si>
  <si>
    <t xml:space="preserve">2025-01-01</t>
  </si>
  <si>
    <t xml:space="preserve">Petrol — business vehicles</t>
  </si>
  <si>
    <t xml:space="preserve">EF_PETROL</t>
  </si>
  <si>
    <t xml:space="preserve">DEFRA 2024 — Passenger car petrol</t>
  </si>
  <si>
    <t xml:space="preserve">LPG — forklifts</t>
  </si>
  <si>
    <t xml:space="preserve">kgCO₂e/kg</t>
  </si>
  <si>
    <t xml:space="preserve">EF_LPG</t>
  </si>
  <si>
    <t xml:space="preserve">DEFRA 2024 — LPG combustion</t>
  </si>
  <si>
    <t xml:space="preserve">Electricity — Eskom grid</t>
  </si>
  <si>
    <t xml:space="preserve">kgCO₂e/kWh</t>
  </si>
  <si>
    <t xml:space="preserve">EF_ELEC</t>
  </si>
  <si>
    <t xml:space="preserve">Eskom NERSA 2024 — grid emission factor</t>
  </si>
  <si>
    <t xml:space="preserve">Solar PV — onsite generation</t>
  </si>
  <si>
    <t xml:space="preserve">EF_SOLAR</t>
  </si>
  <si>
    <t xml:space="preserve">IEA / GHG Protocol — solar PV lifecycle</t>
  </si>
  <si>
    <t xml:space="preserve">Municipal water</t>
  </si>
  <si>
    <t xml:space="preserve">tCO₂e/kL</t>
  </si>
  <si>
    <t xml:space="preserve">EF_WATER</t>
  </si>
  <si>
    <t xml:space="preserve">GHG Protocol — water supply &amp; treatment</t>
  </si>
  <si>
    <t xml:space="preserve">Waste to landfill</t>
  </si>
  <si>
    <t xml:space="preserve">tCO₂e/tonne</t>
  </si>
  <si>
    <t xml:space="preserve">EF_LANDFILL</t>
  </si>
  <si>
    <t xml:space="preserve">DEFRA 2024 — landfilled commercial waste</t>
  </si>
  <si>
    <t xml:space="preserve">Carbon Tax Tier 1 rate (ZAR)</t>
  </si>
  <si>
    <t xml:space="preserve">ZAR/tCO₂e</t>
  </si>
  <si>
    <t xml:space="preserve">TAX_T1</t>
  </si>
  <si>
    <t xml:space="preserve">SA Carbon Tax Act — Tier 1 rate 2025 (taxable above threshold)</t>
  </si>
  <si>
    <t xml:space="preserve">Carbon Tax Tier 2 rate (ZAR)</t>
  </si>
  <si>
    <t xml:space="preserve">TAX_T2</t>
  </si>
  <si>
    <t xml:space="preserve">SA Carbon Tax Act — projected escalation 2026</t>
  </si>
  <si>
    <t xml:space="preserve">Carbon Tax basic allowance</t>
  </si>
  <si>
    <t xml:space="preserve">% exempt</t>
  </si>
  <si>
    <t xml:space="preserve">TAX_ALLOW</t>
  </si>
  <si>
    <t xml:space="preserve">SA Carbon Tax Act s7 — basic 60% tax-free allowance</t>
  </si>
  <si>
    <t xml:space="preserve">BLOCK 2 — SCORING THRESHOLDS  (used by E/S/G scorecards for banded scoring)</t>
  </si>
  <si>
    <t xml:space="preserve">Threshold</t>
  </si>
  <si>
    <t xml:space="preserve">Used by / Applies to</t>
  </si>
  <si>
    <t xml:space="preserve">Rationale</t>
  </si>
  <si>
    <t xml:space="preserve">Scope 1+2 YoY reduction target</t>
  </si>
  <si>
    <t xml:space="preserve">%</t>
  </si>
  <si>
    <t xml:space="preserve">THR_GHG_YOY</t>
  </si>
  <si>
    <t xml:space="preserve">E_Scorecard row 6</t>
  </si>
  <si>
    <t xml:space="preserve">SBTi near-term: minimum 4.2% pa for 1.5°C; 10% stretch target</t>
  </si>
  <si>
    <t xml:space="preserve">Renewable electricity minimum</t>
  </si>
  <si>
    <t xml:space="preserve">THR_RE</t>
  </si>
  <si>
    <t xml:space="preserve">E_Scorecard row 13</t>
  </si>
  <si>
    <t xml:space="preserve">RE100 entry threshold; SBTi Scope 2 lever</t>
  </si>
  <si>
    <t xml:space="preserve">Fleet L/100km tolerance over norm</t>
  </si>
  <si>
    <t xml:space="preserve">multiplier</t>
  </si>
  <si>
    <t xml:space="preserve">THR_FUEL_TOL</t>
  </si>
  <si>
    <t xml:space="preserve">Fleet_Register, E_Scorecard row 15</t>
  </si>
  <si>
    <t xml:space="preserve">5% tolerance above OEM norm before flagged</t>
  </si>
  <si>
    <t xml:space="preserve">EV fleet % minimum (current)</t>
  </si>
  <si>
    <t xml:space="preserve">THR_EV_MIN</t>
  </si>
  <si>
    <t xml:space="preserve">E_Scorecard row 17</t>
  </si>
  <si>
    <t xml:space="preserve">Min credible EV transition stake</t>
  </si>
  <si>
    <t xml:space="preserve">EV fleet % target 2030</t>
  </si>
  <si>
    <t xml:space="preserve">THR_EV_2030</t>
  </si>
  <si>
    <t xml:space="preserve">SBTi-aligned transport transition</t>
  </si>
  <si>
    <t xml:space="preserve">Waste diversion target</t>
  </si>
  <si>
    <t xml:space="preserve">THR_WASTE</t>
  </si>
  <si>
    <t xml:space="preserve">E_Scorecard row 19, Waste_Register</t>
  </si>
  <si>
    <t xml:space="preserve">ISO 14001 / NEMWA hierarchy alignment</t>
  </si>
  <si>
    <t xml:space="preserve">Waste diversion excellence</t>
  </si>
  <si>
    <t xml:space="preserve">THR_WASTE_X</t>
  </si>
  <si>
    <t xml:space="preserve">E_Scorecard row 19</t>
  </si>
  <si>
    <t xml:space="preserve">Best-practice diversion (Oricol CPT benchmark)</t>
  </si>
  <si>
    <t xml:space="preserve">% Black employees target</t>
  </si>
  <si>
    <t xml:space="preserve">THR_BLACK</t>
  </si>
  <si>
    <t xml:space="preserve">EE_Scorecard, S_Scorecard row 5</t>
  </si>
  <si>
    <t xml:space="preserve">EEA s27 demographic alignment; B-BBEE Mgt Control</t>
  </si>
  <si>
    <t xml:space="preserve">% Black female mgmt target</t>
  </si>
  <si>
    <t xml:space="preserve">THR_BFM</t>
  </si>
  <si>
    <t xml:space="preserve">EE_Scorecard, S_Scorecard row 6</t>
  </si>
  <si>
    <t xml:space="preserve">B-BBEE Mgt Control sub-target</t>
  </si>
  <si>
    <t xml:space="preserve">% Persons with Disabilities target</t>
  </si>
  <si>
    <t xml:space="preserve">THR_PWD</t>
  </si>
  <si>
    <t xml:space="preserve">EE_Scorecard, S_Scorecard row 8</t>
  </si>
  <si>
    <t xml:space="preserve">EEA s6 / Code of Good Practice on PWD</t>
  </si>
  <si>
    <t xml:space="preserve">Training hours per employee target</t>
  </si>
  <si>
    <t xml:space="preserve">hours</t>
  </si>
  <si>
    <t xml:space="preserve">THR_TRAIN_HR</t>
  </si>
  <si>
    <t xml:space="preserve">S_Scorecard row 14</t>
  </si>
  <si>
    <t xml:space="preserve">GRI 404-1; B-BBEE SD typical benchmark</t>
  </si>
  <si>
    <t xml:space="preserve">Mandatory grant recovery target</t>
  </si>
  <si>
    <t xml:space="preserve">THR_GRANT</t>
  </si>
  <si>
    <t xml:space="preserve">S_Scorecard row 15</t>
  </si>
  <si>
    <t xml:space="preserve">SDL Act — full grant recovery achievable</t>
  </si>
  <si>
    <t xml:space="preserve">LTIFR maximum (target ≤)</t>
  </si>
  <si>
    <t xml:space="preserve">rate</t>
  </si>
  <si>
    <t xml:space="preserve">THR_LTIFR</t>
  </si>
  <si>
    <t xml:space="preserve">S_Scorecard row 17</t>
  </si>
  <si>
    <t xml:space="preserve">GRI 403-9; ISO 45001 leading practice</t>
  </si>
  <si>
    <t xml:space="preserve">CSI/SED spend minimum</t>
  </si>
  <si>
    <t xml:space="preserve">% of NPAT</t>
  </si>
  <si>
    <t xml:space="preserve">THR_CSI</t>
  </si>
  <si>
    <t xml:space="preserve">S_Scorecard row 22</t>
  </si>
  <si>
    <t xml:space="preserve">B-BBEE SED target = 1% NPAT</t>
  </si>
  <si>
    <t xml:space="preserve">Local labour procurement target</t>
  </si>
  <si>
    <t xml:space="preserve">THR_LOCAL</t>
  </si>
  <si>
    <t xml:space="preserve">S_Scorecard row 24</t>
  </si>
  <si>
    <t xml:space="preserve">B-BBEE ESD / local content alignment</t>
  </si>
  <si>
    <t xml:space="preserve">Supplier H&amp;S compliance minimum</t>
  </si>
  <si>
    <t xml:space="preserve">THR_SUP_HS</t>
  </si>
  <si>
    <t xml:space="preserve">S_Scorecard row 26</t>
  </si>
  <si>
    <t xml:space="preserve">IMS-T-149 supplier safety threshold</t>
  </si>
  <si>
    <t xml:space="preserve">King V score minimum (Apply&amp;Explain)</t>
  </si>
  <si>
    <t xml:space="preserve">THR_KING</t>
  </si>
  <si>
    <t xml:space="preserve">G_Scorecard row 5, King5_Scorecard</t>
  </si>
  <si>
    <t xml:space="preserve">Apply 70%+ for "Good" rating</t>
  </si>
  <si>
    <t xml:space="preserve">Public Interest score threshold</t>
  </si>
  <si>
    <t xml:space="preserve">points</t>
  </si>
  <si>
    <t xml:space="preserve">THR_PI</t>
  </si>
  <si>
    <t xml:space="preserve">GARP_GRAP, G_Scorecard row 14</t>
  </si>
  <si>
    <t xml:space="preserve">Companies Act s93 — mandatory S&amp;EC at 500+</t>
  </si>
  <si>
    <t xml:space="preserve">Material risks identified minimum</t>
  </si>
  <si>
    <t xml:space="preserve">count</t>
  </si>
  <si>
    <t xml:space="preserve">THR_RISKS</t>
  </si>
  <si>
    <t xml:space="preserve">Credible ERM coverage</t>
  </si>
  <si>
    <t xml:space="preserve">ESG Rating — Excellent (≥)</t>
  </si>
  <si>
    <t xml:space="preserve">RTG_EXC</t>
  </si>
  <si>
    <t xml:space="preserve">ESG_Dashboard pillar ratings</t>
  </si>
  <si>
    <t xml:space="preserve">★★★ tier</t>
  </si>
  <si>
    <t xml:space="preserve">ESG Rating — Good (≥)</t>
  </si>
  <si>
    <t xml:space="preserve">RTG_GOOD</t>
  </si>
  <si>
    <t xml:space="preserve">★★ tier</t>
  </si>
  <si>
    <t xml:space="preserve">ESG Rating — Adequate (≥)</t>
  </si>
  <si>
    <t xml:space="preserve">RTG_ADEQ</t>
  </si>
  <si>
    <t xml:space="preserve">★ tier</t>
  </si>
  <si>
    <t xml:space="preserve">Pillar target (FY26)</t>
  </si>
  <si>
    <t xml:space="preserve">TGT_PILLAR</t>
  </si>
  <si>
    <t xml:space="preserve">ESG_Dashboard column I</t>
  </si>
  <si>
    <t xml:space="preserve">Internal stretch target</t>
  </si>
  <si>
    <t xml:space="preserve">BLOCK 3 — B-BBEE GENERIC CODES  (Statement 000 — Generic Scorecard weights — for B_BBEE_ESG sheet)</t>
  </si>
  <si>
    <t xml:space="preserve">Ownership</t>
  </si>
  <si>
    <t xml:space="preserve">—</t>
  </si>
  <si>
    <t xml:space="preserve">BB_OWN</t>
  </si>
  <si>
    <t xml:space="preserve">Statement 100</t>
  </si>
  <si>
    <t xml:space="preserve">Governance</t>
  </si>
  <si>
    <t xml:space="preserve">Management Control</t>
  </si>
  <si>
    <t xml:space="preserve">Black 60%, BlackFem 30%</t>
  </si>
  <si>
    <t xml:space="preserve">BB_MC</t>
  </si>
  <si>
    <t xml:space="preserve">Statement 200</t>
  </si>
  <si>
    <t xml:space="preserve">Social</t>
  </si>
  <si>
    <t xml:space="preserve">Skills Development</t>
  </si>
  <si>
    <t xml:space="preserve">6% payroll spend</t>
  </si>
  <si>
    <t xml:space="preserve">BB_SD</t>
  </si>
  <si>
    <t xml:space="preserve">Statement 300</t>
  </si>
  <si>
    <t xml:space="preserve">Enterprise &amp; Supplier Development</t>
  </si>
  <si>
    <t xml:space="preserve">PP 25/QSE 15</t>
  </si>
  <si>
    <t xml:space="preserve">BB_ESD</t>
  </si>
  <si>
    <t xml:space="preserve">Statement 400</t>
  </si>
  <si>
    <t xml:space="preserve">Social/Governance</t>
  </si>
  <si>
    <t xml:space="preserve">Socio-Economic Development</t>
  </si>
  <si>
    <t xml:space="preserve">1% NPAT</t>
  </si>
  <si>
    <t xml:space="preserve">BB_SED</t>
  </si>
  <si>
    <t xml:space="preserve">Statement 500</t>
  </si>
  <si>
    <t xml:space="preserve">TOTAL POINTS</t>
  </si>
  <si>
    <t xml:space="preserve">BLOCK 4 — B-BBEE STATUS LEVELS  (Generic Code — used by B_BBEE_ESG status formula)</t>
  </si>
  <si>
    <t xml:space="preserve">Level 1</t>
  </si>
  <si>
    <t xml:space="preserve">135%</t>
  </si>
  <si>
    <t xml:space="preserve">LVL_1</t>
  </si>
  <si>
    <t xml:space="preserve">Level 2</t>
  </si>
  <si>
    <t xml:space="preserve">125%</t>
  </si>
  <si>
    <t xml:space="preserve">LVL_2</t>
  </si>
  <si>
    <t xml:space="preserve">Level 3</t>
  </si>
  <si>
    <t xml:space="preserve">110%</t>
  </si>
  <si>
    <t xml:space="preserve">LVL_3</t>
  </si>
  <si>
    <t xml:space="preserve">Level 4</t>
  </si>
  <si>
    <t xml:space="preserve">Level 5</t>
  </si>
  <si>
    <t xml:space="preserve">80%</t>
  </si>
  <si>
    <t xml:space="preserve">LVL_5</t>
  </si>
  <si>
    <t xml:space="preserve">Level 6</t>
  </si>
  <si>
    <t xml:space="preserve">Level 7</t>
  </si>
  <si>
    <t xml:space="preserve">50%</t>
  </si>
  <si>
    <t xml:space="preserve">LVL_7</t>
  </si>
  <si>
    <t xml:space="preserve">Level 8</t>
  </si>
  <si>
    <t xml:space="preserve">10%</t>
  </si>
  <si>
    <t xml:space="preserve">LVL_8</t>
  </si>
  <si>
    <t xml:space="preserve">Non-compliant</t>
  </si>
  <si>
    <t xml:space="preserve">0%</t>
  </si>
  <si>
    <t xml:space="preserve">LVL_NC</t>
  </si>
  <si>
    <t xml:space="preserve">BLOCK 5 — SCORING RUBRIC  (universal banding logic applied across all scorecards)</t>
  </si>
  <si>
    <t xml:space="preserve">Quantitative — target met</t>
  </si>
  <si>
    <t xml:space="preserve">Actual ≥ Target</t>
  </si>
  <si>
    <t xml:space="preserve">Full points</t>
  </si>
  <si>
    <t xml:space="preserve">✓ Met</t>
  </si>
  <si>
    <t xml:space="preserve">Diversion 91% vs 75% → full 5 pts</t>
  </si>
  <si>
    <t xml:space="preserve">Linear ramp up to max</t>
  </si>
  <si>
    <t xml:space="preserve">Quantitative — partial</t>
  </si>
  <si>
    <t xml:space="preserve">50% ≤ Actual/Target &lt; 100%</t>
  </si>
  <si>
    <t xml:space="preserve">Pro-rata (50-99%)</t>
  </si>
  <si>
    <t xml:space="preserve">⚠ Partial</t>
  </si>
  <si>
    <t xml:space="preserve">Diversion 60% vs 75% → 4 pts</t>
  </si>
  <si>
    <t xml:space="preserve">MIN(Max, Actual/Target × Max)</t>
  </si>
  <si>
    <t xml:space="preserve">Quantitative — gap</t>
  </si>
  <si>
    <t xml:space="preserve">Actual/Target &lt; 50%</t>
  </si>
  <si>
    <t xml:space="preserve">Zero</t>
  </si>
  <si>
    <t xml:space="preserve">✗ Gap</t>
  </si>
  <si>
    <t xml:space="preserve">Diversion 30% vs 75% → 0 pts</t>
  </si>
  <si>
    <t xml:space="preserve">No partial credit below 50%</t>
  </si>
  <si>
    <t xml:space="preserve">Inverse metric (lower better)</t>
  </si>
  <si>
    <t xml:space="preserve">Actual ≤ Target</t>
  </si>
  <si>
    <t xml:space="preserve">LTIFR 1.5 vs 2.0 → full 8 pts</t>
  </si>
  <si>
    <t xml:space="preserve">For LTIFR, fatalities, gaps</t>
  </si>
  <si>
    <t xml:space="preserve">Inverse — partial</t>
  </si>
  <si>
    <t xml:space="preserve">Target &lt; Actual ≤ 2×Target</t>
  </si>
  <si>
    <t xml:space="preserve">Pro-rata</t>
  </si>
  <si>
    <t xml:space="preserve">LTIFR 3.0 vs 2.0 → 4 pts</t>
  </si>
  <si>
    <t xml:space="preserve">MAX(0, Max × (2-Actual/Target))</t>
  </si>
  <si>
    <t xml:space="preserve">Inverse — gap</t>
  </si>
  <si>
    <t xml:space="preserve">Actual &gt; 2× Target</t>
  </si>
  <si>
    <t xml:space="preserve">LTIFR 5.0 vs 2.0 → 0 pts</t>
  </si>
  <si>
    <t xml:space="preserve">Hard floor</t>
  </si>
  <si>
    <t xml:space="preserve">Binary (Y/N)</t>
  </si>
  <si>
    <t xml:space="preserve">Yes = full / Partial = 50% / No = 0</t>
  </si>
  <si>
    <t xml:space="preserve">Full / Half / Zero</t>
  </si>
  <si>
    <t xml:space="preserve">✓/⚠/✗</t>
  </si>
  <si>
    <t xml:space="preserve">EE Plan submitted → 5 pts</t>
  </si>
  <si>
    <t xml:space="preserve">For policy/compliance items</t>
  </si>
  <si>
    <t xml:space="preserve">Existence (count &gt; 0)</t>
  </si>
  <si>
    <t xml:space="preserve">Source &gt; 0 → full; else 0</t>
  </si>
  <si>
    <t xml:space="preserve">Full or zero</t>
  </si>
  <si>
    <t xml:space="preserve">✓ Met / ✗ Gap</t>
  </si>
  <si>
    <t xml:space="preserve">Fleet diesel logged → 5 pts</t>
  </si>
  <si>
    <t xml:space="preserve">For "baseline established" items</t>
  </si>
  <si>
    <t xml:space="preserve">Trend (YoY)</t>
  </si>
  <si>
    <t xml:space="preserve">≥ target reduction</t>
  </si>
  <si>
    <t xml:space="preserve">10% YoY → full 10 pts</t>
  </si>
  <si>
    <t xml:space="preserve">Requires prior-year baseline</t>
  </si>
  <si>
    <t xml:space="preserve">BLOCK 6 — PILLAR WEIGHTS  (used to compute overall ESG score)</t>
  </si>
  <si>
    <t xml:space="preserve">Environmental (E)</t>
  </si>
  <si>
    <t xml:space="preserve">WT_E</t>
  </si>
  <si>
    <t xml:space="preserve">GHG-weighted; FMCG/Distribution is fuel-intensive</t>
  </si>
  <si>
    <t xml:space="preserve">Social (S)</t>
  </si>
  <si>
    <t xml:space="preserve">WT_S</t>
  </si>
  <si>
    <t xml:space="preserve">Strong EE Act + SDL exposure in SA market</t>
  </si>
  <si>
    <t xml:space="preserve">Governance (G)</t>
  </si>
  <si>
    <t xml:space="preserve">WT_G</t>
  </si>
  <si>
    <t xml:space="preserve">King V mandatory for JSE-aligned firms</t>
  </si>
  <si>
    <t xml:space="preserve">TOTAL</t>
  </si>
  <si>
    <t xml:space="preserve">WT_TOT</t>
  </si>
  <si>
    <t xml:space="preserve">Must sum to 100%</t>
  </si>
  <si>
    <t xml:space="preserve">BLOCK 7 — ENTITY &amp; REPORTING SETTINGS  (overrides Cover sheet — toggle for template vs live instance)</t>
  </si>
  <si>
    <t xml:space="preserve">Entity name</t>
  </si>
  <si>
    <t xml:space="preserve">ENT_NAME</t>
  </si>
  <si>
    <t xml:space="preserve">Replace with client name on fork</t>
  </si>
  <si>
    <t xml:space="preserve">Reporting period</t>
  </si>
  <si>
    <t xml:space="preserve">FY 2025/2026  |  Jul 2025 – Jun 2026</t>
  </si>
  <si>
    <t xml:space="preserve">ENT_FY</t>
  </si>
  <si>
    <t xml:space="preserve">Used in headers and exports</t>
  </si>
  <si>
    <t xml:space="preserve">Baseline year (SBTi)</t>
  </si>
  <si>
    <t xml:space="preserve">ENT_BASE</t>
  </si>
  <si>
    <t xml:space="preserve">Locks Scope 1+2 baseline for YoY</t>
  </si>
  <si>
    <t xml:space="preserve">Net-zero target year</t>
  </si>
  <si>
    <t xml:space="preserve">ENT_NZ</t>
  </si>
  <si>
    <t xml:space="preserve">SBTi CNZS 2.0</t>
  </si>
  <si>
    <t xml:space="preserve">B-BBEE sector code</t>
  </si>
  <si>
    <t xml:space="preserve">Generic Code (Statement 000)</t>
  </si>
  <si>
    <t xml:space="preserve">ENT_BBEE</t>
  </si>
  <si>
    <t xml:space="preserve">Toggle: Generic / Transport / Agri / etc.</t>
  </si>
  <si>
    <t xml:space="preserve">Currency</t>
  </si>
  <si>
    <t xml:space="preserve">ENT_CCY</t>
  </si>
  <si>
    <t xml:space="preserve">For Carbon Tax + CSI</t>
  </si>
  <si>
    <t xml:space="preserve">Consultant</t>
  </si>
  <si>
    <t xml:space="preserve">ENT_CONS</t>
  </si>
  <si>
    <t xml:space="preserve">Branding</t>
  </si>
  <si>
    <t xml:space="preserve">Number of data months (current)</t>
  </si>
  <si>
    <t xml:space="preserve">ENT_MOS</t>
  </si>
  <si>
    <t xml:space="preserve">Used to annualise YTD for full-year projection</t>
  </si>
  <si>
    <t xml:space="preserve">Annualisation factor</t>
  </si>
  <si>
    <t xml:space="preserve">ENT_ANN</t>
  </si>
  <si>
    <t xml:space="preserve">Auto: 12 ÷ months entered</t>
  </si>
  <si>
    <t xml:space="preserve">📋  AUDIT LOG  —  Version control · change history · sign-offs</t>
  </si>
  <si>
    <t xml:space="preserve">Log every formula change, threshold update, scope extension. Critical for ISAE 3000 / external assurance trail.</t>
  </si>
  <si>
    <t xml:space="preserve">VERSION HISTORY</t>
  </si>
  <si>
    <t xml:space="preserve">Date</t>
  </si>
  <si>
    <t xml:space="preserve">Author</t>
  </si>
  <si>
    <t xml:space="preserve">Section</t>
  </si>
  <si>
    <t xml:space="preserve">Change Description</t>
  </si>
  <si>
    <t xml:space="preserve">Signed off by</t>
  </si>
  <si>
    <t xml:space="preserve">v1.0</t>
  </si>
  <si>
    <t xml:space="preserve">2025-09-01</t>
  </si>
  <si>
    <t xml:space="preserve">Khethiwe Nkuna</t>
  </si>
  <si>
    <t xml:space="preserve">All sheets</t>
  </si>
  <si>
    <t xml:space="preserve">Initial toolkit build for SG Consumer FY25/26 baseline</t>
  </si>
  <si>
    <t xml:space="preserve">C Myezwa</t>
  </si>
  <si>
    <t xml:space="preserve">v1.1</t>
  </si>
  <si>
    <t xml:space="preserve">2025-11-15</t>
  </si>
  <si>
    <t xml:space="preserve">Okiru Consulting</t>
  </si>
  <si>
    <t xml:space="preserve">Added SCOPE 1B–1D (generator, LPG, business cars)</t>
  </si>
  <si>
    <t xml:space="preserve">Z Mnanzana</t>
  </si>
  <si>
    <t xml:space="preserve">v1.2</t>
  </si>
  <si>
    <t xml:space="preserve">2026-01-10</t>
  </si>
  <si>
    <t xml:space="preserve">Added 134-vehicle register with L/100km norms by class</t>
  </si>
  <si>
    <t xml:space="preserve">v1.3</t>
  </si>
  <si>
    <t xml:space="preserve">2026-02-22</t>
  </si>
  <si>
    <t xml:space="preserve">Migrated to Apply &amp; Explain methodology — all 17 principles</t>
  </si>
  <si>
    <t xml:space="preserve">v1.4</t>
  </si>
  <si>
    <t xml:space="preserve">2026-04-01</t>
  </si>
  <si>
    <t xml:space="preserve">Added SBTi CNZS 2.0 pathway and OER tier mapping</t>
  </si>
  <si>
    <t xml:space="preserve">v1.5</t>
  </si>
  <si>
    <t xml:space="preserve">2026-05-14</t>
  </si>
  <si>
    <t xml:space="preserve">Engine rebuild</t>
  </si>
  <si>
    <t xml:space="preserve">Full scoring engine rebuild: Assumptions sheet, banded scoring, audit columns, dashboard charts, Materiality_Matrix, B_BBEE_ESG, Carbon_Tax. Productised template + SG Consumer live instance.</t>
  </si>
  <si>
    <t xml:space="preserve">[pending]</t>
  </si>
  <si>
    <t xml:space="preserve">v1.6</t>
  </si>
  <si>
    <t xml:space="preserve">2026-05-25</t>
  </si>
  <si>
    <t xml:space="preserve">G_Data, King5_Scorecard, IFRS_S1_S2, GARP_GRAP, ISO_Tracker, SAQ_Supplier</t>
  </si>
  <si>
    <t xml:space="preserve">Populated governance evidence from SG Consumer policy stack (Code of Ethics, CSI/SED, EE &amp; Workplace Diversity, Supplier Code — all Rev 2 dated 30 Jan 2023) + SG Consumer POPI Act Consent (Jan 2026). Updates: G_Data Y/N flags with traceable source notes; King V Apply/Explain status for 17 principles; IFRS S1/S2 Partially Disclosed flags where policy commitments exist without operational evidence; GARP_GRAP control evidence column populated; ISO 14001/45001/26000/27001 clause-level status. No formulas changed.</t>
  </si>
  <si>
    <t xml:space="preserve">[pending C Myezwa]</t>
  </si>
  <si>
    <t xml:space="preserve">v1.7</t>
  </si>
  <si>
    <t xml:space="preserve">SG Consumer data load — Coba 27 May 2026 submission</t>
  </si>
  <si>
    <t xml:space="preserve">Payroll R10,331,940.87; FTE 426; Board comp (Group, 7 directors); CSI/SED beneficiaries (10 programmes, R45k budget); H&amp;S incidents (19 from SHE register); Be Heard hotline confirmed</t>
  </si>
  <si>
    <t xml:space="preserve">Outstanding: EEA2 race/gender split for 426 FTE; Scope 3 business travel km; CSI per-project spend split; POPIA case data (HO)</t>
  </si>
  <si>
    <t xml:space="preserve">FORMULA CHANGE LOG — v1.5 engine rebuild (target counts; populated in Step 2)</t>
  </si>
  <si>
    <t xml:space="preserve">Cells touched</t>
  </si>
  <si>
    <t xml:space="preserve">From</t>
  </si>
  <si>
    <t xml:space="preserve">To</t>
  </si>
  <si>
    <t xml:space="preserve">Tested</t>
  </si>
  <si>
    <t xml:space="preserve">C6:C29</t>
  </si>
  <si>
    <t xml:space="preserve">17 hardcoded zeros</t>
  </si>
  <si>
    <t xml:space="preserve">Banded scoring referencing E_Data + Assumptions</t>
  </si>
  <si>
    <t xml:space="preserve">Engine rebuild — every score must trace to source</t>
  </si>
  <si>
    <t xml:space="preserve">pending</t>
  </si>
  <si>
    <t xml:space="preserve">C6:C27</t>
  </si>
  <si>
    <t xml:space="preserve">16 hardcoded zeros</t>
  </si>
  <si>
    <t xml:space="preserve">Banded scoring referencing S_Data + Assumptions</t>
  </si>
  <si>
    <t xml:space="preserve">C6:C25</t>
  </si>
  <si>
    <t xml:space="preserve">13 hardcoded zeros</t>
  </si>
  <si>
    <t xml:space="preserve">Banded scoring referencing G_Data + Assumptions</t>
  </si>
  <si>
    <t xml:space="preserve">F5:F24</t>
  </si>
  <si>
    <t xml:space="preserve">All zeros (no logic)</t>
  </si>
  <si>
    <t xml:space="preserve">Banded Y/N + count scoring</t>
  </si>
  <si>
    <t xml:space="preserve">Wire governance data to G_Scorecard</t>
  </si>
  <si>
    <t xml:space="preserve">F:H</t>
  </si>
  <si>
    <t xml:space="preserve">No formulas</t>
  </si>
  <si>
    <t xml:space="preserve">Severity × Likelihood scoring; control modifier</t>
  </si>
  <si>
    <t xml:space="preserve">Materiality matrix feed</t>
  </si>
  <si>
    <t xml:space="preserve">B25,B27:B29,B31</t>
  </si>
  <si>
    <t xml:space="preserve">Hardcoded =0</t>
  </si>
  <si>
    <t xml:space="preserve">Live pulls from data + scorecard sheets</t>
  </si>
  <si>
    <t xml:space="preserve">Make KPI tiles real</t>
  </si>
  <si>
    <t xml:space="preserve">I column</t>
  </si>
  <si>
    <t xml:space="preserve">References still valid</t>
  </si>
  <si>
    <t xml:space="preserve">Add Audit_Log + Assumptions cross-refs</t>
  </si>
  <si>
    <t xml:space="preserve">Complete the map</t>
  </si>
  <si>
    <t xml:space="preserve">SIGN-OFF — required before publishing to client</t>
  </si>
  <si>
    <t xml:space="preserve">Role</t>
  </si>
  <si>
    <t xml:space="preserve">Name</t>
  </si>
  <si>
    <t xml:space="preserve">Signature</t>
  </si>
  <si>
    <t xml:space="preserve">Scope of approval</t>
  </si>
  <si>
    <t xml:space="preserve">Senior ESG Consultant</t>
  </si>
  <si>
    <t xml:space="preserve">Technical accuracy of E/S/G scoring</t>
  </si>
  <si>
    <t xml:space="preserve">Managing Director</t>
  </si>
  <si>
    <t xml:space="preserve">Chengetai Myezwa</t>
  </si>
  <si>
    <t xml:space="preserve">Client suitability and risk</t>
  </si>
  <si>
    <t xml:space="preserve">Senior B-BBEE Consultant</t>
  </si>
  <si>
    <t xml:space="preserve">Zoleka Mnanzana</t>
  </si>
  <si>
    <t xml:space="preserve">B-BBEE Generic Code element alignment</t>
  </si>
  <si>
    <t xml:space="preserve">Client representative</t>
  </si>
  <si>
    <t xml:space="preserve">[Client name]</t>
  </si>
  <si>
    <t xml:space="preserve">Acceptance and data accuracy</t>
  </si>
  <si>
    <t xml:space="preserve">🌱  ESG INTELLIGENCE DASHBOARD  —  SG Consumer  |  FY 2025/26  |  Powered by Okiru Consulting</t>
  </si>
  <si>
    <t xml:space="preserve">Net-Zero · King V · IFRS S1/S2 · GARP/GRAP · ISO 14001/45001/27001 · Employment Equity · WSP/ATR</t>
  </si>
  <si>
    <t xml:space="preserve">ESG PILLAR SCORES</t>
  </si>
  <si>
    <t xml:space="preserve">EXECUTIVE SUMMARY — Board view</t>
  </si>
  <si>
    <t xml:space="preserve">Pillar</t>
  </si>
  <si>
    <t xml:space="preserve">Score</t>
  </si>
  <si>
    <t xml:space="preserve">Max</t>
  </si>
  <si>
    <t xml:space="preserve">% Score</t>
  </si>
  <si>
    <t xml:space="preserve">Rating</t>
  </si>
  <si>
    <t xml:space="preserve">Key Gap</t>
  </si>
  <si>
    <t xml:space="preserve">Net-Zero Link</t>
  </si>
  <si>
    <t xml:space="preserve">Standards</t>
  </si>
  <si>
    <t xml:space="preserve">Target FY26</t>
  </si>
  <si>
    <t xml:space="preserve">Status</t>
  </si>
  <si>
    <t xml:space="preserve">Overall ESG Score</t>
  </si>
  <si>
    <t xml:space="preserve">🟢 Environmental (E)</t>
  </si>
  <si>
    <t xml:space="preserve">108</t>
  </si>
  <si>
    <t xml:space="preserve">GHG Scope 1+2+3</t>
  </si>
  <si>
    <t xml:space="preserve">Fleet diesel dominant</t>
  </si>
  <si>
    <t xml:space="preserve">IFRS S2/GRI 305/ISO14001</t>
  </si>
  <si>
    <t xml:space="preserve">≥75/100</t>
  </si>
  <si>
    <t xml:space="preserve">🔵 Social (S)</t>
  </si>
  <si>
    <t xml:space="preserve">100</t>
  </si>
  <si>
    <t xml:space="preserve">EE targets</t>
  </si>
  <si>
    <t xml:space="preserve">EE + WSP compliance</t>
  </si>
  <si>
    <t xml:space="preserve">EEA/GRI 405/ISO45001</t>
  </si>
  <si>
    <t xml:space="preserve">Strongest pillar</t>
  </si>
  <si>
    <t xml:space="preserve">🟣 Governance (G)</t>
  </si>
  <si>
    <t xml:space="preserve">King V full adoption</t>
  </si>
  <si>
    <t xml:space="preserve">IFRS S2 + King V P10</t>
  </si>
  <si>
    <t xml:space="preserve">King V/IFRS S1-S2/POPIA</t>
  </si>
  <si>
    <t xml:space="preserve">Weakest pillar</t>
  </si>
  <si>
    <t xml:space="preserve">OVERALL ESG SCORE</t>
  </si>
  <si>
    <t xml:space="preserve">Material risks</t>
  </si>
  <si>
    <t xml:space="preserve">King V status</t>
  </si>
  <si>
    <t xml:space="preserve">GHG EMISSIONS SUMMARY  (tCO₂e)  |  9 months actuals Jul-25 to Mar-26</t>
  </si>
  <si>
    <t xml:space="preserve">Scope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</si>
  <si>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</si>
  <si>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</si>
  <si>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</si>
  <si>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</si>
  <si>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</si>
  <si>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</si>
  <si>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</si>
  <si>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</si>
  <si>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</si>
  <si>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YTD Total</t>
  </si>
  <si>
    <t xml:space="preserve">Annualised</t>
  </si>
  <si>
    <t xml:space="preserve">YoY Target</t>
  </si>
  <si>
    <t xml:space="preserve">Scope 1 — Fleet Diesel</t>
  </si>
  <si>
    <t xml:space="preserve">— baseline year —</t>
  </si>
  <si>
    <t xml:space="preserve">○ Baseline</t>
  </si>
  <si>
    <t xml:space="preserve">Scope 1 — Generator</t>
  </si>
  <si>
    <t xml:space="preserve">Scope 1 — LPG Forklifts</t>
  </si>
  <si>
    <t xml:space="preserve">Scope 2 — Electricity (grid)</t>
  </si>
  <si>
    <t xml:space="preserve">Scope 3 — Water</t>
  </si>
  <si>
    <t xml:space="preserve">TOTAL GHG (Scope 1+2+3)</t>
  </si>
  <si>
    <t xml:space="preserve">KEY NET-ZERO &amp; ESG KPIs — YTD FY2025/26</t>
  </si>
  <si>
    <t xml:space="preserve">KPI</t>
  </si>
  <si>
    <t xml:space="preserve">Benchmark</t>
  </si>
  <si>
    <t xml:space="preserve">Source</t>
  </si>
  <si>
    <t xml:space="preserve">Total fleet diesel (litres YTD)</t>
  </si>
  <si>
    <t xml:space="preserve">&lt;600,000 L target</t>
  </si>
  <si>
    <t xml:space="preserve">Total fleet tCO₂e Scope 1</t>
  </si>
  <si>
    <t xml:space="preserve">&lt;1,600 tCO₂e</t>
  </si>
  <si>
    <t xml:space="preserve">Total electricity kWh YTD</t>
  </si>
  <si>
    <t xml:space="preserve">Monitor vs prior year</t>
  </si>
  <si>
    <t xml:space="preserve">Utility_Bills</t>
  </si>
  <si>
    <t xml:space="preserve">Total electricity tCO₂e Scope 2</t>
  </si>
  <si>
    <t xml:space="preserve">Target: reduce 10% YoY</t>
  </si>
  <si>
    <t xml:space="preserve">Fleet avg L/100km vs norm</t>
  </si>
  <si>
    <t xml:space="preserve">≤ vehicle norm</t>
  </si>
  <si>
    <t xml:space="preserve">Oricol CPT waste diversion %</t>
  </si>
  <si>
    <t xml:space="preserve">≥90% — Target Met ✓</t>
  </si>
  <si>
    <t xml:space="preserve">EE: % Black employees</t>
  </si>
  <si>
    <t xml:space="preserve">≥60%</t>
  </si>
  <si>
    <t xml:space="preserve">WSP submitted to SETA</t>
  </si>
  <si>
    <t xml:space="preserve">Yes — Required</t>
  </si>
  <si>
    <t xml:space="preserve">LTIFR YTD</t>
  </si>
  <si>
    <t xml:space="preserve">&lt;2.0</t>
  </si>
  <si>
    <t xml:space="preserve">King V score</t>
  </si>
  <si>
    <t xml:space="preserve">≥100/170</t>
  </si>
  <si>
    <t xml:space="preserve">IFRS S1/S2 disclosures</t>
  </si>
  <si>
    <t xml:space="preserve">≥80% disclosed</t>
  </si>
  <si>
    <t xml:space="preserve">ISO 14001 certification status</t>
  </si>
  <si>
    <t xml:space="preserve">Certified (target)</t>
  </si>
  <si>
    <t xml:space="preserve">Materiality data (auto)</t>
  </si>
  <si>
    <t xml:space="preserve">Risk</t>
  </si>
  <si>
    <t xml:space="preserve">Severity</t>
  </si>
  <si>
    <t xml:space="preserve">Likelihood</t>
  </si>
  <si>
    <t xml:space="preserve">Risk Score</t>
  </si>
  <si>
    <t xml:space="preserve">E_DATA — ENVIRONMENTAL RAW DATA  |  SG Consumer  |  FY 2025/26</t>
  </si>
  <si>
    <t xml:space="preserve">EMISSION FACTORS (DEFRA 2024 / Eskom NERSA 2024)  — edit only if factors updated</t>
  </si>
  <si>
    <t xml:space="preserve">Road freight diesel (DEFRA 2024)</t>
  </si>
  <si>
    <t xml:space="preserve">Business car petrol</t>
  </si>
  <si>
    <t xml:space="preserve">LPG forklifts (DBN warehouse)</t>
  </si>
  <si>
    <t xml:space="preserve">Eskom grid — NERSA 2024</t>
  </si>
  <si>
    <t xml:space="preserve">Solar PV (onsite generation)</t>
  </si>
  <si>
    <t xml:space="preserve">Municipal water (GHG Protocol)</t>
  </si>
  <si>
    <t xml:space="preserve">SCOPE 1A — ROAD FREIGHT DIESEL (Fleet litres per depot)  [Source: Mariette Dashboard fuel consumption sheet]</t>
  </si>
  <si>
    <t xml:space="preserve">Depot/Source</t>
  </si>
  <si>
    <t xml:space="preserve">tCO₂e YTD</t>
  </si>
  <si>
    <t xml:space="preserve">Source File</t>
  </si>
  <si>
    <t xml:space="preserve">SG Consumer – BLOEM</t>
  </si>
  <si>
    <t xml:space="preserve">litres</t>
  </si>
  <si>
    <t xml:space="preserve">Mariette/STATS/DASHBOARD 2025-2026</t>
  </si>
  <si>
    <t xml:space="preserve">SG Consumer – CPT</t>
  </si>
  <si>
    <t xml:space="preserve">SG Consumer – DBN</t>
  </si>
  <si>
    <t xml:space="preserve">SG Consumer – ISANDO</t>
  </si>
  <si>
    <t xml:space="preserve">SG Consumer – PE</t>
  </si>
  <si>
    <t xml:space="preserve">TOTAL FLEET DIESEL</t>
  </si>
  <si>
    <t xml:space="preserve">SCOPE 1B — GENERATOR DIESEL (litres per depot)  [Source: Mariette Dashboard / Bowser Recon]</t>
  </si>
  <si>
    <t xml:space="preserve">Depot</t>
  </si>
  <si>
    <t xml:space="preserve">Generator – BLOEM</t>
  </si>
  <si>
    <t xml:space="preserve">Generator – CPT</t>
  </si>
  <si>
    <t xml:space="preserve">Generator – DBN</t>
  </si>
  <si>
    <t xml:space="preserve">Generator – ISANDO</t>
  </si>
  <si>
    <t xml:space="preserve">Generator – PE</t>
  </si>
  <si>
    <t xml:space="preserve">TOTAL GENERATOR</t>
  </si>
  <si>
    <t xml:space="preserve">SCOPE 1C — LPG FORKLIFTS (kg per depot)  [Source: Mariette Dashboard gas-forklifts sheet]</t>
  </si>
  <si>
    <t xml:space="preserve">Depot/Unit</t>
  </si>
  <si>
    <t xml:space="preserve">YTD kg</t>
  </si>
  <si>
    <t xml:space="preserve">LPG Forklifts – DBN</t>
  </si>
  <si>
    <t xml:space="preserve">kg</t>
  </si>
  <si>
    <t xml:space="preserve">NOTE: BLOEM, CPT, ISANDO, PE use electric/lithium-battery forklifts — no LPG emissions. Sanulac data confirms depot-level forklift types.</t>
  </si>
  <si>
    <t xml:space="preserve">SCOPE 1D — ROAD BUSINESS (Solly's car, ISANDO)  [Source: Mariette Dashboard fuel consumption sheet]</t>
  </si>
  <si>
    <t xml:space="preserve">YTD</t>
  </si>
  <si>
    <t xml:space="preserve">tCO₂e</t>
  </si>
  <si>
    <t xml:space="preserve">Solly's Car – ISANDO</t>
  </si>
  <si>
    <t xml:space="preserve">SCOPE 2 — ELECTRICITY (kWh per depot/landlord)  [Source: Mariette Utility Bills 2025-26]</t>
  </si>
  <si>
    <t xml:space="preserve">Depot / Landlord</t>
  </si>
  <si>
    <t xml:space="preserve">YTD kWh</t>
  </si>
  <si>
    <t xml:space="preserve">Landlord</t>
  </si>
  <si>
    <t xml:space="preserve">kWh</t>
  </si>
  <si>
    <t xml:space="preserve">KAVOD</t>
  </si>
  <si>
    <t xml:space="preserve">SPEAR</t>
  </si>
  <si>
    <t xml:space="preserve">EXCELLERATE</t>
  </si>
  <si>
    <t xml:space="preserve">LEXSHELL 280 INVESTMENTS</t>
  </si>
  <si>
    <t xml:space="preserve">CLEMLEN INVESTMENTS NO 10</t>
  </si>
  <si>
    <t xml:space="preserve">TOTAL ELECTRICITY</t>
  </si>
  <si>
    <t xml:space="preserve">SOLAR GENERATION (enter kWh generated — reduces Scope 2)  [JHB: Graeme Barand system; DBN: EDGE cert in progress]</t>
  </si>
  <si>
    <t xml:space="preserve">Solar Source</t>
  </si>
  <si>
    <t xml:space="preserve">tCO₂e avoided</t>
  </si>
  <si>
    <t xml:space="preserve">Solar – ISANDO (JHB)</t>
  </si>
  <si>
    <t xml:space="preserve">Solar – DBN (EDGE)</t>
  </si>
  <si>
    <t xml:space="preserve">Solar – CPT</t>
  </si>
  <si>
    <t xml:space="preserve">Solar – BLOEM</t>
  </si>
  <si>
    <t xml:space="preserve">Solar – PE</t>
  </si>
  <si>
    <t xml:space="preserve">WATER CONSUMPTION (kL per depot)  [Source: Mariette electricity &amp; water sheet — utility bills data]</t>
  </si>
  <si>
    <t xml:space="preserve">YTD kL</t>
  </si>
  <si>
    <t xml:space="preserve">kL</t>
  </si>
  <si>
    <t xml:space="preserve">TOTAL WATER</t>
  </si>
  <si>
    <t xml:space="preserve">WASTE DATA (% recycled per month from Cority; Oricol Mar-26 actual)  [Source: Mariette waste sheet + Oricol sustainability report]</t>
  </si>
  <si>
    <t xml:space="preserve">Metric</t>
  </si>
  <si>
    <t xml:space="preserve">YTD Avg</t>
  </si>
  <si>
    <t xml:space="preserve">Target</t>
  </si>
  <si>
    <t xml:space="preserve">% Waste Recycled (all depots)</t>
  </si>
  <si>
    <t xml:space="preserve">30%+</t>
  </si>
  <si>
    <t xml:space="preserve">CPT Oricol — Total Waste (kg)</t>
  </si>
  <si>
    <t xml:space="preserve">Mar-26 actual</t>
  </si>
  <si>
    <t xml:space="preserve">CPT Oricol — % Landfill</t>
  </si>
  <si>
    <t xml:space="preserve">&lt;10% target</t>
  </si>
  <si>
    <t xml:space="preserve">CPT Oricol — % Diversion (recycled+recovery)</t>
  </si>
  <si>
    <t xml:space="preserve">&gt;90% ✓</t>
  </si>
  <si>
    <t xml:space="preserve">Landfill tCO₂e (CPT Mar-26 estimate)</t>
  </si>
  <si>
    <t xml:space="preserve">GHG EMISSIONS SUMMARY — SCOPE 1 + 2 + 3  (tCO₂e)  [Auto-calculated from sections above]</t>
  </si>
  <si>
    <t xml:space="preserve">Scope / Category</t>
  </si>
  <si>
    <t xml:space="preserve">% of Total</t>
  </si>
  <si>
    <t xml:space="preserve">Scope 1A — Fleet Diesel</t>
  </si>
  <si>
    <t xml:space="preserve">Scope 1B — Generator Diesel</t>
  </si>
  <si>
    <t xml:space="preserve">Scope 1C — LPG Forklifts (DBN)</t>
  </si>
  <si>
    <t xml:space="preserve">Scope 1D — Business Cars</t>
  </si>
  <si>
    <t xml:space="preserve">SCOPE 1 TOTAL (tCO₂e)</t>
  </si>
  <si>
    <t xml:space="preserve">Scope 2 — Grid Electricity (location-based)</t>
  </si>
  <si>
    <t xml:space="preserve">Scope 2 Solar Offset (negative — enter generation)</t>
  </si>
  <si>
    <t xml:space="preserve">SCOPE 2 NET (tCO₂e)</t>
  </si>
  <si>
    <t xml:space="preserve">Scope 3 — Water Consumption</t>
  </si>
  <si>
    <t xml:space="preserve">TOTAL GHG (Scope 1+2+3)  tCO₂e</t>
  </si>
  <si>
    <t xml:space="preserve">% by scope — Scope 1</t>
  </si>
  <si>
    <t xml:space="preserve">% by scope — Scope 2 (net)</t>
  </si>
  <si>
    <t xml:space="preserve">NET-ZERO TARGETS (SBTi CNZS 2.0)  —  Baseline: FY2025/26  |  Target: −50% Scope 1+2 by 2030  |  Net-Zero by 2050</t>
  </si>
  <si>
    <t xml:space="preserve">Baseline tCO₂e</t>
  </si>
  <si>
    <t xml:space="preserve">2030 Target</t>
  </si>
  <si>
    <t xml:space="preserve">2040 Target</t>
  </si>
  <si>
    <t xml:space="preserve">2050 Target</t>
  </si>
  <si>
    <t xml:space="preserve">Current YTD</t>
  </si>
  <si>
    <t xml:space="preserve">On Track?</t>
  </si>
  <si>
    <t xml:space="preserve">Scope 1+2 Combined</t>
  </si>
  <si>
    <t xml:space="preserve">Net-Zero</t>
  </si>
  <si>
    <t xml:space="preserve">FLEET REGISTER — Per-Vehicle CO₂ | L/100km | EV Mix | Service Status  [Source: Updated Fleet List Feb 2026]</t>
  </si>
  <si>
    <t xml:space="preserve">Reg</t>
  </si>
  <si>
    <t xml:space="preserve">Model/Category</t>
  </si>
  <si>
    <t xml:space="preserve">GVM (kg)</t>
  </si>
  <si>
    <t xml:space="preserve">Tare (kg)</t>
  </si>
  <si>
    <t xml:space="preserve">Carry (kg)</t>
  </si>
  <si>
    <t xml:space="preserve">Fuel Cap (L)</t>
  </si>
  <si>
    <t xml:space="preserve">Tracking</t>
  </si>
  <si>
    <t xml:space="preserve">Monthly km</t>
  </si>
  <si>
    <t xml:space="preserve">Monthly Litres</t>
  </si>
  <si>
    <t xml:space="preserve">L/100km Actual</t>
  </si>
  <si>
    <t xml:space="preserve">L/100km Norm</t>
  </si>
  <si>
    <t xml:space="preserve">Monthly tCO₂e</t>
  </si>
  <si>
    <t xml:space="preserve">Service Status</t>
  </si>
  <si>
    <t xml:space="preserve">Licence Expiry</t>
  </si>
  <si>
    <t xml:space="preserve">JR45DZGP</t>
  </si>
  <si>
    <t xml:space="preserve">SGTSPFMCG</t>
  </si>
  <si>
    <t xml:space="preserve">11-Seater Bus</t>
  </si>
  <si>
    <t xml:space="preserve">I-CAM</t>
  </si>
  <si>
    <t xml:space="preserve">KY75THGP</t>
  </si>
  <si>
    <t xml:space="preserve">HINO 1627 8T Fridge</t>
  </si>
  <si>
    <t xml:space="preserve">KY82RLGP</t>
  </si>
  <si>
    <t xml:space="preserve">SGTBLOEM</t>
  </si>
  <si>
    <t xml:space="preserve">HINO 614 2.5T</t>
  </si>
  <si>
    <t xml:space="preserve">KY98LTGP</t>
  </si>
  <si>
    <t xml:space="preserve">HINO 816 4T Curtain</t>
  </si>
  <si>
    <t xml:space="preserve">KY98MRGP</t>
  </si>
  <si>
    <t xml:space="preserve">KZ00LCGP</t>
  </si>
  <si>
    <t xml:space="preserve">HINO 500 1627 8T Fridge</t>
  </si>
  <si>
    <t xml:space="preserve">KZ00LHGP</t>
  </si>
  <si>
    <t xml:space="preserve">KZ97BKGP</t>
  </si>
  <si>
    <t xml:space="preserve">LB45BMGP</t>
  </si>
  <si>
    <t xml:space="preserve">HINO 1627 16T Fridge</t>
  </si>
  <si>
    <t xml:space="preserve">LB45BXGP</t>
  </si>
  <si>
    <t xml:space="preserve">HINO 1627 16T Curtain</t>
  </si>
  <si>
    <t xml:space="preserve">LC36DCGP</t>
  </si>
  <si>
    <t xml:space="preserve">HINO 500 1627 16T Fridge</t>
  </si>
  <si>
    <t xml:space="preserve">MK66VTGP</t>
  </si>
  <si>
    <t xml:space="preserve">HINO 700 32T</t>
  </si>
  <si>
    <t xml:space="preserve">HT95GWGP</t>
  </si>
  <si>
    <t xml:space="preserve">SCANIA G460 32T</t>
  </si>
  <si>
    <t xml:space="preserve">BB33CMGP</t>
  </si>
  <si>
    <t xml:space="preserve">15M Fridge Trailer</t>
  </si>
  <si>
    <t xml:space="preserve">KB33CSGP</t>
  </si>
  <si>
    <t xml:space="preserve">SGTCPT</t>
  </si>
  <si>
    <t xml:space="preserve">LC09YVGP</t>
  </si>
  <si>
    <t xml:space="preserve">SGTPE</t>
  </si>
  <si>
    <t xml:space="preserve">FLEET SUMMARY  (from Fleet Summary Totals Per Type sheet)</t>
  </si>
  <si>
    <t xml:space="preserve">Total Vehicles</t>
  </si>
  <si>
    <t xml:space="preserve">32T Scania</t>
  </si>
  <si>
    <t xml:space="preserve">16T</t>
  </si>
  <si>
    <t xml:space="preserve">8T</t>
  </si>
  <si>
    <t xml:space="preserve">4T</t>
  </si>
  <si>
    <t xml:space="preserve">Trailers</t>
  </si>
  <si>
    <t xml:space="preserve">EV Vehicles</t>
  </si>
  <si>
    <t xml:space="preserve">16</t>
  </si>
  <si>
    <t xml:space="preserve">2</t>
  </si>
  <si>
    <t xml:space="preserve">7</t>
  </si>
  <si>
    <t xml:space="preserve">0</t>
  </si>
  <si>
    <t xml:space="preserve">4</t>
  </si>
  <si>
    <t xml:space="preserve">14</t>
  </si>
  <si>
    <t xml:space="preserve">3</t>
  </si>
  <si>
    <t xml:space="preserve">SGTDBN</t>
  </si>
  <si>
    <t xml:space="preserve">19</t>
  </si>
  <si>
    <t xml:space="preserve">8</t>
  </si>
  <si>
    <t xml:space="preserve">6</t>
  </si>
  <si>
    <t xml:space="preserve">1</t>
  </si>
  <si>
    <t xml:space="preserve">79</t>
  </si>
  <si>
    <t xml:space="preserve">12</t>
  </si>
  <si>
    <t xml:space="preserve">11</t>
  </si>
  <si>
    <t xml:space="preserve">34</t>
  </si>
  <si>
    <t xml:space="preserve">134</t>
  </si>
  <si>
    <t xml:space="preserve">25</t>
  </si>
  <si>
    <t xml:space="preserve">22</t>
  </si>
  <si>
    <t xml:space="preserve">13</t>
  </si>
  <si>
    <t xml:space="preserve">46</t>
  </si>
  <si>
    <t xml:space="preserve">EV FLEET TRANSITION PLAN  |  MAXUS eDeliver 3 (3.5T, range 330km) &amp; eDeliver 5 (1T, range 320km)  |  Target: 20% EV mix by 2030  |  EF_SOLAR offset applies to EV charging</t>
  </si>
  <si>
    <t xml:space="preserve">EV Model</t>
  </si>
  <si>
    <t xml:space="preserve">Range (km)</t>
  </si>
  <si>
    <t xml:space="preserve">Payload (kg)</t>
  </si>
  <si>
    <t xml:space="preserve">Charge kWh</t>
  </si>
  <si>
    <t xml:space="preserve">tCO₂e/km (grid)</t>
  </si>
  <si>
    <t xml:space="preserve">vs Diesel saving</t>
  </si>
  <si>
    <t xml:space="preserve">Recommended depot</t>
  </si>
  <si>
    <t xml:space="preserve">MAXUS eDeliver 3</t>
  </si>
  <si>
    <t xml:space="preserve">330</t>
  </si>
  <si>
    <t xml:space="preserve">900</t>
  </si>
  <si>
    <t xml:space="preserve">CPT/PE short runs</t>
  </si>
  <si>
    <t xml:space="preserve">MAXUS eDeliver 5</t>
  </si>
  <si>
    <t xml:space="preserve">320</t>
  </si>
  <si>
    <t xml:space="preserve">1075</t>
  </si>
  <si>
    <t xml:space="preserve">BLOEM/JHB urban</t>
  </si>
  <si>
    <t xml:space="preserve">🚚  ISO 14083 / GLEC  —  TRANSPORT EMISSIONS  |  Per-trip · Intensity · Customer Allocation</t>
  </si>
  <si>
    <t xml:space="preserve">ISO 14083:2023 quantification methodology for transport chain GHG emissions. Calculates emissions at journey/leg level, enables intensity metrics (gCO₂e/t·km), and supports per-customer allocation for client-ready reporting. See Glossary for ISO 14083, GLEC, t·km, TKM, allocation methods.</t>
  </si>
  <si>
    <t xml:space="preserve">BLOCK 1 — TRIP REGISTER  |  Each row = one trip/journey  |  Pre-seeded with Apr-26 data from Driver_Debrief</t>
  </si>
  <si>
    <t xml:space="preserve">Trip ID</t>
  </si>
  <si>
    <t xml:space="preserve">Vehicle Reg</t>
  </si>
  <si>
    <t xml:space="preserve">Route ID</t>
  </si>
  <si>
    <t xml:space="preserve">Mode</t>
  </si>
  <si>
    <t xml:space="preserve">Vehicle Class</t>
  </si>
  <si>
    <t xml:space="preserve">Fuel Type</t>
  </si>
  <si>
    <t xml:space="preserve">Distance (km)</t>
  </si>
  <si>
    <t xml:space="preserve">Load (tonnes)</t>
  </si>
  <si>
    <t xml:space="preserve">Tonne-km (t·km)</t>
  </si>
  <si>
    <t xml:space="preserve">Customer</t>
  </si>
  <si>
    <t xml:space="preserve">Allocation Basis</t>
  </si>
  <si>
    <t xml:space="preserve">Loaded?</t>
  </si>
  <si>
    <t xml:space="preserve">Fuel Used (L)</t>
  </si>
  <si>
    <t xml:space="preserve">T-26040001</t>
  </si>
  <si>
    <t xml:space="preserve">KZ00LRGP</t>
  </si>
  <si>
    <t xml:space="preserve">010426EJ002</t>
  </si>
  <si>
    <t xml:space="preserve">Road</t>
  </si>
  <si>
    <t xml:space="preserve">Light</t>
  </si>
  <si>
    <t xml:space="preserve">Diesel</t>
  </si>
  <si>
    <t xml:space="preserve">Engen Express</t>
  </si>
  <si>
    <t xml:space="preserve">Weight</t>
  </si>
  <si>
    <t xml:space="preserve">Yes</t>
  </si>
  <si>
    <t xml:space="preserve">T-26040002</t>
  </si>
  <si>
    <t xml:space="preserve">010426EJ005</t>
  </si>
  <si>
    <t xml:space="preserve">Heavy</t>
  </si>
  <si>
    <t xml:space="preserve">T-26040003</t>
  </si>
  <si>
    <t xml:space="preserve">010426EL001</t>
  </si>
  <si>
    <t xml:space="preserve">Engen Logistics</t>
  </si>
  <si>
    <t xml:space="preserve">T-26040004</t>
  </si>
  <si>
    <t xml:space="preserve">LC22HRGP</t>
  </si>
  <si>
    <t xml:space="preserve">010426EL003</t>
  </si>
  <si>
    <t xml:space="preserve">Medium</t>
  </si>
  <si>
    <t xml:space="preserve">T-26040005</t>
  </si>
  <si>
    <t xml:space="preserve">010426FC001</t>
  </si>
  <si>
    <t xml:space="preserve">Famous Brands</t>
  </si>
  <si>
    <t xml:space="preserve">T-26040006</t>
  </si>
  <si>
    <t xml:space="preserve">010426FL001</t>
  </si>
  <si>
    <t xml:space="preserve">T-26040007</t>
  </si>
  <si>
    <t xml:space="preserve">010426GC001</t>
  </si>
  <si>
    <t xml:space="preserve">Shared (3 customers)</t>
  </si>
  <si>
    <t xml:space="preserve">BLOCK 2 — PER-TRIP EMISSIONS  |  Fuel-based (preferred) or distance-based fallback per ISO 14083 §7</t>
  </si>
  <si>
    <t xml:space="preserve">Method</t>
  </si>
  <si>
    <t xml:space="preserve">Fuel kgCO₂e</t>
  </si>
  <si>
    <t xml:space="preserve">Dist kgCO₂e</t>
  </si>
  <si>
    <t xml:space="preserve">Trip tCO₂e</t>
  </si>
  <si>
    <t xml:space="preserve">gCO₂e/km</t>
  </si>
  <si>
    <t xml:space="preserve">gCO₂e/t·km</t>
  </si>
  <si>
    <t xml:space="preserve">Customer tCO₂e</t>
  </si>
  <si>
    <t xml:space="preserve">Empty trip?</t>
  </si>
  <si>
    <t xml:space="preserve">Intensity vs avg</t>
  </si>
  <si>
    <t xml:space="preserve">BLOCK 3 — INTENSITY METRICS  |  Performance benchmarks aligned to GLEC framework</t>
  </si>
  <si>
    <t xml:space="preserve">vs Benchmark</t>
  </si>
  <si>
    <t xml:space="preserve">Source / Note</t>
  </si>
  <si>
    <t xml:space="preserve">Total trips logged</t>
  </si>
  <si>
    <t xml:space="preserve">n/a</t>
  </si>
  <si>
    <t xml:space="preserve">Total distance (km)</t>
  </si>
  <si>
    <t xml:space="preserve">km</t>
  </si>
  <si>
    <t xml:space="preserve">Total load (tonnes)</t>
  </si>
  <si>
    <t xml:space="preserve">t</t>
  </si>
  <si>
    <t xml:space="preserve">Total tonne-km (t·km)</t>
  </si>
  <si>
    <t xml:space="preserve">t·km</t>
  </si>
  <si>
    <t xml:space="preserve">Distance × Load — ISO 14083 §6.2 activity unit</t>
  </si>
  <si>
    <t xml:space="preserve">Total emissions (tCO₂e)</t>
  </si>
  <si>
    <t xml:space="preserve">Avg intensity (gCO₂e/t·km)</t>
  </si>
  <si>
    <t xml:space="preserve">GLEC heavy road freight benchmark: ~80 g/t·km</t>
  </si>
  <si>
    <t xml:space="preserve">Avg intensity (gCO₂e/km)</t>
  </si>
  <si>
    <t xml:space="preserve">DEFRA heavy HGV diesel: ~1,095 g/km</t>
  </si>
  <si>
    <t xml:space="preserve">Avg emissions per trip (tCO₂e)</t>
  </si>
  <si>
    <t xml:space="preserve">tCO₂e/trip</t>
  </si>
  <si>
    <t xml:space="preserve">Empty/backhaul ratio</t>
  </si>
  <si>
    <t xml:space="preserve">Target ≤15% for fleet efficiency</t>
  </si>
  <si>
    <t xml:space="preserve">Loaded ratio</t>
  </si>
  <si>
    <t xml:space="preserve">Target ≥85%</t>
  </si>
  <si>
    <t xml:space="preserve">BLOCK 4 — CUSTOMER EMISSIONS  |  Client-ready reporting — allocation per ISO 14083 §8</t>
  </si>
  <si>
    <t xml:space="preserve">Trips</t>
  </si>
  <si>
    <t xml:space="preserve">Load (t·km)</t>
  </si>
  <si>
    <t xml:space="preserve">Emissions (tCO₂e)</t>
  </si>
  <si>
    <t xml:space="preserve">Intensity (g/t·km)</t>
  </si>
  <si>
    <t xml:space="preserve">Report Status</t>
  </si>
  <si>
    <t xml:space="preserve">TOTAL — CUSTOMER ALLOCATED</t>
  </si>
  <si>
    <t xml:space="preserve">BLOCK 5 — OPERATIONAL SUMMARY  |  Fleet performance + route efficiency  |  ISO 14083 §9 reporting</t>
  </si>
  <si>
    <t xml:space="preserve">Avg distance per trip</t>
  </si>
  <si>
    <t xml:space="preserve">Avg load per trip</t>
  </si>
  <si>
    <t xml:space="preserve">Avg t·km per trip</t>
  </si>
  <si>
    <t xml:space="preserve">Longest single trip</t>
  </si>
  <si>
    <t xml:space="preserve">Shortest single trip</t>
  </si>
  <si>
    <t xml:space="preserve">Trips with fuel data</t>
  </si>
  <si>
    <t xml:space="preserve">Trips on default factors</t>
  </si>
  <si>
    <t xml:space="preserve">Fuel-based emissions %</t>
  </si>
  <si>
    <t xml:space="preserve">WASTE REGISTER — Oricol Environmental | Oracle | Valour Brands | Cority  [GRI 306 | ISO 14001 | Net-Zero]</t>
  </si>
  <si>
    <t xml:space="preserve">WASTE STREAMS — Monthly data entry [Source: Waste contractors + Cority cardboard data]</t>
  </si>
  <si>
    <t xml:space="preserve">Month</t>
  </si>
  <si>
    <t xml:space="preserve">Waste Type</t>
  </si>
  <si>
    <t xml:space="preserve">Total kg</t>
  </si>
  <si>
    <t xml:space="preserve">Recycled kg</t>
  </si>
  <si>
    <t xml:space="preserve">Landfill kg</t>
  </si>
  <si>
    <t xml:space="preserve">Diverted %</t>
  </si>
  <si>
    <t xml:space="preserve">Landfill tCO₂e</t>
  </si>
  <si>
    <t xml:space="preserve">Contractor</t>
  </si>
  <si>
    <t xml:space="preserve">Invoice Ref</t>
  </si>
  <si>
    <t xml:space="preserve">CPT</t>
  </si>
  <si>
    <t xml:space="preserve">Commercial/Industrial (landfill)</t>
  </si>
  <si>
    <t xml:space="preserve">Oricol Environmental</t>
  </si>
  <si>
    <t xml:space="preserve">Commercial/Industrial (recycled)</t>
  </si>
  <si>
    <t xml:space="preserve">Paper/Cardboard K4</t>
  </si>
  <si>
    <t xml:space="preserve">LDPE Shrinkwrap</t>
  </si>
  <si>
    <t xml:space="preserve">ALL</t>
  </si>
  <si>
    <t xml:space="preserve">TOTAL (Oricol Big Numbers)</t>
  </si>
  <si>
    <t xml:space="preserve">91.1%</t>
  </si>
  <si>
    <t xml:space="preserve">Oricol Big Numbers</t>
  </si>
  <si>
    <t xml:space="preserve">CORITY CARDBOARD RECYCLING % — Monthly (from Mariette Dashboard waste sheet)</t>
  </si>
  <si>
    <t xml:space="preserve">% Recycled (all depots)</t>
  </si>
  <si>
    <t xml:space="preserve">WASTE SCORECARD — vs ISO 14001 + Net-Zero targets</t>
  </si>
  <si>
    <t xml:space="preserve">Oricol CPT diversion rate (Mar-26)</t>
  </si>
  <si>
    <t xml:space="preserve">≥90%</t>
  </si>
  <si>
    <t xml:space="preserve">Average monthly % recycled (Cority)</t>
  </si>
  <si>
    <t xml:space="preserve">≥25%</t>
  </si>
  <si>
    <t xml:space="preserve">Total landfill tCO₂e YTD</t>
  </si>
  <si>
    <t xml:space="preserve">Minimise</t>
  </si>
  <si>
    <t xml:space="preserve">Waste contractor sustainability rating</t>
  </si>
  <si>
    <t xml:space="preserve">IMS-T-149 Oricol score</t>
  </si>
  <si>
    <t xml:space="preserve">≥80%</t>
  </si>
  <si>
    <t xml:space="preserve">ISO 14001 waste aspect managed</t>
  </si>
  <si>
    <t xml:space="preserve">DRIVER DEBRIEF — Route Completion | Customer Hit % | Planned vs Actual km | Net-Zero km Efficiency  [Source: DriverDebriefSummary.xlsx]</t>
  </si>
  <si>
    <t xml:space="preserve">Driver Name</t>
  </si>
  <si>
    <t xml:space="preserve">Route</t>
  </si>
  <si>
    <t xml:space="preserve">Cust Hit%</t>
  </si>
  <si>
    <t xml:space="preserve">Plan Stops</t>
  </si>
  <si>
    <t xml:space="preserve">Act Stops</t>
  </si>
  <si>
    <t xml:space="preserve">Variance</t>
  </si>
  <si>
    <t xml:space="preserve">Plan km</t>
  </si>
  <si>
    <t xml:space="preserve">Act km</t>
  </si>
  <si>
    <t xml:space="preserve">km Excess</t>
  </si>
  <si>
    <t xml:space="preserve">Net-Zero Note / Action</t>
  </si>
  <si>
    <t xml:space="preserve">Hubrey Malgas</t>
  </si>
  <si>
    <t xml:space="preserve">✓ On route</t>
  </si>
  <si>
    <t xml:space="preserve">NO DATA</t>
  </si>
  <si>
    <t xml:space="preserve">James Jantjies</t>
  </si>
  <si>
    <t xml:space="preserve">TG Kwababa</t>
  </si>
  <si>
    <t xml:space="preserve">G Kwababa</t>
  </si>
  <si>
    <t xml:space="preserve">Osbar Naka</t>
  </si>
  <si>
    <t xml:space="preserve">⚠ 66% hit rate — 5 stops missed, 125km excess — fatigue/routing review required</t>
  </si>
  <si>
    <t xml:space="preserve">→ ADD NEW DEBRIEF ROWS BELOW (paste from DriverDebriefSummary.xlsx export)</t>
  </si>
  <si>
    <t xml:space="preserve">DEBRIEF KPI SUMMARY — feeds S_Scorecard and Net-Zero km efficiency</t>
  </si>
  <si>
    <t xml:space="preserve">Average Customer Hit %</t>
  </si>
  <si>
    <t xml:space="preserve">≥95% = full score</t>
  </si>
  <si>
    <t xml:space="preserve">Total Excess km (waste driving)</t>
  </si>
  <si>
    <t xml:space="preserve">Target: 0 excess km</t>
  </si>
  <si>
    <t xml:space="preserve">Excess km as % of total planned</t>
  </si>
  <si>
    <t xml:space="preserve">Target: &lt;2%</t>
  </si>
  <si>
    <t xml:space="preserve">Estimated Scope 1 from excess km</t>
  </si>
  <si>
    <t xml:space="preserve">Fleet avg CO₂/km estimate</t>
  </si>
  <si>
    <t xml:space="preserve">Routes &lt;80% customer hit rate</t>
  </si>
  <si>
    <t xml:space="preserve">Target: 0</t>
  </si>
  <si>
    <t xml:space="preserve">Driver fatigue flags this period</t>
  </si>
  <si>
    <t xml:space="preserve">S_DATA — SOCIAL RAW DATA  |  H&amp;S · EE Headcount · Training · Community  [Sources: Accidently / HR / SETA / Cority]</t>
  </si>
  <si>
    <t xml:space="preserve">EMPLOYMENT EQUITY — HEADCOUNT BY OCCUPATIONAL LEVEL &amp; RACE  [EEA2 format | Source: HR payroll system]</t>
  </si>
  <si>
    <t xml:space="preserve">Occupational Level</t>
  </si>
  <si>
    <t xml:space="preserve">Af M</t>
  </si>
  <si>
    <t xml:space="preserve">Col M</t>
  </si>
  <si>
    <t xml:space="preserve">Ind M</t>
  </si>
  <si>
    <t xml:space="preserve">Wht M</t>
  </si>
  <si>
    <t xml:space="preserve">Af F</t>
  </si>
  <si>
    <t xml:space="preserve">Col F</t>
  </si>
  <si>
    <t xml:space="preserve">Ind F</t>
  </si>
  <si>
    <t xml:space="preserve">Wht F</t>
  </si>
  <si>
    <t xml:space="preserve">For M</t>
  </si>
  <si>
    <t xml:space="preserve">For F</t>
  </si>
  <si>
    <t xml:space="preserve">Top Management (EEA2 L1)</t>
  </si>
  <si>
    <t xml:space="preserve">Senior Management (EEA2 L2)</t>
  </si>
  <si>
    <t xml:space="preserve">Professionally Qualified (EEA2 L3)</t>
  </si>
  <si>
    <t xml:space="preserve">Skilled Technical (EEA2 L4)</t>
  </si>
  <si>
    <t xml:space="preserve">Semi-Skilled (EEA2 L5)</t>
  </si>
  <si>
    <t xml:space="preserve">Unskilled (EEA2 L6)</t>
  </si>
  <si>
    <t xml:space="preserve">Non-Permanent</t>
  </si>
  <si>
    <t xml:space="preserve">TOTAL ALL LEVELS</t>
  </si>
  <si>
    <t xml:space="preserve">EE TARGETS &amp; GAP ANALYSIS  [EEA Section 20 targets]</t>
  </si>
  <si>
    <t xml:space="preserve">Level</t>
  </si>
  <si>
    <t xml:space="preserve">Total</t>
  </si>
  <si>
    <t xml:space="preserve">% Black</t>
  </si>
  <si>
    <t xml:space="preserve">Target % Black</t>
  </si>
  <si>
    <t xml:space="preserve">% Black Female</t>
  </si>
  <si>
    <t xml:space="preserve">Target % BlkF</t>
  </si>
  <si>
    <t xml:space="preserve">% PWD</t>
  </si>
  <si>
    <t xml:space="preserve">Target % PWD</t>
  </si>
  <si>
    <t xml:space="preserve">Gap Black</t>
  </si>
  <si>
    <t xml:space="preserve">Score /10</t>
  </si>
  <si>
    <t xml:space="preserve">HEALTH &amp; SAFETY  [ISO 45001 | Source: Accidently system | Cority report | Driver debrief]</t>
  </si>
  <si>
    <t xml:space="preserve">H&amp;S Metric</t>
  </si>
  <si>
    <t xml:space="preserve">Q1 Jul-Sep</t>
  </si>
  <si>
    <t xml:space="preserve">Q2 Oct-Dec</t>
  </si>
  <si>
    <t xml:space="preserve">Q3 Jan-Mar</t>
  </si>
  <si>
    <t xml:space="preserve">Q4 Apr-Jun</t>
  </si>
  <si>
    <t xml:space="preserve">Total employees (for LTIFR calc)</t>
  </si>
  <si>
    <t xml:space="preserve">headcount</t>
  </si>
  <si>
    <t xml:space="preserve">&lt; 2.0</t>
  </si>
  <si>
    <t xml:space="preserve">Source: Coba HR data, 426 FTE excl. labour brokers (constant across quarters pending monthly updates)</t>
  </si>
  <si>
    <t xml:space="preserve">Hours worked YTD</t>
  </si>
  <si>
    <t xml:space="preserve">Fatalities YTD</t>
  </si>
  <si>
    <t xml:space="preserve">Lost Time Injuries YTD</t>
  </si>
  <si>
    <t xml:space="preserve">Source: SHE Incidents register Jul-25 to Apr-26 (Wallace Arends, Ndumiso Mkhize, Joseph Sebeko, Tendani Matumba)</t>
  </si>
  <si>
    <t xml:space="preserve">Medical Treatment Injuries (MTI)</t>
  </si>
  <si>
    <t xml:space="preserve">First Aid Cases</t>
  </si>
  <si>
    <t xml:space="preserve">Near Miss incidents</t>
  </si>
  <si>
    <t xml:space="preserve">Vehicle accidents (fleet)</t>
  </si>
  <si>
    <t xml:space="preserve">Driver fatigue incidents (debrief)</t>
  </si>
  <si>
    <t xml:space="preserve">LTIFR (auto-calc)</t>
  </si>
  <si>
    <t xml:space="preserve">TRIFR (LTI+MTI per M hrs)</t>
  </si>
  <si>
    <t xml:space="preserve">&lt; 4.0</t>
  </si>
  <si>
    <t xml:space="preserve">H&amp;S training hours YTD</t>
  </si>
  <si>
    <t xml:space="preserve">% employees with H&amp;S induction</t>
  </si>
  <si>
    <t xml:space="preserve">percent</t>
  </si>
  <si>
    <t xml:space="preserve">Safety files active (all suppliers)</t>
  </si>
  <si>
    <t xml:space="preserve">Yes/No</t>
  </si>
  <si>
    <t xml:space="preserve">WSP / ATR — WORKPLACE SKILLS PLAN &amp; ANNUAL TRAINING REPORT  [Source: HR | SETA submission | SDL returns]</t>
  </si>
  <si>
    <t xml:space="preserve">Target/Requirement</t>
  </si>
  <si>
    <t xml:space="preserve">Score /5</t>
  </si>
  <si>
    <t xml:space="preserve">Leviable payroll (R)</t>
  </si>
  <si>
    <t xml:space="preserve">SDL Act s3</t>
  </si>
  <si>
    <t xml:space="preserve">Source: SG Consumer (Coba) HR data — payroll excl. labour brokers, 27 May 2026</t>
  </si>
  <si>
    <t xml:space="preserve">SDL levy paid (1% of payroll)</t>
  </si>
  <si>
    <t xml:space="preserve">1% mandatory</t>
  </si>
  <si>
    <t xml:space="preserve">WSP submitted to SETA (Y/N)</t>
  </si>
  <si>
    <t xml:space="preserve">Yes by 30 Apr</t>
  </si>
  <si>
    <t xml:space="preserve">ATR submitted to SETA (Y/N)</t>
  </si>
  <si>
    <t xml:space="preserve">Mandatory grant claimed (R)</t>
  </si>
  <si>
    <t xml:space="preserve">20% of SDL levy</t>
  </si>
  <si>
    <t xml:space="preserve">Discretionary grant applied (R)</t>
  </si>
  <si>
    <t xml:space="preserve">Up to 49.5%</t>
  </si>
  <si>
    <t xml:space="preserve">Total training hours delivered</t>
  </si>
  <si>
    <t xml:space="preserve">≥40 hrs/employee</t>
  </si>
  <si>
    <t xml:space="preserve">Training spend (R)</t>
  </si>
  <si>
    <t xml:space="preserve">≥1% payroll</t>
  </si>
  <si>
    <t xml:space="preserve">% employees with training YTD</t>
  </si>
  <si>
    <t xml:space="preserve">Black employees trained (%)</t>
  </si>
  <si>
    <t xml:space="preserve">≥70% of trained</t>
  </si>
  <si>
    <t xml:space="preserve">Female employees trained (%)</t>
  </si>
  <si>
    <t xml:space="preserve">≥50% of trained</t>
  </si>
  <si>
    <t xml:space="preserve">Youth (≤35) trained (%)</t>
  </si>
  <si>
    <t xml:space="preserve">≥30% of trained</t>
  </si>
  <si>
    <t xml:space="preserve">PWD employees trained (%)</t>
  </si>
  <si>
    <t xml:space="preserve">≥2% of trained</t>
  </si>
  <si>
    <t xml:space="preserve">OFO CODES — TRAINING INTERVENTIONS  [WSP mandatory — aligned to SETA OFO database]</t>
  </si>
  <si>
    <t xml:space="preserve">OFO Code</t>
  </si>
  <si>
    <t xml:space="preserve">Occupation</t>
  </si>
  <si>
    <t xml:space="preserve">Learners (#)</t>
  </si>
  <si>
    <t xml:space="preserve">Programme</t>
  </si>
  <si>
    <t xml:space="preserve">Duration</t>
  </si>
  <si>
    <t xml:space="preserve">SETA</t>
  </si>
  <si>
    <t xml:space="preserve">911101</t>
  </si>
  <si>
    <t xml:space="preserve">Heavy Motor Vehicle Drivers</t>
  </si>
  <si>
    <t xml:space="preserve">Fatigue Risk Management</t>
  </si>
  <si>
    <t xml:space="preserve">2 days</t>
  </si>
  <si>
    <t xml:space="preserve">TETA</t>
  </si>
  <si>
    <t xml:space="preserve">WSP</t>
  </si>
  <si>
    <t xml:space="preserve">Scope 1 fuel efficiency</t>
  </si>
  <si>
    <t xml:space="preserve">Defensive/Eco Driving</t>
  </si>
  <si>
    <t xml:space="preserve">1 day</t>
  </si>
  <si>
    <t xml:space="preserve">Fleet CO₂ reduction</t>
  </si>
  <si>
    <t xml:space="preserve">334101</t>
  </si>
  <si>
    <t xml:space="preserve">SHEQ Officers</t>
  </si>
  <si>
    <t xml:space="preserve">ISO 14001 Environmental Audit</t>
  </si>
  <si>
    <t xml:space="preserve">5 days</t>
  </si>
  <si>
    <t xml:space="preserve">WRSETA</t>
  </si>
  <si>
    <t xml:space="preserve">Environmental compliance</t>
  </si>
  <si>
    <t xml:space="preserve">ISO 45001 H&amp;S Management</t>
  </si>
  <si>
    <t xml:space="preserve">3 days</t>
  </si>
  <si>
    <t xml:space="preserve">H&amp;S compliance</t>
  </si>
  <si>
    <t xml:space="preserve">241301</t>
  </si>
  <si>
    <t xml:space="preserve">HR Practitioners</t>
  </si>
  <si>
    <t xml:space="preserve">EEA Reporting &amp; EE Plan</t>
  </si>
  <si>
    <t xml:space="preserve">Social — EE Act</t>
  </si>
  <si>
    <t xml:space="preserve">121101</t>
  </si>
  <si>
    <t xml:space="preserve">Operations Managers</t>
  </si>
  <si>
    <t xml:space="preserve">ESG Reporting &amp; Net-Zero</t>
  </si>
  <si>
    <t xml:space="preserve">All pillars</t>
  </si>
  <si>
    <t xml:space="preserve">413201</t>
  </si>
  <si>
    <t xml:space="preserve">Data Capturers</t>
  </si>
  <si>
    <t xml:space="preserve">ESG Data Management</t>
  </si>
  <si>
    <t xml:space="preserve">Data quality</t>
  </si>
  <si>
    <t xml:space="preserve">732101</t>
  </si>
  <si>
    <t xml:space="preserve">Forklift Operators</t>
  </si>
  <si>
    <t xml:space="preserve">Electric Forklift Certification</t>
  </si>
  <si>
    <t xml:space="preserve">EV transition</t>
  </si>
  <si>
    <t xml:space="preserve">912101</t>
  </si>
  <si>
    <t xml:space="preserve">Warehouse Workers</t>
  </si>
  <si>
    <t xml:space="preserve">Environmental Awareness</t>
  </si>
  <si>
    <t xml:space="preserve">ISO 14001 awareness</t>
  </si>
  <si>
    <t xml:space="preserve">Add more rows below →</t>
  </si>
  <si>
    <t xml:space="preserve">COMMUNITY &amp; SOCIAL INVESTMENT  [CSI | Social Calendar 2026 | ISO 26000]</t>
  </si>
  <si>
    <t xml:space="preserve">Initiative</t>
  </si>
  <si>
    <t xml:space="preserve">Beneficiaries</t>
  </si>
  <si>
    <t xml:space="preserve">Spend (R)</t>
  </si>
  <si>
    <t xml:space="preserve">Category</t>
  </si>
  <si>
    <t xml:space="preserve">Mandela Day</t>
  </si>
  <si>
    <t xml:space="preserve">Community service (90-100% Black beneficiaries)</t>
  </si>
  <si>
    <t xml:space="preserve">CSI — Community</t>
  </si>
  <si>
    <t xml:space="preserve">GRI 413</t>
  </si>
  <si>
    <t xml:space="preserve">Casual Day Stickers (Kerin)</t>
  </si>
  <si>
    <t xml:space="preserve">Persons with disabilities (75-90% Black)</t>
  </si>
  <si>
    <t xml:space="preserve">CSI — Disability</t>
  </si>
  <si>
    <t xml:space="preserve">Social inclusion</t>
  </si>
  <si>
    <t xml:space="preserve">Mobility Golf Day</t>
  </si>
  <si>
    <t xml:space="preserve">Charitable fundraiser (75-90% Black)</t>
  </si>
  <si>
    <t xml:space="preserve">CSI — Fundraiser</t>
  </si>
  <si>
    <t xml:space="preserve">CHOC Foundation</t>
  </si>
  <si>
    <t xml:space="preserve">Ongoing</t>
  </si>
  <si>
    <t xml:space="preserve">Childhood cancer support (75-90% Black)</t>
  </si>
  <si>
    <t xml:space="preserve">CSI — Health</t>
  </si>
  <si>
    <t xml:space="preserve">Social impact</t>
  </si>
  <si>
    <t xml:space="preserve">SA Guide Dog Association</t>
  </si>
  <si>
    <t xml:space="preserve">Visually impaired mobility (70-85% Black)</t>
  </si>
  <si>
    <t xml:space="preserve">Friends of Valkenburg Trust</t>
  </si>
  <si>
    <t xml:space="preserve">Mental health support (75-90% Black)</t>
  </si>
  <si>
    <t xml:space="preserve">CSI — Mental Health</t>
  </si>
  <si>
    <t xml:space="preserve">Blanket Drive (Stephanie / SG Mktg)</t>
  </si>
  <si>
    <t xml:space="preserve">May-26</t>
  </si>
  <si>
    <t xml:space="preserve">Winter relief, in-kind (90-100% Black)</t>
  </si>
  <si>
    <t xml:space="preserve">CSI — Community Relief</t>
  </si>
  <si>
    <t xml:space="preserve">Wings of Inspiration</t>
  </si>
  <si>
    <t xml:space="preserve">Charitable movement (90-100% Black)</t>
  </si>
  <si>
    <t xml:space="preserve">Gerald Fitzpatrick Donations</t>
  </si>
  <si>
    <t xml:space="preserve">Elderly women care home (75-90% Black)</t>
  </si>
  <si>
    <t xml:space="preserve">SED — Enterprise Dev</t>
  </si>
  <si>
    <t xml:space="preserve">B-BBEE SED</t>
  </si>
  <si>
    <t xml:space="preserve">Jicama 89</t>
  </si>
  <si>
    <t xml:space="preserve">Children with visual impairments (100% Black)</t>
  </si>
  <si>
    <t xml:space="preserve">TOTAL CSI/SED SPEND YTD (R)</t>
  </si>
  <si>
    <t xml:space="preserve">Budget allocation R45,000 (Coba May 2026)</t>
  </si>
  <si>
    <t xml:space="preserve">G_DATA — GOVERNANCE RAW DATA  [King V | IFRS S1/S2 | GARP/GRAP | POPIA | Board]</t>
  </si>
  <si>
    <t xml:space="preserve">BOARD &amp; GOVERNANCE</t>
  </si>
  <si>
    <t xml:space="preserve">Governance Metric</t>
  </si>
  <si>
    <t xml:space="preserve">Current Value</t>
  </si>
  <si>
    <t xml:space="preserve">Target/Req</t>
  </si>
  <si>
    <t xml:space="preserve">King V Ref</t>
  </si>
  <si>
    <t xml:space="preserve">Board members (total)</t>
  </si>
  <si>
    <t xml:space="preserve">Source: Coba 27 May 2026 — SG Holdings Ltd Board: 2 Exec (Mountford CEO, Brown CFO) + 5 NEDs (Chitalu Chair, Cathrall Lead Ind, Mehlomakulu, Mnisi, Phalane). John Mackay = Co Sec.</t>
  </si>
  <si>
    <t xml:space="preserve">P1-P16</t>
  </si>
  <si>
    <t xml:space="preserve">Independent non-executive directors</t>
  </si>
  <si>
    <t xml:space="preserve">Source: Coba 27 May 2026 — 5 of 5 NEDs disclosed as Independent (Chitalu, Cathrall, Mehlomakulu, Mnisi, Phalane)</t>
  </si>
  <si>
    <t xml:space="preserve">Executive directors</t>
  </si>
  <si>
    <t xml:space="preserve">Source: Coba 27 May 2026 — Group ED: Peter Mountford (CEO), Colin Brown (CFO/Debt Officer). [Prior placeholder of 5 referred to SG Consumer divisional execs — different scope.]</t>
  </si>
  <si>
    <t xml:space="preserve">% Black board members</t>
  </si>
  <si>
    <t xml:space="preserve">Source: Coba 27 May 2026 — Black SA directors: Mehlomakulu, Mnisi, Phalane (3 of 7). Note: Chitalu (Zambian Chair) is African but not SA-EEA Black designated. Confirm classification with Co Sec.</t>
  </si>
  <si>
    <t xml:space="preserve">% Female board members</t>
  </si>
  <si>
    <t xml:space="preserve">Source: Coba 27 May 2026 — 1 female NED (Pitsi Mnisi) of 7. Gap vs 50% target = -35.7pp. Material gender diversity risk.</t>
  </si>
  <si>
    <t xml:space="preserve">Board meetings held YTD</t>
  </si>
  <si>
    <t xml:space="preserve">Source: Inferred JSE-listed minimum (4/yr). Awaiting confirmation from Company Secretary John Mackay.</t>
  </si>
  <si>
    <t xml:space="preserve">Audit committee meetings YTD</t>
  </si>
  <si>
    <t xml:space="preserve">Source: Coba 27 May 2026 — Cathrall chairs Audit Committee; assumed 4 meetings YTD (confirm minute count from Co Sec).</t>
  </si>
  <si>
    <t xml:space="preserve">Risk committee active (Y/N)</t>
  </si>
  <si>
    <t xml:space="preserve">Source: Coba 27 May 2026 — Cathrall confirmed as Risk Committee Chair. [Updated from "Partial".]</t>
  </si>
  <si>
    <t xml:space="preserve">Social &amp; Ethics committee active (Y/N)</t>
  </si>
  <si>
    <t xml:space="preserve">Group Social and Ethics Committee — CSI/SED Policy §7 (identifies/approves/coordinates CSI &amp; SED initiatives and budgets; monitors all CSI/SED expenditure)</t>
  </si>
  <si>
    <t xml:space="preserve">ESG linked to executive remuneration (Y/N)</t>
  </si>
  <si>
    <t xml:space="preserve">Not disclosed in supplied policies — confirm from Remco report</t>
  </si>
  <si>
    <t xml:space="preserve">Code of ethics in place (Y/N)</t>
  </si>
  <si>
    <t xml:space="preserve">Super Group Code of Business Standards and Ethics — Rev 2, 30 Jan 2023, approved by SG Executive Committee (Public disclosure)</t>
  </si>
  <si>
    <t xml:space="preserve">Whistleblower hotline active (Y/N)</t>
  </si>
  <si>
    <t xml:space="preserve">Source: Coba 27 May 2026 confirmed — Be Heard (https://beheard.co.za/make-a-disclosure/) 0800-007-117 anonymous 24/365. Case-count/response-time data requested from HO, confidential at Group level.</t>
  </si>
  <si>
    <t xml:space="preserve">POPIA Information Officer appointed (Y/N)</t>
  </si>
  <si>
    <t xml:space="preserve">Partial</t>
  </si>
  <si>
    <t xml:space="preserve">POPI Act compliance framework in place (Code of Ethics §6); SG Consumer POPI consent operational (Jan 2026 letter). Formal Information Officer appointment letter required as evidence.</t>
  </si>
  <si>
    <t xml:space="preserve">POPIA impact assessment done (Y/N)</t>
  </si>
  <si>
    <t xml:space="preserve">Active POPI consent process suggests assessment performed — formal PIA documentation required as evidence</t>
  </si>
  <si>
    <t xml:space="preserve">External assurance of ESG report (Y/N)</t>
  </si>
  <si>
    <t xml:space="preserve">Not disclosed in supplied policies — confirm from latest integrated report</t>
  </si>
  <si>
    <t xml:space="preserve">Integrated report published (Y/N)</t>
  </si>
  <si>
    <t xml:space="preserve">Source: Coba 27 May 2026 — SG Holdings JSE-listed publishes Integrated Report incl. ESG section (Group level). CSI/SED Policy §15(b)(v) confirms.</t>
  </si>
  <si>
    <t xml:space="preserve">Risk register updated (Y/N)</t>
  </si>
  <si>
    <t xml:space="preserve">Risk-based approach evidenced (Code of Ethics §11 — pragmatic risk-based environmental performance); formal risk register documentation required</t>
  </si>
  <si>
    <t xml:space="preserve">Number of material risks identified</t>
  </si>
  <si>
    <t xml:space="preserve">Not disclosed in supplied policies — confirm count from risk register</t>
  </si>
  <si>
    <t xml:space="preserve">Climate risk in risk register (Y/N)</t>
  </si>
  <si>
    <t xml:space="preserve">GHG/emissions commitments in Code of Ethics §11; explicit climate risk in formal register requires confirmation</t>
  </si>
  <si>
    <t xml:space="preserve">Anti-corruption training done (Y/N)</t>
  </si>
  <si>
    <t xml:space="preserve">Code of Ethics §8 and Supplier Code §5 establish zero-tolerance anti-bribery/corruption framework + whistleblower hotline; formal training records required as evidence</t>
  </si>
  <si>
    <t xml:space="preserve">GOVERNANCE TOTAL SCORE (out of 100)</t>
  </si>
  <si>
    <t xml:space="preserve">EE SCORECARD — Employment Equity Act | EEA2 Reporting | GRI 405  [Links: S_Data headcount]</t>
  </si>
  <si>
    <t xml:space="preserve">EE SCORE CARD — Weighted scoring aligned to EEA &amp; B-BBEE Management Control</t>
  </si>
  <si>
    <t xml:space="preserve">EE Indicator</t>
  </si>
  <si>
    <t xml:space="preserve">Actual</t>
  </si>
  <si>
    <t xml:space="preserve">Standard Ref</t>
  </si>
  <si>
    <t xml:space="preserve">% Black (all levels combined)</t>
  </si>
  <si>
    <t xml:space="preserve">60%</t>
  </si>
  <si>
    <t xml:space="preserve">EEA s27 / GRI 405</t>
  </si>
  <si>
    <t xml:space="preserve">% Black female (all levels)</t>
  </si>
  <si>
    <t xml:space="preserve">30%</t>
  </si>
  <si>
    <t xml:space="preserve">% Black Top/Senior Mgmt (L1+L2)</t>
  </si>
  <si>
    <t xml:space="preserve">EEA s27 / King V P4</t>
  </si>
  <si>
    <t xml:space="preserve">% Persons with Disabilities</t>
  </si>
  <si>
    <t xml:space="preserve">2%</t>
  </si>
  <si>
    <t xml:space="preserve">EEA s6 / GRI 405</t>
  </si>
  <si>
    <t xml:space="preserve">EE Plan submitted to DoEL (Y/N)</t>
  </si>
  <si>
    <t xml:space="preserve">EEA s20/21</t>
  </si>
  <si>
    <t xml:space="preserve">EE forum/TDs consulted (Y/N)</t>
  </si>
  <si>
    <t xml:space="preserve">EEA s16</t>
  </si>
  <si>
    <t xml:space="preserve">EE monitoring &amp; reporting (Y/N)</t>
  </si>
  <si>
    <t xml:space="preserve">EEA s19</t>
  </si>
  <si>
    <t xml:space="preserve">Numerical targets set (Y/N)</t>
  </si>
  <si>
    <t xml:space="preserve">EEA s20(2)(b)</t>
  </si>
  <si>
    <t xml:space="preserve">Barriers to EE removed (Y/N)</t>
  </si>
  <si>
    <t xml:space="preserve">EEA s20(2)(c)</t>
  </si>
  <si>
    <t xml:space="preserve">Affirmative measures implemented</t>
  </si>
  <si>
    <t xml:space="preserve">EEA s15</t>
  </si>
  <si>
    <t xml:space="preserve">EE TOTAL SCORE (out of 100)</t>
  </si>
  <si>
    <t xml:space="preserve">EE HEADCOUNT SUMMARY  (from S_Data — update headcount there)</t>
  </si>
  <si>
    <t xml:space="preserve">Top Mgmt</t>
  </si>
  <si>
    <t xml:space="preserve">Senior Mgmt</t>
  </si>
  <si>
    <t xml:space="preserve">Prof Qualified</t>
  </si>
  <si>
    <t xml:space="preserve">Skilled Tech</t>
  </si>
  <si>
    <t xml:space="preserve">Semi-Skilled</t>
  </si>
  <si>
    <t xml:space="preserve">Unskilled</t>
  </si>
  <si>
    <t xml:space="preserve">E SCORECARD — Environmental Performance vs 100 pts  |  Net-Zero Lens  |  Links: E_Data</t>
  </si>
  <si>
    <t xml:space="preserve">Indicator</t>
  </si>
  <si>
    <t xml:space="preserve">Max
Pts</t>
  </si>
  <si>
    <t xml:space="preserve">Actual
(auto)</t>
  </si>
  <si>
    <t xml:space="preserve">Data Source</t>
  </si>
  <si>
    <t xml:space="preserve">Net-Zero Action</t>
  </si>
  <si>
    <t xml:space="preserve">Audit / Calculation</t>
  </si>
  <si>
    <t xml:space="preserve">── GHG ──</t>
  </si>
  <si>
    <t xml:space="preserve">GHG: Scope 1 baseline established &amp; tracked</t>
  </si>
  <si>
    <t xml:space="preserve">5</t>
  </si>
  <si>
    <t xml:space="preserve">E_Data Fleet</t>
  </si>
  <si>
    <t xml:space="preserve">IFRS S2 / GHG Protocol</t>
  </si>
  <si>
    <t xml:space="preserve">Baseline year: FY2025/26</t>
  </si>
  <si>
    <t xml:space="preserve">Existence: E_Data!L19 (Fleet diesel YTD) &gt; 0 → full 5 pts</t>
  </si>
  <si>
    <t xml:space="preserve">GHG: Scope 1 reduction vs prior year</t>
  </si>
  <si>
    <t xml:space="preserve">10</t>
  </si>
  <si>
    <t xml:space="preserve">E_Data GHG</t>
  </si>
  <si>
    <t xml:space="preserve">SBTi near-term / IFRS S2</t>
  </si>
  <si>
    <t xml:space="preserve">Target: -10% YoY → -50% by 2030</t>
  </si>
  <si>
    <t xml:space="preserve">YoY reduction = (baseline-current)/baseline. Target = THR_GHG_YOY (Assumptions B36). Banded × stance floor.</t>
  </si>
  <si>
    <t xml:space="preserve">GHG: Scope 2 net reduction (solar offset)</t>
  </si>
  <si>
    <t xml:space="preserve">E_Data Solar</t>
  </si>
  <si>
    <t xml:space="preserve">RE100 / GRI 305-2</t>
  </si>
  <si>
    <t xml:space="preserve">Expand solar all depots by 2027</t>
  </si>
  <si>
    <t xml:space="preserve">Solar % of gross Scope 2 = -E_Data!M81/M80. Target = THR_RE (20%). Banded.</t>
  </si>
  <si>
    <t xml:space="preserve">GHG: Scope 3 tracking initiated</t>
  </si>
  <si>
    <t xml:space="preserve">E_Data Scope3</t>
  </si>
  <si>
    <t xml:space="preserve">GHG Protocol S3 / IFRS S2</t>
  </si>
  <si>
    <t xml:space="preserve">Water, value chain, business travel</t>
  </si>
  <si>
    <t xml:space="preserve">Existence: E_Data!L63 (Water kL YTD) &gt; 0 → full 5 pts (Scope 3 tracking initiated)</t>
  </si>
  <si>
    <t xml:space="preserve">GHG: Net-zero target formally set (SBTi)</t>
  </si>
  <si>
    <t xml:space="preserve">Submit commitment letter FY2026</t>
  </si>
  <si>
    <t xml:space="preserve">Net-zero target year set in Assumptions ENT_NZ (B105). 2030-2060 = full; other = half; blank = 0</t>
  </si>
  <si>
    <t xml:space="preserve">── Energy ──</t>
  </si>
  <si>
    <t xml:space="preserve">Energy: kWh data tracked monthly (all 5 depots)</t>
  </si>
  <si>
    <t xml:space="preserve">E_Data Elec</t>
  </si>
  <si>
    <t xml:space="preserve">GRI 302-1</t>
  </si>
  <si>
    <t xml:space="preserve">Monthly utility bill reconciliation</t>
  </si>
  <si>
    <t xml:space="preserve">Existence: E_Data!L46 (Electricity kWh YTD) &gt; 0 → full 5 pts</t>
  </si>
  <si>
    <t xml:space="preserve">Energy: Energy efficiency improvement YoY</t>
  </si>
  <si>
    <t xml:space="preserve">GRI 302-4 / ISO 14001</t>
  </si>
  <si>
    <t xml:space="preserve">LED retrofit; efficient cold chain</t>
  </si>
  <si>
    <t xml:space="preserve">Pending: requires prior-year kWh baseline. Add to E_Data and reformulate. Currently 0.</t>
  </si>
  <si>
    <t xml:space="preserve">Energy: % renewable electricity ≥20%</t>
  </si>
  <si>
    <t xml:space="preserve">RE100 / IFRS S2</t>
  </si>
  <si>
    <t xml:space="preserve">Solar at all 5 depots by 2028</t>
  </si>
  <si>
    <t xml:space="preserve">Solar kWh ÷ Total grid kWh. Target = THR_RE (20%). Banded × stance.</t>
  </si>
  <si>
    <t xml:space="preserve">── Fleet ──</t>
  </si>
  <si>
    <t xml:space="preserve">Fleet: L/100km within norm (all vehicles)</t>
  </si>
  <si>
    <t xml:space="preserve">SASB TR-AU / GRI 302</t>
  </si>
  <si>
    <t xml:space="preserve">Eco-driving training: -10% L/100km</t>
  </si>
  <si>
    <t xml:space="preserve">% of vehicles with K (L/100km actual) ≤ L (norm) × tolerance (THR_FUEL_TOL=1.05). Currently low because monthly km/litres not yet logged per vehicle.</t>
  </si>
  <si>
    <t xml:space="preserve">Fleet: Fleet CO₂ per tonne-km tracked</t>
  </si>
  <si>
    <t xml:space="preserve">Fleet_Register + tonnage</t>
  </si>
  <si>
    <t xml:space="preserve">IFRS S2 / GRI 305</t>
  </si>
  <si>
    <t xml:space="preserve">Monthly intensity reporting</t>
  </si>
  <si>
    <t xml:space="preserve">Existence: any vehicle with both carry capacity (F) and km logged (I) → full 5 pts</t>
  </si>
  <si>
    <t xml:space="preserve">Fleet: EV vehicles as % of fleet</t>
  </si>
  <si>
    <t xml:space="preserve">SBTi Scope 3 / IFRS S2</t>
  </si>
  <si>
    <t xml:space="preserve">20% EV target by 2030</t>
  </si>
  <si>
    <t xml:space="preserve">EV count ÷ total fleet (Fleet_Register row 28). Target = THR_EV_MIN (5% current). Banded.</t>
  </si>
  <si>
    <t xml:space="preserve">── Waste ──</t>
  </si>
  <si>
    <t xml:space="preserve">Waste: Diversion rate ≥75% (target 91%+)</t>
  </si>
  <si>
    <t xml:space="preserve">GRI 306 / ISO 14001</t>
  </si>
  <si>
    <t xml:space="preserve">Extend Oricol CPT to all depots</t>
  </si>
  <si>
    <t xml:space="preserve">Waste_Register!B16 (Oricol CPT diversion %). Target = THR_WASTE (75%). Banded.</t>
  </si>
  <si>
    <t xml:space="preserve">Waste: Cardboard recycling tracked (Cority)</t>
  </si>
  <si>
    <t xml:space="preserve">E_Data Waste</t>
  </si>
  <si>
    <t xml:space="preserve">Monthly depot reporting</t>
  </si>
  <si>
    <t xml:space="preserve">Existence: Cority average % recycled (Waste_Register B17) &gt; 0 → full 4 pts</t>
  </si>
  <si>
    <t xml:space="preserve">Waste: Landfill tCO₂e tracked</t>
  </si>
  <si>
    <t xml:space="preserve">GRI 306-3</t>
  </si>
  <si>
    <t xml:space="preserve">Minimise landfill send</t>
  </si>
  <si>
    <t xml:space="preserve">Existence: Waste_Register B18 (Landfill tCO₂e YTD) &gt; 0 → full 3 pts</t>
  </si>
  <si>
    <t xml:space="preserve">── Water ──</t>
  </si>
  <si>
    <t xml:space="preserve">Water: Monthly consumption tracked (all depots)</t>
  </si>
  <si>
    <t xml:space="preserve">E_Data Water</t>
  </si>
  <si>
    <t xml:space="preserve">GRI 303-1</t>
  </si>
  <si>
    <t xml:space="preserve">CT dam project; DBN monitoring</t>
  </si>
  <si>
    <t xml:space="preserve">Existence: E_Data!L63 (Water kL YTD) &gt; 0 → full 4 pts</t>
  </si>
  <si>
    <t xml:space="preserve">Water: Water efficiency initiative active</t>
  </si>
  <si>
    <t xml:space="preserve">GRI 303-3</t>
  </si>
  <si>
    <t xml:space="preserve">CT dam, DBN 20kL project</t>
  </si>
  <si>
    <t xml:space="preserve">Pending: requires water efficiency initiative Y/N flag in G_Data. Currently 0.</t>
  </si>
  <si>
    <t xml:space="preserve">── ISO ──</t>
  </si>
  <si>
    <t xml:space="preserve">ISO 14001: Certification achieved/in progress</t>
  </si>
  <si>
    <t xml:space="preserve">ISO 14001</t>
  </si>
  <si>
    <t xml:space="preserve">Target date confirm with Maria</t>
  </si>
  <si>
    <t xml:space="preserve">Pending: requires ISO 14001 cert status (Y/N) from ISO_Tracker. Currently 0.</t>
  </si>
  <si>
    <t xml:space="preserve">ISO 14001: Aspects register maintained</t>
  </si>
  <si>
    <t xml:space="preserve">ISO 14001 cl 6.1.2</t>
  </si>
  <si>
    <t xml:space="preserve">Fleet diesel dominant aspect</t>
  </si>
  <si>
    <t xml:space="preserve">Pending: aspects register Y/N from ISO_Tracker. Currently 0.</t>
  </si>
  <si>
    <t xml:space="preserve">Environmental policy — board approved</t>
  </si>
  <si>
    <t xml:space="preserve">King V P1 / ISO 14001</t>
  </si>
  <si>
    <t xml:space="preserve">Include net-zero commitment</t>
  </si>
  <si>
    <t xml:space="preserve">Pending: env policy approval Y/N from G_Data row 23. Currently 0.</t>
  </si>
  <si>
    <t xml:space="preserve">NEMA/NWA/NEMWA legal compliance</t>
  </si>
  <si>
    <t xml:space="preserve">NEMA / NWA</t>
  </si>
  <si>
    <t xml:space="preserve">Legal register quarterly</t>
  </si>
  <si>
    <t xml:space="preserve">Pending: legal compliance status from ISO_Tracker. Currently 0.</t>
  </si>
  <si>
    <t xml:space="preserve">E SCORECARD TOTAL</t>
  </si>
  <si>
    <t xml:space="preserve">108 pts max</t>
  </si>
  <si>
    <t xml:space="preserve">S SCORECARD — Social Performance vs 100 pts  |  EE · WSP/ATR · H&amp;S · Community  |  Links: S_Data</t>
  </si>
  <si>
    <t xml:space="preserve">EE/WSP Action</t>
  </si>
  <si>
    <t xml:space="preserve">── EE ──</t>
  </si>
  <si>
    <t xml:space="preserve">EE: % Black employees (all levels) vs 60% target</t>
  </si>
  <si>
    <t xml:space="preserve">EEA s27 / GRI 405-1</t>
  </si>
  <si>
    <t xml:space="preserve">EE act compliance</t>
  </si>
  <si>
    <t xml:space="preserve">% Black (EE_Scorecard B5) ÷ THR_BLACK (60%). Banded × stance.</t>
  </si>
  <si>
    <t xml:space="preserve">EE: % Black female management (L1-L3) vs 30%</t>
  </si>
  <si>
    <t xml:space="preserve">S_Data EE</t>
  </si>
  <si>
    <t xml:space="preserve">EEA s27 / B-BBEE Mgt Control</t>
  </si>
  <si>
    <t xml:space="preserve">Pipeline — promote Black females</t>
  </si>
  <si>
    <t xml:space="preserve">% Black female at L1+L2 (S_Data) ÷ THR_BFM (30%). Banded × stance.</t>
  </si>
  <si>
    <t xml:space="preserve">EE: EE Plan submitted &amp; compliant</t>
  </si>
  <si>
    <t xml:space="preserve">S_Data WSP</t>
  </si>
  <si>
    <t xml:space="preserve">Annual DoEL submission</t>
  </si>
  <si>
    <t xml:space="preserve">EE Plan submitted (EE_Scorecard B9). Yes=5, Partial=2.5, No=0</t>
  </si>
  <si>
    <t xml:space="preserve">EE: % Persons with Disabilities vs 2%</t>
  </si>
  <si>
    <t xml:space="preserve">EEA s6</t>
  </si>
  <si>
    <t xml:space="preserve">PWD target per level</t>
  </si>
  <si>
    <t xml:space="preserve">% PWD (EE_Scorecard B8) ÷ THR_PWD (2%). Banded.</t>
  </si>
  <si>
    <t xml:space="preserve">EE: EE forum/TD consultation active</t>
  </si>
  <si>
    <t xml:space="preserve">Monthly TDs meeting</t>
  </si>
  <si>
    <t xml:space="preserve">EE forum active (EE_Scorecard B10). Y/N.</t>
  </si>
  <si>
    <t xml:space="preserve">EE: EE numerical targets set and tracked</t>
  </si>
  <si>
    <t xml:space="preserve">Targets per level/race/gender</t>
  </si>
  <si>
    <t xml:space="preserve">EE numerical targets set (EE_Scorecard B12). Y/N.</t>
  </si>
  <si>
    <t xml:space="preserve">── WSP ──</t>
  </si>
  <si>
    <t xml:space="preserve">WSP: WSP submitted to SETA on time</t>
  </si>
  <si>
    <t xml:space="preserve">SDL Act s10 / GRI 404</t>
  </si>
  <si>
    <t xml:space="preserve">Deadline: 30 April annually</t>
  </si>
  <si>
    <t xml:space="preserve">WSP submitted Y/N (S_Data B45). Yes=5, No=0</t>
  </si>
  <si>
    <t xml:space="preserve">WSP: ATR submitted on time</t>
  </si>
  <si>
    <t xml:space="preserve">Annual training report</t>
  </si>
  <si>
    <t xml:space="preserve">ATR submitted Y/N (S_Data B46). Yes=5, No=0</t>
  </si>
  <si>
    <t xml:space="preserve">WSP: Training hours per employee ≥40 hours</t>
  </si>
  <si>
    <t xml:space="preserve">GRI 404-1</t>
  </si>
  <si>
    <t xml:space="preserve">Net-zero + EE-aligned programmes</t>
  </si>
  <si>
    <t xml:space="preserve">Total training hrs (S_Data B49) ÷ total employees (L12). Target = THR_TRAIN_HR (40). Banded.</t>
  </si>
  <si>
    <t xml:space="preserve">WSP: Mandatory grant recovery ≥80%</t>
  </si>
  <si>
    <t xml:space="preserve">SDL Act s11</t>
  </si>
  <si>
    <t xml:space="preserve">Mandatory grant claim deadline</t>
  </si>
  <si>
    <t xml:space="preserve">Grant claimed (S_Data B47) ÷ SDL levy (B44). Target = THR_GRANT (80%). Banded.</t>
  </si>
  <si>
    <t xml:space="preserve">── H&amp;S ──</t>
  </si>
  <si>
    <t xml:space="preserve">H&amp;S: LTIFR ≤ 2.0</t>
  </si>
  <si>
    <t xml:space="preserve">S_Data H&amp;S</t>
  </si>
  <si>
    <t xml:space="preserve">ISO 45001 / GRI 403-9</t>
  </si>
  <si>
    <t xml:space="preserve">Fatigue management key lever</t>
  </si>
  <si>
    <t xml:space="preserve">LTIFR (S_Data G35). Target ≤ THR_LTIFR (2.0). Inverse banded × stance.</t>
  </si>
  <si>
    <t xml:space="preserve">H&amp;S: Zero fatalities</t>
  </si>
  <si>
    <t xml:space="preserve">GRI 403-9 / OHS Act</t>
  </si>
  <si>
    <t xml:space="preserve">Absolute priority</t>
  </si>
  <si>
    <t xml:space="preserve">Fatalities YTD (S_Data G28). Zero = full 8 pts; any fatality = 0 (absolute priority).</t>
  </si>
  <si>
    <t xml:space="preserve">H&amp;S: Driver fatigue programme active</t>
  </si>
  <si>
    <t xml:space="preserve">ISO 45001 / TETA</t>
  </si>
  <si>
    <t xml:space="preserve">All 77 drivers trained annually</t>
  </si>
  <si>
    <t xml:space="preserve">Driver fatigue training learners count (S_Data C59) &gt; 0 → full 5 pts</t>
  </si>
  <si>
    <t xml:space="preserve">H&amp;S: Incident investigation rate 100%</t>
  </si>
  <si>
    <t xml:space="preserve">ISO 45001 / OHS Act</t>
  </si>
  <si>
    <t xml:space="preserve">Accidently system all depots</t>
  </si>
  <si>
    <t xml:space="preserve">Incidents being logged (S_Data G29:G33 sum &gt; 0) → full 4 pts. Refinement: link to G_Data investigation Y/N.</t>
  </si>
  <si>
    <t xml:space="preserve">── Community ──</t>
  </si>
  <si>
    <t xml:space="preserve">Community: CSI/SED spend ≥1% NPAT</t>
  </si>
  <si>
    <t xml:space="preserve">S_Data Community</t>
  </si>
  <si>
    <t xml:space="preserve">GRI 413-1 / B-BBEE SED</t>
  </si>
  <si>
    <t xml:space="preserve">Align to social calendar</t>
  </si>
  <si>
    <t xml:space="preserve">Pending: requires NPAT input in G_Data + sum of S_Data D72:D79 (CSI spend). Currently 0.</t>
  </si>
  <si>
    <t xml:space="preserve">Community: Social calendar initiatives ≥6 pa</t>
  </si>
  <si>
    <t xml:space="preserve">ISO 26000 / King V P2</t>
  </si>
  <si>
    <t xml:space="preserve">2026 calendar active</t>
  </si>
  <si>
    <t xml:space="preserve">Count of CSI initiatives (S_Data A72:A79). Target = 6 pa. Banded.</t>
  </si>
  <si>
    <t xml:space="preserve">Community: Local labour procurement ≥40%</t>
  </si>
  <si>
    <t xml:space="preserve">B-BBEE ESD / GRI 204</t>
  </si>
  <si>
    <t xml:space="preserve">Preferential procurement</t>
  </si>
  <si>
    <t xml:space="preserve">Pending: requires local procurement % input in S_Data. Currently 0.</t>
  </si>
  <si>
    <t xml:space="preserve">── Supplier ──</t>
  </si>
  <si>
    <t xml:space="preserve">Supplier: IMS-T-149 H&amp;S compliance ≥80%</t>
  </si>
  <si>
    <t xml:space="preserve">GRI 308 / ISO 26000</t>
  </si>
  <si>
    <t xml:space="preserve">Safety file check each supplier</t>
  </si>
  <si>
    <t xml:space="preserve">Pending: SAQ_Supplier aggregate score required. Currently 0.</t>
  </si>
  <si>
    <t xml:space="preserve">Supplier: Supplier food safety rating</t>
  </si>
  <si>
    <t xml:space="preserve">ISO 22000 / GRI 416</t>
  </si>
  <si>
    <t xml:space="preserve">Cold chain quality standards</t>
  </si>
  <si>
    <t xml:space="preserve">Pending: SAQ_Supplier food safety aggregate required. Currently 0.</t>
  </si>
  <si>
    <t xml:space="preserve">S SCORECARD TOTAL</t>
  </si>
  <si>
    <t xml:space="preserve">G SCORECARD — Governance vs 100 pts  |  King V · IFRS S1/S2 · GARP/GRAP · POPIA · ISO 27001</t>
  </si>
  <si>
    <t xml:space="preserve">Action</t>
  </si>
  <si>
    <t xml:space="preserve">── King V ──</t>
  </si>
  <si>
    <t xml:space="preserve">King V: Score ≥70% (Apply &amp; Explain)</t>
  </si>
  <si>
    <t xml:space="preserve">King V all 17 principles</t>
  </si>
  <si>
    <t xml:space="preserve">Board apply &amp; explain all principles</t>
  </si>
  <si>
    <t xml:space="preserve">King V total (King5_Scorecard E21) ÷ 170 × 25. THR_KING (70%) is the rating threshold.</t>
  </si>
  <si>
    <t xml:space="preserve">King V: Social &amp; Ethics Committee established</t>
  </si>
  <si>
    <t xml:space="preserve">King V P5 / Companies Act s72</t>
  </si>
  <si>
    <t xml:space="preserve">S&amp;EC ToR and meetings minutes</t>
  </si>
  <si>
    <t xml:space="preserve">S&amp;E Committee active (G_Data F13). Scaled to max 5 pts.</t>
  </si>
  <si>
    <t xml:space="preserve">King V: ESG-linked executive remuneration</t>
  </si>
  <si>
    <t xml:space="preserve">King V P6 / GRI 201</t>
  </si>
  <si>
    <t xml:space="preserve">ESG KPIs in exec contracts</t>
  </si>
  <si>
    <t xml:space="preserve">ESG-linked remuneration (G_Data F14). Scaled to max 5 pts.</t>
  </si>
  <si>
    <t xml:space="preserve">── IFRS ──</t>
  </si>
  <si>
    <t xml:space="preserve">IFRS: S1/S2 disclosures prepared</t>
  </si>
  <si>
    <t xml:space="preserve">IFRS S1/S2 / TCFD</t>
  </si>
  <si>
    <t xml:space="preserve">Annual ESG/integrated report</t>
  </si>
  <si>
    <t xml:space="preserve">Count of "Yes" disclosures (IFRS_S1_S2 D4:D40) ÷ total rows × max 10 pts</t>
  </si>
  <si>
    <t xml:space="preserve">IFRS: Climate risk in board agenda</t>
  </si>
  <si>
    <t xml:space="preserve">IFRS S2 / King V P10</t>
  </si>
  <si>
    <t xml:space="preserve">Quarterly risk review</t>
  </si>
  <si>
    <t xml:space="preserve">Climate risk in register (G_Data F23). Scaled to max 5 pts.</t>
  </si>
  <si>
    <t xml:space="preserve">── GARP ──</t>
  </si>
  <si>
    <t xml:space="preserve">GARP: ERM framework includes ESG/climate risks</t>
  </si>
  <si>
    <t xml:space="preserve">GARP ERM / IFRS S1</t>
  </si>
  <si>
    <t xml:space="preserve">10 material ESG risks identified</t>
  </si>
  <si>
    <t xml:space="preserve">Risk register updated (G_Data F21) AND climate risk included (F23) → full 8; only one → 4; neither → 0</t>
  </si>
  <si>
    <t xml:space="preserve">── GRAP ──</t>
  </si>
  <si>
    <t xml:space="preserve">GARP: GRAP public interest compliance</t>
  </si>
  <si>
    <t xml:space="preserve">Companies Act s93</t>
  </si>
  <si>
    <t xml:space="preserve">PI score ≥500 monitored</t>
  </si>
  <si>
    <t xml:space="preserve">Board structure exists (G_Data F5 board count). 5 pts if board &gt; 0.</t>
  </si>
  <si>
    <t xml:space="preserve">── ISO 27001 ──</t>
  </si>
  <si>
    <t xml:space="preserve">ISO 27001: POPIA Information Officer appointed</t>
  </si>
  <si>
    <t xml:space="preserve">POPIA Act / ISO 27001</t>
  </si>
  <si>
    <t xml:space="preserve">s55 appointment letter</t>
  </si>
  <si>
    <t xml:space="preserve">POPIA Info Officer appointed (G_Data F17). Scaled to max 5 pts.</t>
  </si>
  <si>
    <t xml:space="preserve">ISO 27001: Cyber/data risk assessed</t>
  </si>
  <si>
    <t xml:space="preserve">ISO 27001 / King V P9</t>
  </si>
  <si>
    <t xml:space="preserve">Annual cyber risk assessment</t>
  </si>
  <si>
    <t xml:space="preserve">POPIA impact assessment done (G_Data F18). Scaled to max 5 pts.</t>
  </si>
  <si>
    <t xml:space="preserve">── Reporting ──</t>
  </si>
  <si>
    <t xml:space="preserve">Transparency: ESG/Integrated report published</t>
  </si>
  <si>
    <t xml:space="preserve">King V P8/P15 / GRI 2-3</t>
  </si>
  <si>
    <t xml:space="preserve">Annual publication commitment</t>
  </si>
  <si>
    <t xml:space="preserve">Integrated report published (G_Data F20). Rescaled from /5 to /8.</t>
  </si>
  <si>
    <t xml:space="preserve">Transparency: External assurance of ESG report</t>
  </si>
  <si>
    <t xml:space="preserve">ISAE 3000 / King V P11</t>
  </si>
  <si>
    <t xml:space="preserve">Assurance provider engaged</t>
  </si>
  <si>
    <t xml:space="preserve">External assurance of ESG report (G_Data F19). Scaled to max 5 pts.</t>
  </si>
  <si>
    <t xml:space="preserve">── Ethics ──</t>
  </si>
  <si>
    <t xml:space="preserve">Ethics: Code of ethics + hotline active</t>
  </si>
  <si>
    <t xml:space="preserve">King V P1 / GRI 205</t>
  </si>
  <si>
    <t xml:space="preserve">Confidential hotline operational</t>
  </si>
  <si>
    <t xml:space="preserve">Avg of code of ethics (G_Data F15) + whistleblower hotline (F16). Rescaled to /4.</t>
  </si>
  <si>
    <t xml:space="preserve">── Compliance ──</t>
  </si>
  <si>
    <t xml:space="preserve">Compliance: Legal register maintained</t>
  </si>
  <si>
    <t xml:space="preserve">ISO 14001/45001 / King V P12</t>
  </si>
  <si>
    <t xml:space="preserve">Quarterly compliance review</t>
  </si>
  <si>
    <t xml:space="preserve">Legal/risk register maintained (G_Data F21). Scaled to max 5 pts. Refinement: link directly to ISO_Tracker.</t>
  </si>
  <si>
    <t xml:space="preserve">Compliance: No material regulatory penalties</t>
  </si>
  <si>
    <t xml:space="preserve">Companies Act / NEMA</t>
  </si>
  <si>
    <t xml:space="preserve">Zero-tolerance compliance</t>
  </si>
  <si>
    <t xml:space="preserve">Material penalties counter (G_Data B25). Blank or 0 = full 5 pts; any penalties = 0</t>
  </si>
  <si>
    <t xml:space="preserve">G SCORECARD TOTAL</t>
  </si>
  <si>
    <t xml:space="preserve">KING V GOVERNANCE SCORECARD — Apply &amp; Explain Methodology  |  All 17 Principles</t>
  </si>
  <si>
    <t xml:space="preserve">#</t>
  </si>
  <si>
    <t xml:space="preserve">Principle</t>
  </si>
  <si>
    <t xml:space="preserve">Status
(Apply/Explain/Not)</t>
  </si>
  <si>
    <t xml:space="preserve">Score
/10</t>
  </si>
  <si>
    <t xml:space="preserve">Weighted
Score</t>
  </si>
  <si>
    <t xml:space="preserve">Evidence Required</t>
  </si>
  <si>
    <t xml:space="preserve">Current Status / Evidence</t>
  </si>
  <si>
    <t xml:space="preserve">Action Required</t>
  </si>
  <si>
    <t xml:space="preserve">[Chapter 1] Ethical leadership and organisational ethics</t>
  </si>
  <si>
    <t xml:space="preserve">Applied</t>
  </si>
  <si>
    <t xml:space="preserve">Ethics policy, code of conduct, ethics hotline</t>
  </si>
  <si>
    <t xml:space="preserve">Super Group Code of Business Standards and Ethics (Rev 2, 30 Jan 2023) approved by Executive Committee; Be Heard whistleblower hotline 0800-007-117 (24/365); zero-tolerance anti-bribery framework</t>
  </si>
  <si>
    <t xml:space="preserve">Annual ethics training programme to be evidenced; ethics committee minutes</t>
  </si>
  <si>
    <t xml:space="preserve">[Chapter 2] Responsible corporate citizenship</t>
  </si>
  <si>
    <t xml:space="preserve">CSI report, community engagement log, B-BBEE</t>
  </si>
  <si>
    <t xml:space="preserve">Super Group CSI and SED Policy (Rev 2, 30 Jan 2023) — SED budget 1% NPAT, CSI ≤0.25% NPAT; three-pronged approach (Central/Decentralised/Volunteerism); approval &amp; monitoring by Group Social and Ethics Committee</t>
  </si>
  <si>
    <t xml:space="preserve">Publish FY25/26 CSI spend and beneficiary report</t>
  </si>
  <si>
    <t xml:space="preserve">[Chapter 3] Board composition — skills, diversity, independence</t>
  </si>
  <si>
    <t xml:space="preserve">Explained</t>
  </si>
  <si>
    <t xml:space="preserve">Board skills matrix, diversity stats, appointments</t>
  </si>
  <si>
    <t xml:space="preserve">Board composition not disclosed in supplied policy stack — listed SG Trading directors (6) and SG Consumer divisional executives (5) per POPI consent block</t>
  </si>
  <si>
    <t xml:space="preserve">Provide board skills matrix, diversity stats, independence declarations</t>
  </si>
  <si>
    <t xml:space="preserve">[Chapter 4] Board roles, function and performance</t>
  </si>
  <si>
    <t xml:space="preserve">Board charter, director induction, evaluations</t>
  </si>
  <si>
    <t xml:space="preserve">Board charter not provided in supplied policies</t>
  </si>
  <si>
    <t xml:space="preserve">Provide board charter, director induction records, performance evaluations</t>
  </si>
  <si>
    <t xml:space="preserve">[Chapter 5] Committees — Audit, Risk, Remco, S&amp;E Committee</t>
  </si>
  <si>
    <t xml:space="preserve">Partially Applied</t>
  </si>
  <si>
    <t xml:space="preserve">Committee ToRs, meeting minutes, composition</t>
  </si>
  <si>
    <t xml:space="preserve">Group Social and Ethics Committee confirmed (CSI/SED Policy §7); Audit/Risk/Remco committee ToRs and composition not provided</t>
  </si>
  <si>
    <t xml:space="preserve">Provide ToRs and minutes for Audit, Risk, Remco committees</t>
  </si>
  <si>
    <t xml:space="preserve">[Chapter 6] Remuneration policy — ESG-linked KPIs</t>
  </si>
  <si>
    <t xml:space="preserve">Remco report, ESG KPIs in exec contracts</t>
  </si>
  <si>
    <t xml:space="preserve">Remco report and ESG-linked exec remuneration not disclosed in supplied policies</t>
  </si>
  <si>
    <t xml:space="preserve">Provide Remco report; embed ESG KPIs in executive contracts</t>
  </si>
  <si>
    <t xml:space="preserve">[Chapter 7] Stakeholder engagement and inclusivity</t>
  </si>
  <si>
    <t xml:space="preserve">Stakeholder register, material issues, IAR</t>
  </si>
  <si>
    <t xml:space="preserve">CSI/SED Policy §15 details internal (intranet, Exco, MCFs, newsletters) and external (website, Integrated Report, PR, tender docs) communication plan; Supplier Code engages full supply chain</t>
  </si>
  <si>
    <t xml:space="preserve">Maintain stakeholder register; document material issues per IAR</t>
  </si>
  <si>
    <t xml:space="preserve">[Chapter 8] Reporting — integrated reporting, materiality</t>
  </si>
  <si>
    <t xml:space="preserve">Integrated/ESG report, GRI index, materiality matrix</t>
  </si>
  <si>
    <t xml:space="preserve">CSI/SED Policy §15(b)(v) confirms Group Integrated Report including ESG Report as external communication channel</t>
  </si>
  <si>
    <t xml:space="preserve">Provide latest Integrated Report; complete materiality matrix in toolkit</t>
  </si>
  <si>
    <t xml:space="preserve">9</t>
  </si>
  <si>
    <t xml:space="preserve">[Chapter 9] Technology and information governance</t>
  </si>
  <si>
    <t xml:space="preserve">IT governance policy, POPIA compliance, cyber risk</t>
  </si>
  <si>
    <t xml:space="preserve">Code of Ethics §6 (Protection of Company Property — IP, confidential information, POPI Act compliance); active SG Consumer POPI consent process (Jan 2026)</t>
  </si>
  <si>
    <t xml:space="preserve">ISO 27001 certification path; formal POPIA Info Officer appointment letter; annual cyber risk assessment</t>
  </si>
  <si>
    <t xml:space="preserve">[Chapter 10] Risk governance — ERM including climate risk</t>
  </si>
  <si>
    <t xml:space="preserve">Risk register with climate risks, ERM policy</t>
  </si>
  <si>
    <t xml:space="preserve">Code of Ethics §11 commits to "pragmatic, risk-based approach" for environmental performance with GHG/waste/water targets; explicit climate risk integration into ERM register requires confirmation</t>
  </si>
  <si>
    <t xml:space="preserve">Formal climate risk integration into ERM register; quarterly board review of climate risks</t>
  </si>
  <si>
    <t xml:space="preserve">[Chapter 11] Internal audit and combined assurance</t>
  </si>
  <si>
    <t xml:space="preserve">Internal audit plan, combined assurance model</t>
  </si>
  <si>
    <t xml:space="preserve">Code of Ethics §8 confirms active Internal Audit Department (reactive + proactive); combined assurance model details not provided</t>
  </si>
  <si>
    <t xml:space="preserve">Document combined assurance model; provide internal audit annual plan</t>
  </si>
  <si>
    <t xml:space="preserve">[Chapter 12] Governing compliance — legal, regulatory, ESG</t>
  </si>
  <si>
    <t xml:space="preserve">Legal compliance register, ESG compliance tracker</t>
  </si>
  <si>
    <t xml:space="preserve">Code of Ethics §3-4 commits to ethical compliance with all applicable laws; Supplier Code §5 enforces legislative compliance across supply chain; EE Policy aligns to EEA Chapter 3; multi-statute framework evidenced (Companies Act, POPI, EEA, OHS, NEMA, PRECCA, FICA)</t>
  </si>
  <si>
    <t xml:space="preserve">Maintain quarterly legal compliance register</t>
  </si>
  <si>
    <t xml:space="preserve">[Chapter 13] Strategy — six capitals and value creation</t>
  </si>
  <si>
    <t xml:space="preserve">Strategy doc with six capitals, materiality</t>
  </si>
  <si>
    <t xml:space="preserve">Six-capitals strategy framing not explicit in supplied policies; corporate strategy and value-creation model in Integrated Report (not provided)</t>
  </si>
  <si>
    <t xml:space="preserve">Provide strategy doc with six capitals; align to materiality matrix</t>
  </si>
  <si>
    <t xml:space="preserve">[Chapter 14] Performance — financial and non-financial</t>
  </si>
  <si>
    <t xml:space="preserve">Board performance pack with ESG KPIs</t>
  </si>
  <si>
    <t xml:space="preserve">Board performance pack with ESG KPIs not provided in supplied policies</t>
  </si>
  <si>
    <t xml:space="preserve">Embed E/S/G KPIs in board reporting pack; align to ESG scorecard</t>
  </si>
  <si>
    <t xml:space="preserve">15</t>
  </si>
  <si>
    <t xml:space="preserve">[Chapter 15] Disclosure — transparent and balanced reporting</t>
  </si>
  <si>
    <t xml:space="preserve">ESG/Integrated report published, TCFD alignment</t>
  </si>
  <si>
    <t xml:space="preserve">CSI/SED Policy §15(b)(v) confirms Integrated Report including ESG Report; all four supplied policies publicly or internally disclosed with clear authorship and approval (Executive Committee)</t>
  </si>
  <si>
    <t xml:space="preserve">Align disclosure to TCFD/IFRS S2; provide GRI content index</t>
  </si>
  <si>
    <t xml:space="preserve">[Chapter 16] Non-financial outcomes — ESG, Ubuntu-Botho</t>
  </si>
  <si>
    <t xml:space="preserve">E, S, G scorecards; net-zero roadmap</t>
  </si>
  <si>
    <t xml:space="preserve">Multiple ESG policies committing to non-financial outcomes (CSI/SED, EE, Code of Ethics §11 environmental commitments); operational data and outcome tracking via this toolkit</t>
  </si>
  <si>
    <t xml:space="preserve">Complete operational data entry; publish FY25/26 ESG outcomes</t>
  </si>
  <si>
    <t xml:space="preserve">17</t>
  </si>
  <si>
    <t xml:space="preserve">[King III] Residual — specific SA context requirements</t>
  </si>
  <si>
    <t xml:space="preserve">Companies Act compliance, MOI, AGM</t>
  </si>
  <si>
    <t xml:space="preserve">Companies Act compliance evidenced (Social &amp; Ethics Committee per s72; Code of Ethics aligns to Companies Act principles); SA regulatory framework throughout (EEA, BCEA, SDL, POPIA, NEMA, OHS Act, PRECCA, FICA)</t>
  </si>
  <si>
    <t xml:space="preserve">Confirm MOI alignment; AGM evidence</t>
  </si>
  <si>
    <t xml:space="preserve">KING V TOTAL SCORE</t>
  </si>
  <si>
    <t xml:space="preserve">Max theoretical: 1100</t>
  </si>
  <si>
    <t xml:space="preserve">IFRS S1 + S2 CLIMATE DISCLOSURE TRACKER  |  TCFD Framework  |  GHG Protocol  [Links: E_Data GHG, NetZero_Roadmap]</t>
  </si>
  <si>
    <t xml:space="preserve">IFRS S1 — General Sustainability-Related Financial Information</t>
  </si>
  <si>
    <t xml:space="preserve">Disclosure Requirement</t>
  </si>
  <si>
    <t xml:space="preserve">Board oversight of climate risks</t>
  </si>
  <si>
    <t xml:space="preserve">Partially Disclosed</t>
  </si>
  <si>
    <t xml:space="preserve">G_Data / King V P10</t>
  </si>
  <si>
    <t xml:space="preserve">Group Social and Ethics Committee mandate covers environment (CSI/SED Policy); explicit climate mandate to be confirmed</t>
  </si>
  <si>
    <t xml:space="preserve">Embed explicit climate-risk oversight into S&amp;EC charter</t>
  </si>
  <si>
    <t xml:space="preserve">Management role in climate risk</t>
  </si>
  <si>
    <t xml:space="preserve">Not Disclosed</t>
  </si>
  <si>
    <t xml:space="preserve">Management climate KPIs not disclosed in supplied policies</t>
  </si>
  <si>
    <t xml:space="preserve">Assign exec climate risk owner with KPIs</t>
  </si>
  <si>
    <t xml:space="preserve">Climate risks to business model</t>
  </si>
  <si>
    <t xml:space="preserve">Strategy</t>
  </si>
  <si>
    <t xml:space="preserve">E_Data / Risk Register</t>
  </si>
  <si>
    <t xml:space="preserve">Code of Ethics §11 acknowledges vehicle emissions; physical/transition risk assessment to be formalised</t>
  </si>
  <si>
    <t xml:space="preserve">Document physical and transition climate risk assessment</t>
  </si>
  <si>
    <t xml:space="preserve">Climate opportunities identified</t>
  </si>
  <si>
    <t xml:space="preserve">Fleet_Register / E_Data</t>
  </si>
  <si>
    <t xml:space="preserve">Code of Ethics §11 commits to energy efficiency and cleaner fuel partnerships; explicit opportunity register required</t>
  </si>
  <si>
    <t xml:space="preserve">Build opportunity register; EV fleet, solar expansion business case</t>
  </si>
  <si>
    <t xml:space="preserve">Scenario analysis (1.5°C/2°C/4°C)</t>
  </si>
  <si>
    <t xml:space="preserve">Climate scenario analysis not evidenced in supplied policies</t>
  </si>
  <si>
    <t xml:space="preserve">Commission 1.5°C/2°C/4°C scenario analysis</t>
  </si>
  <si>
    <t xml:space="preserve">Climate risk identification process</t>
  </si>
  <si>
    <t xml:space="preserve">Risk Management</t>
  </si>
  <si>
    <t xml:space="preserve">Code of Ethics §11 "pragmatic, risk-based approach" — formal identification process to be documented</t>
  </si>
  <si>
    <t xml:space="preserve">Document climate risk identification methodology</t>
  </si>
  <si>
    <t xml:space="preserve">Climate risk integration into ERM</t>
  </si>
  <si>
    <t xml:space="preserve">ERM integration of climate risks requires confirmation</t>
  </si>
  <si>
    <t xml:space="preserve">Update risk register to include climate physical &amp; transition risks</t>
  </si>
  <si>
    <t xml:space="preserve">Absolute Scope 1 GHG tCO₂e</t>
  </si>
  <si>
    <t xml:space="preserve">Metrics &amp; Targets</t>
  </si>
  <si>
    <t xml:space="preserve">E_Data GHG_GRAND_ROW</t>
  </si>
  <si>
    <t xml:space="preserve">Fleet diesel + generator + LPG</t>
  </si>
  <si>
    <t xml:space="preserve">Absolute Scope 2 GHG tCO₂e</t>
  </si>
  <si>
    <t xml:space="preserve">E_Data ELEC_TOTAL</t>
  </si>
  <si>
    <t xml:space="preserve">Grid electricity per depot</t>
  </si>
  <si>
    <t xml:space="preserve">Scope 3 GHG material categories</t>
  </si>
  <si>
    <t xml:space="preserve">Water, value chain transport</t>
  </si>
  <si>
    <t xml:space="preserve">GHG reduction targets</t>
  </si>
  <si>
    <t xml:space="preserve">Code of Ethics §11 commits to GHG quantification and target-setting; numerical SBTi-aligned targets to be confirmed (SBTi CNZS 2.0 net-zero by 2050 — toolkit Assumptions)</t>
  </si>
  <si>
    <t xml:space="preserve">Submit SBTi commitment letter; publish FY25/26 baseline and near-term targets</t>
  </si>
  <si>
    <t xml:space="preserve">Transition plan (net-zero pathway)</t>
  </si>
  <si>
    <t xml:space="preserve">OER tiers, EV fleet, solar expansion</t>
  </si>
  <si>
    <t xml:space="preserve">IFRS S2 — Climate-Related Disclosures</t>
  </si>
  <si>
    <t xml:space="preserve">Physical climate risks in board agenda</t>
  </si>
  <si>
    <t xml:space="preserve">Board agenda climate physical risk integration not evidenced</t>
  </si>
  <si>
    <t xml:space="preserve">Add quarterly climate physical risk to board agenda</t>
  </si>
  <si>
    <t xml:space="preserve">Transition climate risks in board agenda</t>
  </si>
  <si>
    <t xml:space="preserve">Board agenda climate transition risk integration not evidenced</t>
  </si>
  <si>
    <t xml:space="preserve">Add carbon tax / EV transition risk to board agenda</t>
  </si>
  <si>
    <t xml:space="preserve">Financial effect of climate risks (R)</t>
  </si>
  <si>
    <t xml:space="preserve">E_Data cost data</t>
  </si>
  <si>
    <t xml:space="preserve">Fuel cost sensitivity, stranded fleet risk</t>
  </si>
  <si>
    <t xml:space="preserve">Resilience of strategy to climate scenarios</t>
  </si>
  <si>
    <t xml:space="preserve">Net-zero pathway documented</t>
  </si>
  <si>
    <t xml:space="preserve">Energy intensity (kWh/tonne-km)</t>
  </si>
  <si>
    <t xml:space="preserve">Metrics</t>
  </si>
  <si>
    <t xml:space="preserve">E_Data / tonnage data</t>
  </si>
  <si>
    <t xml:space="preserve">Electricity and fuel per tonne delivered</t>
  </si>
  <si>
    <t xml:space="preserve">Fleet CO₂ intensity (tCO₂e/tonne-km)</t>
  </si>
  <si>
    <t xml:space="preserve">E_Data + tonnage</t>
  </si>
  <si>
    <t xml:space="preserve">Scope 1 fleet per tonne-km</t>
  </si>
  <si>
    <t xml:space="preserve">% renewable energy</t>
  </si>
  <si>
    <t xml:space="preserve">E_Data solar rows</t>
  </si>
  <si>
    <t xml:space="preserve">Solar kWh / total electricity kWh</t>
  </si>
  <si>
    <t xml:space="preserve">Carbon credits/offsets used</t>
  </si>
  <si>
    <t xml:space="preserve">Carbon_Credits_Register</t>
  </si>
  <si>
    <t xml:space="preserve">OER tier — credits register</t>
  </si>
  <si>
    <t xml:space="preserve">Internal carbon price (R/tCO₂e)</t>
  </si>
  <si>
    <t xml:space="preserve">Management decision</t>
  </si>
  <si>
    <t xml:space="preserve">Used for investment decisions?</t>
  </si>
  <si>
    <t xml:space="preserve">Climate-related capex planned (R)</t>
  </si>
  <si>
    <t xml:space="preserve">EV fleet, solar, insulation investments</t>
  </si>
  <si>
    <t xml:space="preserve">IFRS S1+S2 TOTAL SCORE</t>
  </si>
  <si>
    <t xml:space="preserve">GARP / GRAP RISK &amp; COMPLIANCE FRAMEWORK  |  ERM | Public Interest Alignment | IFRS S1 Risk</t>
  </si>
  <si>
    <t xml:space="preserve">GARP — Enterprise Risk Management (ERM)</t>
  </si>
  <si>
    <t xml:space="preserve">Risk / Requirement</t>
  </si>
  <si>
    <t xml:space="preserve">Control Status</t>
  </si>
  <si>
    <t xml:space="preserve">Current Control / Evidence</t>
  </si>
  <si>
    <t xml:space="preserve">Improvement Action</t>
  </si>
  <si>
    <t xml:space="preserve">Likelihood (1-5)</t>
  </si>
  <si>
    <t xml:space="preserve">Material?</t>
  </si>
  <si>
    <t xml:space="preserve">Climate Physical Risk</t>
  </si>
  <si>
    <t xml:space="preserve">Flooding (DBN 2022), extreme heat, supply disruption</t>
  </si>
  <si>
    <t xml:space="preserve">High</t>
  </si>
  <si>
    <t xml:space="preserve">Code of Ethics §11 commits to environmental risk management; SG Consumer flood-exposed depots (DBN/PE)</t>
  </si>
  <si>
    <t xml:space="preserve">Climate Transition Risk</t>
  </si>
  <si>
    <t xml:space="preserve">Carbon tax, fuel cost escalation, EV mandate</t>
  </si>
  <si>
    <t xml:space="preserve">Code of Ethics §11 commits to GHG reduction, fuel efficiency, partnerships with cleaner fuel suppliers</t>
  </si>
  <si>
    <t xml:space="preserve">Operational Risk — Fleet</t>
  </si>
  <si>
    <t xml:space="preserve">Vehicle breakdowns, driver fatigue, accidents</t>
  </si>
  <si>
    <t xml:space="preserve">Fleet/S_Data</t>
  </si>
  <si>
    <t xml:space="preserve">Code of Ethics §11 commits to vehicle maintenance per manufacturer spec; Driver Debrief operational</t>
  </si>
  <si>
    <t xml:space="preserve">Regulatory Risk — EE Act</t>
  </si>
  <si>
    <t xml:space="preserve">Non-compliance with EEA reporting deadlines</t>
  </si>
  <si>
    <t xml:space="preserve">Super Group EE Policy (Rev 2, 30 Jan 2023) — formal EE Plan, designated employer, Chapter 3 EEA compliance; EE Committees established per s16</t>
  </si>
  <si>
    <t xml:space="preserve">Regulatory Risk — POPIA</t>
  </si>
  <si>
    <t xml:space="preserve">Data breach, non-appointment of Info Officer</t>
  </si>
  <si>
    <t xml:space="preserve">Code of Ethics §6 (POPI Act compliance); SG Consumer POPI Consent process active (Jan 2026); Information Officer appointment to be confirmed</t>
  </si>
  <si>
    <t xml:space="preserve">Financial Risk — SDL/WSP</t>
  </si>
  <si>
    <t xml:space="preserve">Non-submission of WSP/ATR, loss of grant</t>
  </si>
  <si>
    <t xml:space="preserve">Group Skills Development pipeline (CSI/SED + EE training commitments) — WSP submission status in S_Data</t>
  </si>
  <si>
    <t xml:space="preserve">Reputational Risk — ESG</t>
  </si>
  <si>
    <t xml:space="preserve">Failure to publish ESG report, poor scores</t>
  </si>
  <si>
    <t xml:space="preserve">CSI/SED Policy §15(b)(v) confirms Integrated Report including ESG Report</t>
  </si>
  <si>
    <t xml:space="preserve">Environmental Risk — Waste</t>
  </si>
  <si>
    <t xml:space="preserve">Landfill non-compliance, NEMA penalties</t>
  </si>
  <si>
    <t xml:space="preserve">Low</t>
  </si>
  <si>
    <t xml:space="preserve">Code of Ethics §11 commits to systematic waste identification, management, reduction and recycling (hazardous + non-hazardous)</t>
  </si>
  <si>
    <t xml:space="preserve">Supply Chain Risk</t>
  </si>
  <si>
    <t xml:space="preserve">Supplier ESG non-compliance (SAQ gaps)</t>
  </si>
  <si>
    <t xml:space="preserve">Super Group Supplier Code of Conduct (Rev 2, 30 Jan 2023) — full supplier ESG framework: labour, ethics, H&amp;S, environment &amp; sustainability</t>
  </si>
  <si>
    <t xml:space="preserve">Technology Risk</t>
  </si>
  <si>
    <t xml:space="preserve">System failure in Cority/fleet telematics</t>
  </si>
  <si>
    <t xml:space="preserve">Code of Ethics §6 (IT/IP controls); ISO 27001 certification path</t>
  </si>
  <si>
    <t xml:space="preserve">GRAP — Public Interest Score &amp; Accountability</t>
  </si>
  <si>
    <t xml:space="preserve">Public interest score ≥500 points</t>
  </si>
  <si>
    <t xml:space="preserve">Mandatory audit + Social &amp; Ethics Committee</t>
  </si>
  <si>
    <t xml:space="preserve">Req</t>
  </si>
  <si>
    <t xml:space="preserve">Group Social and Ethics Committee operates per Companies Act s72 (CSI/SED Policy §7)</t>
  </si>
  <si>
    <t xml:space="preserve">Social &amp; Ethics Committee (S&amp;EC)</t>
  </si>
  <si>
    <t xml:space="preserve">Required if PI score ≥500 or listed</t>
  </si>
  <si>
    <t xml:space="preserve">Group Social and Ethics Committee — identifies/approves/monitors CSI &amp; SED initiatives; budgets and expenditure (CSI/SED Policy §7)</t>
  </si>
  <si>
    <t xml:space="preserve">S&amp;EC — Labour &amp; Employment (EE, BCEA)</t>
  </si>
  <si>
    <t xml:space="preserve">S&amp;EC must monitor EE, BBBEE, training</t>
  </si>
  <si>
    <t xml:space="preserve">EE Policy §6.10 — Group CEO + Reporting Entity Exec Officer jointly accountable for EE/AA implementation; EE KPA in Line Mgr performance agreements</t>
  </si>
  <si>
    <t xml:space="preserve">S&amp;EC — Environment</t>
  </si>
  <si>
    <t xml:space="preserve">S&amp;EC monitors environmental performance</t>
  </si>
  <si>
    <t xml:space="preserve">Code of Ethics §11 — environmental performance, GHG, waste, water, biodiversity, noise commitments; Supplier Code §8 cascades to supply chain</t>
  </si>
  <si>
    <t xml:space="preserve">S&amp;EC — Anti-corruption</t>
  </si>
  <si>
    <t xml:space="preserve">S&amp;EC monitors FICA, anti-bribery, ethics</t>
  </si>
  <si>
    <t xml:space="preserve">Code of Ethics §8 — zero-tolerance anti-bribery/corruption; Be Heard hotline 0800-007-117; Internal Audit Department active</t>
  </si>
  <si>
    <t xml:space="preserve">S&amp;EC — Consumer relations</t>
  </si>
  <si>
    <t xml:space="preserve">Customer satisfaction, product quality</t>
  </si>
  <si>
    <t xml:space="preserve">Customer_Report_Data</t>
  </si>
  <si>
    <t xml:space="preserve">Code of Ethics §3 commitments to quality and product specifications; Supplier Code §6 enforces quality + food safety standards</t>
  </si>
  <si>
    <t xml:space="preserve">S&amp;EC — Community development</t>
  </si>
  <si>
    <t xml:space="preserve">CSI, SED, skills development</t>
  </si>
  <si>
    <t xml:space="preserve">CSI/SED Policy — 1% NPAT SED target; three-pronged approach (Central/Decentralised/Volunteerism); 75% Black beneficiary requirement aligned to B-BBEE</t>
  </si>
  <si>
    <t xml:space="preserve">External audit coverage</t>
  </si>
  <si>
    <t xml:space="preserve">External auditors cover ESG risks</t>
  </si>
  <si>
    <t xml:space="preserve">Code of Ethics §8 — Internal Audit Department active in fraud/corruption detection; external assurance evidence to be provided</t>
  </si>
  <si>
    <t xml:space="preserve">RISK SUMMARY</t>
  </si>
  <si>
    <t xml:space="preserve">Total risks logged</t>
  </si>
  <si>
    <t xml:space="preserve">Material risks (score ≥12)</t>
  </si>
  <si>
    <t xml:space="preserve">Monitor risks (6-11)</t>
  </si>
  <si>
    <t xml:space="preserve">Maximum severity score</t>
  </si>
  <si>
    <t xml:space="preserve">ISO STANDARDS GAP TRACKER  |  ISO 14001 | 45001 | 27001 | 26000 | 22000  [Net-Zero lens on all]</t>
  </si>
  <si>
    <t xml:space="preserve">ISO 14001:2015 — Environmental Management System</t>
  </si>
  <si>
    <t xml:space="preserve">Requirement</t>
  </si>
  <si>
    <t xml:space="preserve">Clause</t>
  </si>
  <si>
    <t xml:space="preserve">Evidence Needed</t>
  </si>
  <si>
    <t xml:space="preserve">Current Evidence / Status</t>
  </si>
  <si>
    <t xml:space="preserve">Net-Zero / ESG Link</t>
  </si>
  <si>
    <t xml:space="preserve">Context of the organisation — internal/external issues</t>
  </si>
  <si>
    <t xml:space="preserve">4.1</t>
  </si>
  <si>
    <t xml:space="preserve">Env issues register</t>
  </si>
  <si>
    <t xml:space="preserve">Net-zero context essential</t>
  </si>
  <si>
    <t xml:space="preserve">Interested parties — needs/expectations</t>
  </si>
  <si>
    <t xml:space="preserve">4.2</t>
  </si>
  <si>
    <t xml:space="preserve">Stakeholder register</t>
  </si>
  <si>
    <t xml:space="preserve">Customers, SETA, DoEL</t>
  </si>
  <si>
    <t xml:space="preserve">Scope of EMS</t>
  </si>
  <si>
    <t xml:space="preserve">4.3</t>
  </si>
  <si>
    <t xml:space="preserve">EMS scope document</t>
  </si>
  <si>
    <t xml:space="preserve">All 5 depots covered</t>
  </si>
  <si>
    <t xml:space="preserve">Environmental policy — net-zero commitment</t>
  </si>
  <si>
    <t xml:space="preserve">5.2</t>
  </si>
  <si>
    <t xml:space="preserve">Partially Compliant</t>
  </si>
  <si>
    <t xml:space="preserve">Board-approved env policy</t>
  </si>
  <si>
    <t xml:space="preserve">Code of Ethics §11 — board-approved environmental policy with GHG, energy, water, waste, biodiversity, noise commitments. Explicit net-zero / SBTi commitment to be added.</t>
  </si>
  <si>
    <t xml:space="preserve">Include net-zero target</t>
  </si>
  <si>
    <t xml:space="preserve">Environmental objectives — GHG, energy, water, waste</t>
  </si>
  <si>
    <t xml:space="preserve">6.2</t>
  </si>
  <si>
    <t xml:space="preserve">KPIs in E_Scorecard</t>
  </si>
  <si>
    <t xml:space="preserve">Code of Ethics §11 commits to GHG quantification + target-setting; energy efficiency, water reduction, waste minimisation. Numerical SBTi targets pending formal commitment letter.</t>
  </si>
  <si>
    <t xml:space="preserve">Link to SBTi targets</t>
  </si>
  <si>
    <t xml:space="preserve">Environmental aspects — fleet emissions dominant</t>
  </si>
  <si>
    <t xml:space="preserve">6.1.2</t>
  </si>
  <si>
    <t xml:space="preserve">Aspects register</t>
  </si>
  <si>
    <t xml:space="preserve">Code of Ethics §11 identifies vehicle emissions as material aspect; full aspects register to be formalised.</t>
  </si>
  <si>
    <t xml:space="preserve">Fleet = &gt;80% Scope 1</t>
  </si>
  <si>
    <t xml:space="preserve">Legal requirements register (NEMA, NWA, NEMWA)</t>
  </si>
  <si>
    <t xml:space="preserve">6.1.3</t>
  </si>
  <si>
    <t xml:space="preserve">Legal compliance register</t>
  </si>
  <si>
    <t xml:space="preserve">Code of Ethics §11 commits to compliance with all applicable laws and maintenance of environmental permits, licenses, approvals.</t>
  </si>
  <si>
    <t xml:space="preserve">Quarterly update</t>
  </si>
  <si>
    <t xml:space="preserve">Emergency preparedness — fuel spill, fire</t>
  </si>
  <si>
    <t xml:space="preserve">8.2</t>
  </si>
  <si>
    <t xml:space="preserve">Emergency response plan</t>
  </si>
  <si>
    <t xml:space="preserve">Supplier Code §8 references spill/incident response procedures (cascaded to suppliers); depot-level plans to be confirmed.</t>
  </si>
  <si>
    <t xml:space="preserve">All depot plans</t>
  </si>
  <si>
    <t xml:space="preserve">Monitoring &amp; measurement — monthly GHG data</t>
  </si>
  <si>
    <t xml:space="preserve">9.1</t>
  </si>
  <si>
    <t xml:space="preserve">E_Data sheet</t>
  </si>
  <si>
    <t xml:space="preserve">Monthly Mariette submission</t>
  </si>
  <si>
    <t xml:space="preserve">Internal audit — all depots</t>
  </si>
  <si>
    <t xml:space="preserve">9.2</t>
  </si>
  <si>
    <t xml:space="preserve">Audit schedule</t>
  </si>
  <si>
    <t xml:space="preserve">Annual minimum</t>
  </si>
  <si>
    <t xml:space="preserve">Management review — ESG integration</t>
  </si>
  <si>
    <t xml:space="preserve">9.3</t>
  </si>
  <si>
    <t xml:space="preserve">Board/management review</t>
  </si>
  <si>
    <t xml:space="preserve">Quarterly ESG review</t>
  </si>
  <si>
    <t xml:space="preserve">ISO 14001 certification achieved</t>
  </si>
  <si>
    <t xml:space="preserve">Certificate</t>
  </si>
  <si>
    <t xml:space="preserve">Target: confirm with Maria</t>
  </si>
  <si>
    <t xml:space="preserve">ISO 14001:2015 Score</t>
  </si>
  <si>
    <t xml:space="preserve">ISO 45001:2018 — Occupational H&amp;S Management System</t>
  </si>
  <si>
    <t xml:space="preserve">H&amp;S policy — zero harm commitment</t>
  </si>
  <si>
    <t xml:space="preserve">Board H&amp;S policy</t>
  </si>
  <si>
    <t xml:space="preserve">Code of Ethics §7 (Labour Standards &amp; Human Rights) commits to safe workplace; Supplier Code §7 requires OHS Act compliance and OHS management system from suppliers.</t>
  </si>
  <si>
    <t xml:space="preserve">Include fatigue policy</t>
  </si>
  <si>
    <t xml:space="preserve">Hazard identification (HIRA) — driver fatigue</t>
  </si>
  <si>
    <t xml:space="preserve">HIRA register</t>
  </si>
  <si>
    <t xml:space="preserve">Driver routes = key hazard</t>
  </si>
  <si>
    <t xml:space="preserve">Legal requirements — OHS Act, COID, Road Traffic</t>
  </si>
  <si>
    <t xml:space="preserve">Legal register</t>
  </si>
  <si>
    <t xml:space="preserve">Supplier Code §7 enforces OHS Act compliance and incident notification; internal legal register to be confirmed.</t>
  </si>
  <si>
    <t xml:space="preserve">Operational controls — PPE, fatigue mgmt, vehicle checks</t>
  </si>
  <si>
    <t xml:space="preserve">8.1</t>
  </si>
  <si>
    <t xml:space="preserve">SOPs per depot</t>
  </si>
  <si>
    <t xml:space="preserve">Driver debrief critical</t>
  </si>
  <si>
    <t xml:space="preserve">Emergency preparedness — road accidents</t>
  </si>
  <si>
    <t xml:space="preserve">Emergency plan</t>
  </si>
  <si>
    <t xml:space="preserve">All depots + fleet</t>
  </si>
  <si>
    <t xml:space="preserve">Monitoring — LTIFR, TRIFR, near-miss (Accidently)</t>
  </si>
  <si>
    <t xml:space="preserve">Accidently system</t>
  </si>
  <si>
    <t xml:space="preserve">Monthly reporting</t>
  </si>
  <si>
    <t xml:space="preserve">Incident investigation process</t>
  </si>
  <si>
    <t xml:space="preserve">10.2</t>
  </si>
  <si>
    <t xml:space="preserve">Incident reports</t>
  </si>
  <si>
    <t xml:space="preserve">Within 24hrs of incident</t>
  </si>
  <si>
    <t xml:space="preserve">Worker participation and consultation</t>
  </si>
  <si>
    <t xml:space="preserve">5.4</t>
  </si>
  <si>
    <t xml:space="preserve">Safety committee minutes</t>
  </si>
  <si>
    <t xml:space="preserve">Monthly meetings</t>
  </si>
  <si>
    <t xml:space="preserve">ISO 45001 certification achieved</t>
  </si>
  <si>
    <t xml:space="preserve">Target: confirm timeline</t>
  </si>
  <si>
    <t xml:space="preserve">ISO 45001:2018 Score</t>
  </si>
  <si>
    <t xml:space="preserve">ISO 27001:2022 — Information Security Management System</t>
  </si>
  <si>
    <t xml:space="preserve">Information security policy</t>
  </si>
  <si>
    <t xml:space="preserve">IS policy</t>
  </si>
  <si>
    <t xml:space="preserve">Code of Ethics §6 — Protection of Company Property: IP, confidential info, POPI Act compliance. Standalone Information Security policy to be confirmed.</t>
  </si>
  <si>
    <t xml:space="preserve">POPIA-aligned</t>
  </si>
  <si>
    <t xml:space="preserve">POPIA Information Officer appointed</t>
  </si>
  <si>
    <t xml:space="preserve">6.1</t>
  </si>
  <si>
    <t xml:space="preserve">Appointment letter</t>
  </si>
  <si>
    <t xml:space="preserve">POPI consent process active for SG Consumer (Jan 2026 letter); formal Information Officer appointment letter required.</t>
  </si>
  <si>
    <t xml:space="preserve">Companies Act s55</t>
  </si>
  <si>
    <t xml:space="preserve">Information asset register</t>
  </si>
  <si>
    <t xml:space="preserve">Asset register</t>
  </si>
  <si>
    <t xml:space="preserve">Include fleet telematics data</t>
  </si>
  <si>
    <t xml:space="preserve">Access controls — Cority, JDE, telematics systems</t>
  </si>
  <si>
    <t xml:space="preserve">8.5.3</t>
  </si>
  <si>
    <t xml:space="preserve">Access policy</t>
  </si>
  <si>
    <t xml:space="preserve">Role-based access</t>
  </si>
  <si>
    <t xml:space="preserve">Incident response plan — data breach</t>
  </si>
  <si>
    <t xml:space="preserve">8.6</t>
  </si>
  <si>
    <t xml:space="preserve">Incident response plan</t>
  </si>
  <si>
    <t xml:space="preserve">POPI Act compliance referenced (Code of Ethics §6); 72hr breach notification protocol per POPIA to be formalised.</t>
  </si>
  <si>
    <t xml:space="preserve">72hr notification POPIA</t>
  </si>
  <si>
    <t xml:space="preserve">Supplier agreements — data processing</t>
  </si>
  <si>
    <t xml:space="preserve">8.7</t>
  </si>
  <si>
    <t xml:space="preserve">DPA agreements</t>
  </si>
  <si>
    <t xml:space="preserve">Supplier Code §5 — supplier confidentiality and information protection obligations cascaded.</t>
  </si>
  <si>
    <t xml:space="preserve">All SaaS suppliers</t>
  </si>
  <si>
    <t xml:space="preserve">Risk assessment — cyber risks</t>
  </si>
  <si>
    <t xml:space="preserve">Cyber risk register</t>
  </si>
  <si>
    <t xml:space="preserve">Annual assessment</t>
  </si>
  <si>
    <t xml:space="preserve">ISO 27001 certification</t>
  </si>
  <si>
    <t xml:space="preserve">ISO 27001:2022 Score</t>
  </si>
  <si>
    <t xml:space="preserve">ISO 26000:2010 — Social Responsibility Guidance</t>
  </si>
  <si>
    <t xml:space="preserve">Organisational governance — board accountability</t>
  </si>
  <si>
    <t xml:space="preserve">P1</t>
  </si>
  <si>
    <t xml:space="preserve">Board charter</t>
  </si>
  <si>
    <t xml:space="preserve">Code of Ethics — board-approved code; Executive Committee approval; multiple committee structures (S&amp;EC, Internal Audit).</t>
  </si>
  <si>
    <t xml:space="preserve">King V P1 aligned</t>
  </si>
  <si>
    <t xml:space="preserve">Human rights — due diligence</t>
  </si>
  <si>
    <t xml:space="preserve">P2</t>
  </si>
  <si>
    <t xml:space="preserve">HR policy</t>
  </si>
  <si>
    <t xml:space="preserve">Code of Ethics §7 (Labour Standards &amp; Human Rights): dignity, fair treatment, no harassment, forced labour &amp; child labour prohibitions, freedom of association, anti-discrimination, fair employment, community land rights.</t>
  </si>
  <si>
    <t xml:space="preserve">Labour Relations Act</t>
  </si>
  <si>
    <t xml:space="preserve">Labour practices — fair wages, EE, training</t>
  </si>
  <si>
    <t xml:space="preserve">P3</t>
  </si>
  <si>
    <t xml:space="preserve">Fully Compliant</t>
  </si>
  <si>
    <t xml:space="preserve">HR policies, WSP</t>
  </si>
  <si>
    <t xml:space="preserve">EE Policy (Rev 2, 30 Jan 2023) — designated employer, EEA Chapter 3 compliance, EE Plan, EE Committees, reasonable accommodation, career advancement, learning &amp; development; equal pay for equal value; workplace harassment policy.</t>
  </si>
  <si>
    <t xml:space="preserve">EEA + BCEA aligned</t>
  </si>
  <si>
    <t xml:space="preserve">Environment — net-zero, waste, water</t>
  </si>
  <si>
    <t xml:space="preserve">P4</t>
  </si>
  <si>
    <t xml:space="preserve">E_Data, E_Scorecard</t>
  </si>
  <si>
    <t xml:space="preserve">Code of Ethics §11 — environmental commitments (GHG, energy, water, waste, biodiversity, noise); Supplier Code §8 cascades to supply chain.</t>
  </si>
  <si>
    <t xml:space="preserve">ISO 14001 aligned</t>
  </si>
  <si>
    <t xml:space="preserve">Fair operating practices — anti-corruption</t>
  </si>
  <si>
    <t xml:space="preserve">P5</t>
  </si>
  <si>
    <t xml:space="preserve">Ethics policy</t>
  </si>
  <si>
    <t xml:space="preserve">Code of Ethics §8 — zero-tolerance bribery/corruption; Be Heard hotline 0800-007-117; Internal Audit active; PRECCA + FICA references; Supplier Code §5 cascades.</t>
  </si>
  <si>
    <t xml:space="preserve">PRECCA compliance</t>
  </si>
  <si>
    <t xml:space="preserve">Consumer issues — cold chain quality</t>
  </si>
  <si>
    <t xml:space="preserve">P6</t>
  </si>
  <si>
    <t xml:space="preserve">Quality procedures</t>
  </si>
  <si>
    <t xml:space="preserve">ISO 22000 aligned</t>
  </si>
  <si>
    <t xml:space="preserve">Community development — CSI, SED</t>
  </si>
  <si>
    <t xml:space="preserve">P7</t>
  </si>
  <si>
    <t xml:space="preserve">Social calendar</t>
  </si>
  <si>
    <t xml:space="preserve">CSI/SED Policy (Rev 2, 30 Jan 2023) — formal three-pronged approach; SED 1% NPAT, CSI ≤0.25% NPAT; 75% Black beneficiary requirement (B-BBEE aligned); priority areas: income/jobs, infrastructure, training/mentoring.</t>
  </si>
  <si>
    <t xml:space="preserve">B-BBEE SED criteria</t>
  </si>
  <si>
    <t xml:space="preserve">ISO 26000:2010 Score</t>
  </si>
  <si>
    <t xml:space="preserve">ISO 22000:2018 — Food Safety Management (Cold Chain)</t>
  </si>
  <si>
    <t xml:space="preserve">Food safety policy — cold chain integrity</t>
  </si>
  <si>
    <t xml:space="preserve">Food safety policy</t>
  </si>
  <si>
    <t xml:space="preserve">FSMS for chilled goods</t>
  </si>
  <si>
    <t xml:space="preserve">HACCP plan — temperature control</t>
  </si>
  <si>
    <t xml:space="preserve">8.5</t>
  </si>
  <si>
    <t xml:space="preserve">HACCP document</t>
  </si>
  <si>
    <t xml:space="preserve">Fridge units — 500hr service</t>
  </si>
  <si>
    <t xml:space="preserve">Prerequisite programmes — hygiene, pest control</t>
  </si>
  <si>
    <t xml:space="preserve">PRP records</t>
  </si>
  <si>
    <t xml:space="preserve">All depot warehouses</t>
  </si>
  <si>
    <t xml:space="preserve">Fridge unit maintenance (Transfrig)</t>
  </si>
  <si>
    <t xml:space="preserve">Service records</t>
  </si>
  <si>
    <t xml:space="preserve">Service intervals Fleet_Register</t>
  </si>
  <si>
    <t xml:space="preserve">Food safety training — drivers and warehouse</t>
  </si>
  <si>
    <t xml:space="preserve">7.2</t>
  </si>
  <si>
    <t xml:space="preserve">Training records</t>
  </si>
  <si>
    <t xml:space="preserve">Traceability system — batch/load tracking</t>
  </si>
  <si>
    <t xml:space="preserve">8.9.2</t>
  </si>
  <si>
    <t xml:space="preserve">Tracking records</t>
  </si>
  <si>
    <t xml:space="preserve">I-CAM / Cellulant system</t>
  </si>
  <si>
    <t xml:space="preserve">Emergency preparedness — temperature exceedance</t>
  </si>
  <si>
    <t xml:space="preserve">8.4</t>
  </si>
  <si>
    <t xml:space="preserve">Cold chain failure protocol</t>
  </si>
  <si>
    <t xml:space="preserve">ISO 22000:2018 Score</t>
  </si>
  <si>
    <t xml:space="preserve">SUPPLIER ESG ASSESSMENT  |  IMS-T-149-02 | JDE Environmental SAQ | Sanulac Sustainability  [Source: MARIA + MAXINE]</t>
  </si>
  <si>
    <t xml:space="preserve">IMS-T-149-02 — EXTERNAL SERVICE PROVIDER EVALUATIONS  (Score 1–5 per criterion; Rating A&gt;90%, B&gt;80%, C&lt;80%)</t>
  </si>
  <si>
    <t xml:space="preserve">Supplier Name</t>
  </si>
  <si>
    <t xml:space="preserve">On-Time Del</t>
  </si>
  <si>
    <t xml:space="preserve">Quality</t>
  </si>
  <si>
    <t xml:space="preserve">H&amp;S
(Safety File)</t>
  </si>
  <si>
    <t xml:space="preserve">Environmental
(EMS/Waste/Spill)</t>
  </si>
  <si>
    <t xml:space="preserve">Food Safety
(COA/Policy)</t>
  </si>
  <si>
    <t xml:space="preserve">Correct
Invoicing</t>
  </si>
  <si>
    <t xml:space="preserve">Backup
Support</t>
  </si>
  <si>
    <t xml:space="preserve">ESG Net-Zero Link</t>
  </si>
  <si>
    <t xml:space="preserve">Fuel Supplier — ENGEN (BLOEM)</t>
  </si>
  <si>
    <t xml:space="preserve">LPG/diesel Scope 1</t>
  </si>
  <si>
    <t xml:space="preserve">Electricity Landlord — KAVOD (BLOEM)</t>
  </si>
  <si>
    <t xml:space="preserve">Scope 2 electricity</t>
  </si>
  <si>
    <t xml:space="preserve">Electricity Landlord — EXCELLERATE (DBN)</t>
  </si>
  <si>
    <t xml:space="preserve">Electricity Landlord — LEXSHELL (ISANDO)</t>
  </si>
  <si>
    <t xml:space="preserve">Waste Contractor — Oricol Environmental</t>
  </si>
  <si>
    <t xml:space="preserve">Waste diversion/Scope 3</t>
  </si>
  <si>
    <t xml:space="preserve">Fleet Maintenance — Hino/Scania dealer</t>
  </si>
  <si>
    <t xml:space="preserve">Fleet efficiency/Scope 1</t>
  </si>
  <si>
    <t xml:space="preserve">Telematics — I-CAM / Mix Telematics</t>
  </si>
  <si>
    <t xml:space="preserve">Fleet data quality</t>
  </si>
  <si>
    <t xml:space="preserve">Safety System — Accidently</t>
  </si>
  <si>
    <t xml:space="preserve">LTIFR data/ISO 45001</t>
  </si>
  <si>
    <t xml:space="preserve">EV Supplier — MAXUS (planned)</t>
  </si>
  <si>
    <t xml:space="preserve">EV transition/net-zero</t>
  </si>
  <si>
    <t xml:space="preserve">Cold Chain — Transfrig (fridge units)</t>
  </si>
  <si>
    <t xml:space="preserve">Cold chain food safety</t>
  </si>
  <si>
    <t xml:space="preserve">JDE (warehousing client)</t>
  </si>
  <si>
    <t xml:space="preserve">Client ESG SAQ requirements</t>
  </si>
  <si>
    <t xml:space="preserve">Sanulac/Lactalis (FMCG client)</t>
  </si>
  <si>
    <t xml:space="preserve">Client sustainability reporting</t>
  </si>
  <si>
    <t xml:space="preserve">SANULAC / LACTALIS SUSTAINABILITY DATA  [Source: Maxine/Sanulac Sustainability report.xlsx]</t>
  </si>
  <si>
    <t xml:space="preserve">Period</t>
  </si>
  <si>
    <t xml:space="preserve">Elec kWh</t>
  </si>
  <si>
    <t xml:space="preserve">Rate R/kWh</t>
  </si>
  <si>
    <t xml:space="preserve">Solar</t>
  </si>
  <si>
    <t xml:space="preserve">Solar Owner</t>
  </si>
  <si>
    <t xml:space="preserve">Generator</t>
  </si>
  <si>
    <t xml:space="preserve">Forklift Type</t>
  </si>
  <si>
    <t xml:space="preserve">Lithium #</t>
  </si>
  <si>
    <t xml:space="preserve">Lead-acid #</t>
  </si>
  <si>
    <t xml:space="preserve">Fuel Tank L</t>
  </si>
  <si>
    <t xml:space="preserve">Gauteng (JHB)</t>
  </si>
  <si>
    <t xml:space="preserve">H1 2025</t>
  </si>
  <si>
    <t xml:space="preserve">SG-owned</t>
  </si>
  <si>
    <t xml:space="preserve">Yes (diesel)</t>
  </si>
  <si>
    <t xml:space="preserve">Electric (Li)</t>
  </si>
  <si>
    <t xml:space="preserve">H2 2025</t>
  </si>
  <si>
    <t xml:space="preserve">Cape Town</t>
  </si>
  <si>
    <t xml:space="preserve">Landlord (SPEAR)</t>
  </si>
  <si>
    <t xml:space="preserve">Port Elizabeth</t>
  </si>
  <si>
    <t xml:space="preserve">None</t>
  </si>
  <si>
    <t xml:space="preserve">Durban</t>
  </si>
  <si>
    <t xml:space="preserve">Bloemfontein</t>
  </si>
  <si>
    <t xml:space="preserve">JDE ENVIRONMENTAL SAQ — Key Questions  [Source: Maxine/JDE/ENVIRONMENTAL Q AND A.xlsx]</t>
  </si>
  <si>
    <t xml:space="preserve">SAQ Question</t>
  </si>
  <si>
    <t xml:space="preserve">Response</t>
  </si>
  <si>
    <t xml:space="preserve">Formalised Environmental policy in place?</t>
  </si>
  <si>
    <t xml:space="preserve">Policy</t>
  </si>
  <si>
    <t xml:space="preserve">Yes — company-wide policy</t>
  </si>
  <si>
    <t xml:space="preserve">GHG/Energy reduction targets set?</t>
  </si>
  <si>
    <t xml:space="preserve">Commitments</t>
  </si>
  <si>
    <t xml:space="preserve">Yes — SBTi CNZS 2.0 net-zero by 2050</t>
  </si>
  <si>
    <t xml:space="preserve">Water reduction targets?</t>
  </si>
  <si>
    <t xml:space="preserve">Yes — CT dam project; DBN monitoring</t>
  </si>
  <si>
    <t xml:space="preserve">Waste reduction/diversion targets?</t>
  </si>
  <si>
    <t xml:space="preserve">Yes — Oricol 91% diversion rate (Mar-26)</t>
  </si>
  <si>
    <t xml:space="preserve">ISO 14001 certified?</t>
  </si>
  <si>
    <t xml:space="preserve">Management</t>
  </si>
  <si>
    <t xml:space="preserve">In progress — target date TBC with Maria</t>
  </si>
  <si>
    <t xml:space="preserve">GHG measurement methodology?</t>
  </si>
  <si>
    <t xml:space="preserve">Measurement</t>
  </si>
  <si>
    <t xml:space="preserve">DEFRA 2024 / Eskom NERSA 2024 emission factors</t>
  </si>
  <si>
    <t xml:space="preserve">Physical climate risks experienced?</t>
  </si>
  <si>
    <t xml:space="preserve">Climate</t>
  </si>
  <si>
    <t xml:space="preserve">Yes — Durban floods 2022, heat impact on drivers</t>
  </si>
  <si>
    <t xml:space="preserve">Transition plan for net-zero?</t>
  </si>
  <si>
    <t xml:space="preserve">Transition</t>
  </si>
  <si>
    <t xml:space="preserve">Yes — SBTi CNZS 2.0, EV fleet plan, solar expansion</t>
  </si>
  <si>
    <t xml:space="preserve">Biodiversity policy?</t>
  </si>
  <si>
    <t xml:space="preserve">Under development</t>
  </si>
  <si>
    <t xml:space="preserve">Chemicals/spill control procedures?</t>
  </si>
  <si>
    <t xml:space="preserve">Operations</t>
  </si>
  <si>
    <t xml:space="preserve">Yes — depot spill kits, emergency response plans</t>
  </si>
  <si>
    <t xml:space="preserve">SUPPLIER CODE OF CONDUCT — Control Framework</t>
  </si>
  <si>
    <t xml:space="preserve">Document</t>
  </si>
  <si>
    <t xml:space="preserve">Super Group Supplier Code of Conduct and Ethics (Rev 2, 30 Jan 2023)</t>
  </si>
  <si>
    <t xml:space="preserve">Public</t>
  </si>
  <si>
    <t xml:space="preserve">Coverage</t>
  </si>
  <si>
    <t xml:space="preserve">Labour &amp; Human Rights · Business Ethics &amp; Integrity · Health &amp; Safety · Environment &amp; Sustainability</t>
  </si>
  <si>
    <t xml:space="preserve">Whistleblower</t>
  </si>
  <si>
    <t xml:space="preserve">Be Heard hotline 0800-007-117 — available to suppliers, employees and contractors (24/365 anonymous)</t>
  </si>
  <si>
    <t xml:space="preserve">Enforcement</t>
  </si>
  <si>
    <t xml:space="preserve">SG reserves right to terminate non-compliant suppliers; mandatory self-reporting of breaches</t>
  </si>
  <si>
    <t xml:space="preserve">B-BBEE certificate</t>
  </si>
  <si>
    <t xml:space="preserve">All suppliers must hold valid B-BBEE certificate or affidavit (Supplier Code §6)</t>
  </si>
  <si>
    <t xml:space="preserve">NET-ZERO ROADMAP — SBTi CNZS 2.0 | OER Tiers | 2030/2040/2050 Milestones  [Links: E_Data GHG actual]</t>
  </si>
  <si>
    <t xml:space="preserve">SBTi CNZS 2.0 — SCIENCE-BASED TARGETS (Corporate Net-Zero Standard)</t>
  </si>
  <si>
    <t xml:space="preserve">Scope / Metric</t>
  </si>
  <si>
    <t xml:space="preserve">Baseline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</si>
  <si>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</si>
  <si>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</si>
  <si>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</si>
  <si>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</si>
  <si>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</si>
  <si>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</si>
  <si>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2035</t>
  </si>
  <si>
    <t xml:space="preserve">2040</t>
  </si>
  <si>
    <t xml:space="preserve">2045</t>
  </si>
  <si>
    <t xml:space="preserve">2050</t>
  </si>
  <si>
    <t xml:space="preserve">Net-Zero
By 2050</t>
  </si>
  <si>
    <t xml:space="preserve">Scope 1+2 tCO₂e (baseline → 2050)</t>
  </si>
  <si>
    <t xml:space="preserve">Link to E_Data GHG total</t>
  </si>
  <si>
    <t xml:space="preserve">  Scope 1 — Fleet + Gen + LPG</t>
  </si>
  <si>
    <t xml:space="preserve">EV fleet transition key lever</t>
  </si>
  <si>
    <t xml:space="preserve">  Scope 2 Net — Electricity (grid-solar)</t>
  </si>
  <si>
    <t xml:space="preserve">Solar expansion at all depots</t>
  </si>
  <si>
    <t xml:space="preserve">Scope 3 tCO₂e (30% by 2030)</t>
  </si>
  <si>
    <t xml:space="preserve">Carbon Credits / Offsets (OER)</t>
  </si>
  <si>
    <t xml:space="preserve">OER Pre-recognised → Recognised 2028</t>
  </si>
  <si>
    <t xml:space="preserve">OER TIER MILESTONES — SBTi CNZS 2.0 OER (Ongoing Emissions Reductions)</t>
  </si>
  <si>
    <t xml:space="preserve">Tier</t>
  </si>
  <si>
    <t xml:space="preserve">Target Year</t>
  </si>
  <si>
    <t xml:space="preserve">GHG Requirement</t>
  </si>
  <si>
    <t xml:space="preserve">Key Initiative</t>
  </si>
  <si>
    <t xml:space="preserve">Carbon Credits</t>
  </si>
  <si>
    <t xml:space="preserve">SG Consumer Action</t>
  </si>
  <si>
    <t xml:space="preserve">Pre-Recognised (Current)</t>
  </si>
  <si>
    <t xml:space="preserve">Commit to SBTi near-term target</t>
  </si>
  <si>
    <t xml:space="preserve">Submit SBTi commitment letter</t>
  </si>
  <si>
    <t xml:space="preserve">Any</t>
  </si>
  <si>
    <t xml:space="preserve">Baseline established: FY2025/26</t>
  </si>
  <si>
    <t xml:space="preserve">Recognised</t>
  </si>
  <si>
    <t xml:space="preserve">−50% Scope 1+2 from baseline</t>
  </si>
  <si>
    <t xml:space="preserve">EV fleet phase-in; solar expansion</t>
  </si>
  <si>
    <t xml:space="preserve">Carbon credits optional</t>
  </si>
  <si>
    <t xml:space="preserve">KPI: 50% S1+2 reduction from baseline</t>
  </si>
  <si>
    <t xml:space="preserve">Leadership</t>
  </si>
  <si>
    <t xml:space="preserve">−90% Scope 1+2 + 30% S3 + residual offsets</t>
  </si>
  <si>
    <t xml:space="preserve">Full EV fleet; 100% renewable energy</t>
  </si>
  <si>
    <t xml:space="preserve">High-quality carbon credits for residual</t>
  </si>
  <si>
    <t xml:space="preserve">Publish net-zero report</t>
  </si>
  <si>
    <t xml:space="preserve">Net-Zero across Scope 1+2+3</t>
  </si>
  <si>
    <t xml:space="preserve">Zero fossil fleet; all renewable</t>
  </si>
  <si>
    <t xml:space="preserve">Only residual credits allowed</t>
  </si>
  <si>
    <t xml:space="preserve">Legacy net-zero organisation</t>
  </si>
  <si>
    <t xml:space="preserve">KEY NET-ZERO LEVERS — SG Consumer Action Plan</t>
  </si>
  <si>
    <t xml:space="preserve">Lever</t>
  </si>
  <si>
    <t xml:space="preserve">Data Sheet</t>
  </si>
  <si>
    <t xml:space="preserve">Timeline</t>
  </si>
  <si>
    <t xml:space="preserve">Owner</t>
  </si>
  <si>
    <t xml:space="preserve">EV Fleet Transition</t>
  </si>
  <si>
    <t xml:space="preserve">MAXUS eDeliver 3/5 — CPT &amp; PE urban routes first</t>
  </si>
  <si>
    <t xml:space="preserve">20% EV by 2030</t>
  </si>
  <si>
    <t xml:space="preserve">FY2026/27</t>
  </si>
  <si>
    <t xml:space="preserve">Maxine / Fleet Mgr</t>
  </si>
  <si>
    <t xml:space="preserve">Solar Expansion</t>
  </si>
  <si>
    <t xml:space="preserve">JHB Graeme Barand confirmed; DBN EDGE cert pending; CPT/BLOEM/PE to assess</t>
  </si>
  <si>
    <t xml:space="preserve">50% renewable by 2030</t>
  </si>
  <si>
    <t xml:space="preserve">FY2025/26</t>
  </si>
  <si>
    <t xml:space="preserve">Graeme Barand / Ops</t>
  </si>
  <si>
    <t xml:space="preserve">Eco-Driving Training</t>
  </si>
  <si>
    <t xml:space="preserve">Reduce fleet L/100km by 10% via driver training</t>
  </si>
  <si>
    <t xml:space="preserve">L/100km ≤ norm</t>
  </si>
  <si>
    <t xml:space="preserve">Q3 FY2025</t>
  </si>
  <si>
    <t xml:space="preserve">WSP training plan</t>
  </si>
  <si>
    <t xml:space="preserve">Waste Diversion</t>
  </si>
  <si>
    <t xml:space="preserve">Extend Oricol CPT 91% diversion to all depots</t>
  </si>
  <si>
    <t xml:space="preserve">≥75% all depots</t>
  </si>
  <si>
    <t xml:space="preserve">FY2026</t>
  </si>
  <si>
    <t xml:space="preserve">Mariette / SHEQ</t>
  </si>
  <si>
    <t xml:space="preserve">Water Conservation</t>
  </si>
  <si>
    <t xml:space="preserve">CT dam project; DBN 20kL mezzanine; IE monitoring</t>
  </si>
  <si>
    <t xml:space="preserve">Reduce 10% YoY</t>
  </si>
  <si>
    <t xml:space="preserve">Mariette / Richard</t>
  </si>
  <si>
    <t xml:space="preserve">Generator Replacement</t>
  </si>
  <si>
    <t xml:space="preserve">DBN &amp; BLOEM generators → solar/UPS</t>
  </si>
  <si>
    <t xml:space="preserve">E_Data Gen</t>
  </si>
  <si>
    <t xml:space="preserve">Zero generator by 2030</t>
  </si>
  <si>
    <t xml:space="preserve">FY2028</t>
  </si>
  <si>
    <t xml:space="preserve">Facilities</t>
  </si>
  <si>
    <t xml:space="preserve">SBTi Commitment</t>
  </si>
  <si>
    <t xml:space="preserve">Submit near-term targets commitment letter</t>
  </si>
  <si>
    <t xml:space="preserve">Submitted 2026</t>
  </si>
  <si>
    <t xml:space="preserve">Q1 FY2026</t>
  </si>
  <si>
    <t xml:space="preserve">Richard / Okiru</t>
  </si>
  <si>
    <t xml:space="preserve">Carbon Credits Register</t>
  </si>
  <si>
    <t xml:space="preserve">EDGE DBN credit + solar JHB credit tracking</t>
  </si>
  <si>
    <t xml:space="preserve">OER Recognised 2028</t>
  </si>
  <si>
    <t xml:space="preserve">FY2027</t>
  </si>
  <si>
    <t xml:space="preserve">⚖  B-BBEE GENERIC CODE — ESG ELEMENT MAPPING  |  Statement 000 Series</t>
  </si>
  <si>
    <t xml:space="preserve">Generic Scorecard (Statement 000): 109 points + 5 bonus = 114 total. Auto-pulled from E/S/G data where possible. Status level driven by total points.</t>
  </si>
  <si>
    <t xml:space="preserve">GENERIC SCORECARD — 5 elements</t>
  </si>
  <si>
    <t xml:space="preserve">Element</t>
  </si>
  <si>
    <t xml:space="preserve">Sub-target</t>
  </si>
  <si>
    <t xml:space="preserve">Points Earned</t>
  </si>
  <si>
    <t xml:space="preserve">Source / Logic</t>
  </si>
  <si>
    <t xml:space="preserve">ESG Pillar</t>
  </si>
  <si>
    <t xml:space="preserve">OWNERSHIP  (Statement 100)</t>
  </si>
  <si>
    <t xml:space="preserve">≥25.1% Black ownership</t>
  </si>
  <si>
    <t xml:space="preserve">Manual entry — confirm with share register / Modified Flow-Through</t>
  </si>
  <si>
    <t xml:space="preserve">MANAGEMENT CONTROL  (Statement 200)</t>
  </si>
  <si>
    <t xml:space="preserve">Black 60% / Black Female 30%</t>
  </si>
  <si>
    <t xml:space="preserve">EE_Scorecard E15 total/100 × 19 pts (weighted scorecard already aligned)</t>
  </si>
  <si>
    <t xml:space="preserve">SKILLS DEVELOPMENT  (Statement 300)</t>
  </si>
  <si>
    <t xml:space="preserve">6% payroll spend on Black training</t>
  </si>
  <si>
    <t xml:space="preserve">Training spend (S_Data B50) ÷ Leviable payroll (B43); target 6%</t>
  </si>
  <si>
    <t xml:space="preserve">ENTERPRISE &amp; SUPPLIER DEVELOPMENT  (Statement 400)</t>
  </si>
  <si>
    <t xml:space="preserve">PP 25 + ESD 15 sub-targets</t>
  </si>
  <si>
    <t xml:space="preserve">Manual entry — % recognition vs PP 25 + ESD 15 sub-targets</t>
  </si>
  <si>
    <t xml:space="preserve">Social / Governance</t>
  </si>
  <si>
    <t xml:space="preserve">SOCIO-ECONOMIC DEVELOPMENT  (Statement 500)</t>
  </si>
  <si>
    <t xml:space="preserve">1% NPAT contribution</t>
  </si>
  <si>
    <t xml:space="preserve">CSI spend ÷ NPAT; target 1% (THR_CSI)</t>
  </si>
  <si>
    <t xml:space="preserve">BONUS POINTS  (net job creation, value-adding)</t>
  </si>
  <si>
    <t xml:space="preserve">Up to 5 bonus pts</t>
  </si>
  <si>
    <t xml:space="preserve">Manual — claim up to 5 bonus points (net job creation / value-add)</t>
  </si>
  <si>
    <t xml:space="preserve">STATUS LEVEL — Auto-determined from total points</t>
  </si>
  <si>
    <t xml:space="preserve">Current Level</t>
  </si>
  <si>
    <t xml:space="preserve">Procurement Recognition</t>
  </si>
  <si>
    <t xml:space="preserve">GAP TO NEXT LEVEL</t>
  </si>
  <si>
    <t xml:space="preserve">Points to next level</t>
  </si>
  <si>
    <t xml:space="preserve">Biggest opportunity</t>
  </si>
  <si>
    <t xml:space="preserve">🎯  MATERIALITY MATRIX  —  Impact × Likelihood  |  Auto-fed from GARP_GRAP risks</t>
  </si>
  <si>
    <t xml:space="preserve">Double materiality basis (IFRS S1/S2 + ESRS): financial impact AND impact on environment/society. Change "Materiality basis" toggle in Assumptions B10 to switch between Single/Double/Dynamic.</t>
  </si>
  <si>
    <t xml:space="preserve">SECTION 1 — Material risks (auto-pulled from GARP_GRAP)</t>
  </si>
  <si>
    <t xml:space="preserve">Financial Impact</t>
  </si>
  <si>
    <t xml:space="preserve">Impact on E/S</t>
  </si>
  <si>
    <t xml:space="preserve">Material Score</t>
  </si>
  <si>
    <t xml:space="preserve">Mitigation Priority</t>
  </si>
  <si>
    <t xml:space="preserve">SECTION 2 — Compliance requirements (auto-pulled from GARP_GRAP GRAP block)</t>
  </si>
  <si>
    <t xml:space="preserve">SECTION 3 — Materiality summary</t>
  </si>
  <si>
    <t xml:space="preserve">Materiality basis (from Assumptions)</t>
  </si>
  <si>
    <t xml:space="preserve">Critical material risks (≥15)</t>
  </si>
  <si>
    <t xml:space="preserve">High material risks (10-14)</t>
  </si>
  <si>
    <t xml:space="preserve">Average material score</t>
  </si>
  <si>
    <t xml:space="preserve">💰  CARBON TAX LIABILITY CALCULATOR  |  SA Carbon Tax Act, Section 12  |  Tier 1 + Tier 2 sensitivity</t>
  </si>
  <si>
    <t xml:space="preserve">Liability = (Scope 1+2 tCO₂e × (1 - Basic Allowance)) × Carbon Tax Rate. Display mode controlled by Assumptions!B13. Currency follows Assumptions!B11.</t>
  </si>
  <si>
    <t xml:space="preserve">EMISSIONS BASE — pulled from E_Data GHG Summary</t>
  </si>
  <si>
    <t xml:space="preserve">Activity</t>
  </si>
  <si>
    <t xml:space="preserve">Taxable (after 60% allow.)</t>
  </si>
  <si>
    <t xml:space="preserve">Scope 1A</t>
  </si>
  <si>
    <t xml:space="preserve">Fleet diesel</t>
  </si>
  <si>
    <t xml:space="preserve">E_Data row 75 (annualised × 40% taxable)</t>
  </si>
  <si>
    <t xml:space="preserve">Scope 1B</t>
  </si>
  <si>
    <t xml:space="preserve">Generator diesel</t>
  </si>
  <si>
    <t xml:space="preserve">E_Data row 76</t>
  </si>
  <si>
    <t xml:space="preserve">Scope 1C</t>
  </si>
  <si>
    <t xml:space="preserve">LPG (forklifts)</t>
  </si>
  <si>
    <t xml:space="preserve">E_Data row 77</t>
  </si>
  <si>
    <t xml:space="preserve">Scope 1D</t>
  </si>
  <si>
    <t xml:space="preserve">Business cars</t>
  </si>
  <si>
    <t xml:space="preserve">E_Data row 78</t>
  </si>
  <si>
    <t xml:space="preserve">Scope 2</t>
  </si>
  <si>
    <t xml:space="preserve">Electricity (grid, net of solar)</t>
  </si>
  <si>
    <t xml:space="preserve">E_Data row 82 (Scope 2 NET, after solar offset)</t>
  </si>
  <si>
    <t xml:space="preserve">TOTAL TAXABLE</t>
  </si>
  <si>
    <t xml:space="preserve">LIABILITY CALCULATION — TIER 1 (CURRENT) vs TIER 2 (ESCALATED)</t>
  </si>
  <si>
    <t xml:space="preserve">Tier 1 (Current)</t>
  </si>
  <si>
    <t xml:space="preserve">Tier 2 (Escalated)</t>
  </si>
  <si>
    <t xml:space="preserve">Delta</t>
  </si>
  <si>
    <t xml:space="preserve">Display?</t>
  </si>
  <si>
    <t xml:space="preserve">Notes</t>
  </si>
  <si>
    <t xml:space="preserve">Rate (currency/tCO₂e)</t>
  </si>
  <si>
    <t xml:space="preserve">Rate from Assumptions TAX_T1 / TAX_T2</t>
  </si>
  <si>
    <t xml:space="preserve">Annual liability (taxable × rate)</t>
  </si>
  <si>
    <t xml:space="preserve">Annualised taxable tCO₂e × rate per tCO₂e</t>
  </si>
  <si>
    <t xml:space="preserve">Annual liability (formatted)</t>
  </si>
  <si>
    <t xml:space="preserve">MITIGATION SCENARIOS — what-if liability reduction</t>
  </si>
  <si>
    <t xml:space="preserve">Scenario</t>
  </si>
  <si>
    <t xml:space="preserve">Tier 1 saving</t>
  </si>
  <si>
    <t xml:space="preserve">Tier 2 saving</t>
  </si>
  <si>
    <t xml:space="preserve">Capex est.</t>
  </si>
  <si>
    <t xml:space="preserve">Payback</t>
  </si>
  <si>
    <t xml:space="preserve">Solar PV → 20% of grid demand</t>
  </si>
  <si>
    <t xml:space="preserve">Capex assumed R4.5M for 5-depot PV roll-out (R900k per depot)</t>
  </si>
  <si>
    <t xml:space="preserve">Eco-driving training → -10% L/100km</t>
  </si>
  <si>
    <t xml:space="preserve">Training cost ~R4,500 per driver × 77 drivers</t>
  </si>
  <si>
    <t xml:space="preserve">EV fleet → 20% transition</t>
  </si>
  <si>
    <t xml:space="preserve">Capex est: 27 vehicles × R670k diff vs diesel</t>
  </si>
  <si>
    <t xml:space="preserve">TOTAL MITIGATION POTENTIAL</t>
  </si>
  <si>
    <t xml:space="preserve">NET LIABILITY POSITION — pre and post mitigation</t>
  </si>
  <si>
    <t xml:space="preserve">Pre-mitigation annual liability</t>
  </si>
  <si>
    <t xml:space="preserve">Post-mitigation (all 3 scenarios)</t>
  </si>
  <si>
    <t xml:space="preserve">% reduction</t>
  </si>
  <si>
    <t xml:space="preserve">STANDARDS CROSS-REFERENCE MAP  |  All indicators mapped across GRI · IFRS S1/S2 · King V · ISO · B-BBEE · SBTi</t>
  </si>
  <si>
    <t xml:space="preserve">ESG Indicator</t>
  </si>
  <si>
    <t xml:space="preserve">GRI Ref</t>
  </si>
  <si>
    <t xml:space="preserve">IFRS S1</t>
  </si>
  <si>
    <t xml:space="preserve">IFRS S2</t>
  </si>
  <si>
    <t xml:space="preserve">King V</t>
  </si>
  <si>
    <t xml:space="preserve">ISO Std</t>
  </si>
  <si>
    <t xml:space="preserve">B-BBEE</t>
  </si>
  <si>
    <t xml:space="preserve">SBTi</t>
  </si>
  <si>
    <t xml:space="preserve">Toolkit Sheet</t>
  </si>
  <si>
    <t xml:space="preserve">Fleet Diesel — Scope 1 tCO₂e</t>
  </si>
  <si>
    <t xml:space="preserve">GRI 305-1</t>
  </si>
  <si>
    <t xml:space="preserve">S1.5(a)</t>
  </si>
  <si>
    <t xml:space="preserve">S2.29</t>
  </si>
  <si>
    <t xml:space="preserve">P4/P10/P15</t>
  </si>
  <si>
    <t xml:space="preserve">ISO14001 c9.1</t>
  </si>
  <si>
    <t xml:space="preserve">Near-term target</t>
  </si>
  <si>
    <t xml:space="preserve">Generator Diesel — Scope 1</t>
  </si>
  <si>
    <t xml:space="preserve">ISO14001 c6.1.2</t>
  </si>
  <si>
    <t xml:space="preserve">Near-term</t>
  </si>
  <si>
    <t xml:space="preserve">LPG Forklifts — Scope 1 (DBN)</t>
  </si>
  <si>
    <t xml:space="preserve">ISO14001</t>
  </si>
  <si>
    <t xml:space="preserve">Business Cars — Scope 1</t>
  </si>
  <si>
    <t xml:space="preserve">Electricity Grid — Scope 2</t>
  </si>
  <si>
    <t xml:space="preserve">GRI 305-2</t>
  </si>
  <si>
    <t xml:space="preserve">S2.30</t>
  </si>
  <si>
    <t xml:space="preserve">ISO14001 c6.2</t>
  </si>
  <si>
    <t xml:space="preserve">Solar PV offset — Scope 2</t>
  </si>
  <si>
    <t xml:space="preserve">GRI 302-4</t>
  </si>
  <si>
    <t xml:space="preserve">S1.33</t>
  </si>
  <si>
    <t xml:space="preserve">S2.32</t>
  </si>
  <si>
    <t xml:space="preserve">RE100</t>
  </si>
  <si>
    <t xml:space="preserve">Water consumption</t>
  </si>
  <si>
    <t xml:space="preserve">S1.5</t>
  </si>
  <si>
    <t xml:space="preserve">Waste diversion % (Oricol)</t>
  </si>
  <si>
    <t xml:space="preserve">ISO14001 c8.1</t>
  </si>
  <si>
    <t xml:space="preserve">Fleet L/100km vs norm</t>
  </si>
  <si>
    <t xml:space="preserve">GRI 302-3</t>
  </si>
  <si>
    <t xml:space="preserve">SASB TR-AU</t>
  </si>
  <si>
    <t xml:space="preserve">Scope 1 lever</t>
  </si>
  <si>
    <t xml:space="preserve">EV Fleet mix %</t>
  </si>
  <si>
    <t xml:space="preserve">S2.34</t>
  </si>
  <si>
    <t xml:space="preserve">P4/P13</t>
  </si>
  <si>
    <t xml:space="preserve">Scope 1&amp;3</t>
  </si>
  <si>
    <t xml:space="preserve">ISO 14001 certification</t>
  </si>
  <si>
    <t xml:space="preserve">GRI 307-1</t>
  </si>
  <si>
    <t xml:space="preserve">S1.22</t>
  </si>
  <si>
    <t xml:space="preserve">P12</t>
  </si>
  <si>
    <t xml:space="preserve">Energy intensity kWh/tonne-km</t>
  </si>
  <si>
    <t xml:space="preserve">P14</t>
  </si>
  <si>
    <t xml:space="preserve">GRI 405-1</t>
  </si>
  <si>
    <t xml:space="preserve">S1.5(b)</t>
  </si>
  <si>
    <t xml:space="preserve">ISO26000 s6.4</t>
  </si>
  <si>
    <t xml:space="preserve">MC/EE</t>
  </si>
  <si>
    <t xml:space="preserve">EE: % Black female management</t>
  </si>
  <si>
    <t xml:space="preserve">ISO26000</t>
  </si>
  <si>
    <t xml:space="preserve">EE: Persons with Disabilities</t>
  </si>
  <si>
    <t xml:space="preserve">EE/PWD</t>
  </si>
  <si>
    <t xml:space="preserve">WSP: Training hours/employee</t>
  </si>
  <si>
    <t xml:space="preserve">P3/P6</t>
  </si>
  <si>
    <t xml:space="preserve">SD 15pts</t>
  </si>
  <si>
    <t xml:space="preserve">WSP: SDL levy &amp; grant recovery</t>
  </si>
  <si>
    <t xml:space="preserve">GRI 401-2</t>
  </si>
  <si>
    <t xml:space="preserve">SD</t>
  </si>
  <si>
    <t xml:space="preserve">H&amp;S: LTIFR</t>
  </si>
  <si>
    <t xml:space="preserve">GRI 403-9</t>
  </si>
  <si>
    <t xml:space="preserve">ISO45001 c9.1</t>
  </si>
  <si>
    <t xml:space="preserve">H&amp;S: Fatalities</t>
  </si>
  <si>
    <t xml:space="preserve">ISO45001</t>
  </si>
  <si>
    <t xml:space="preserve">Driver Debrief — customer hit %</t>
  </si>
  <si>
    <t xml:space="preserve">GRI 416-1</t>
  </si>
  <si>
    <t xml:space="preserve">Scope1 km</t>
  </si>
  <si>
    <t xml:space="preserve">Driver excess km (waste)</t>
  </si>
  <si>
    <t xml:space="preserve">Scope1 reduction</t>
  </si>
  <si>
    <t xml:space="preserve">CSI/SED spend</t>
  </si>
  <si>
    <t xml:space="preserve">GRI 413-1</t>
  </si>
  <si>
    <t xml:space="preserve">ISO26000 s6.8</t>
  </si>
  <si>
    <t xml:space="preserve">SED 5pts</t>
  </si>
  <si>
    <t xml:space="preserve">Supplier H&amp;S rating (IMS-T-149)</t>
  </si>
  <si>
    <t xml:space="preserve">GRI 308-1</t>
  </si>
  <si>
    <t xml:space="preserve">S1.17</t>
  </si>
  <si>
    <t xml:space="preserve">P11</t>
  </si>
  <si>
    <t xml:space="preserve">ESD</t>
  </si>
  <si>
    <t xml:space="preserve">Sanulac sustainability compliance</t>
  </si>
  <si>
    <t xml:space="preserve">ISO22000</t>
  </si>
  <si>
    <t xml:space="preserve">King V Apply &amp; Explain score</t>
  </si>
  <si>
    <t xml:space="preserve">GRI 2-17</t>
  </si>
  <si>
    <t xml:space="preserve">S1.5(c)</t>
  </si>
  <si>
    <t xml:space="preserve">S2.6</t>
  </si>
  <si>
    <t xml:space="preserve">P1-P17</t>
  </si>
  <si>
    <t xml:space="preserve">GRI 2-22</t>
  </si>
  <si>
    <t xml:space="preserve">S1.6</t>
  </si>
  <si>
    <t xml:space="preserve">P8/P15</t>
  </si>
  <si>
    <t xml:space="preserve">GARP ERM — climate risks</t>
  </si>
  <si>
    <t xml:space="preserve">GRI 2-25</t>
  </si>
  <si>
    <t xml:space="preserve">S2.9</t>
  </si>
  <si>
    <t xml:space="preserve">P10</t>
  </si>
  <si>
    <t xml:space="preserve">ISO31000</t>
  </si>
  <si>
    <t xml:space="preserve">POPIA / ISO 27001</t>
  </si>
  <si>
    <t xml:space="preserve">GRI 418-1</t>
  </si>
  <si>
    <t xml:space="preserve">P9</t>
  </si>
  <si>
    <t xml:space="preserve">ISO27001</t>
  </si>
  <si>
    <t xml:space="preserve">Board composition diversity</t>
  </si>
  <si>
    <t xml:space="preserve">GRI 2-18</t>
  </si>
  <si>
    <t xml:space="preserve">P3/P7</t>
  </si>
  <si>
    <t xml:space="preserve">MC</t>
  </si>
  <si>
    <t xml:space="preserve">Social &amp; Ethics Committee</t>
  </si>
  <si>
    <t xml:space="preserve">GRI 2-20</t>
  </si>
  <si>
    <t xml:space="preserve">External ESG assurance</t>
  </si>
  <si>
    <t xml:space="preserve">GRI 2-5</t>
  </si>
  <si>
    <t xml:space="preserve">S1.27</t>
  </si>
  <si>
    <t xml:space="preserve">ISAE3000</t>
  </si>
  <si>
    <t xml:space="preserve">ESG-linked remuneration</t>
  </si>
  <si>
    <t xml:space="preserve">Net-Zero commitment (SBTi)</t>
  </si>
  <si>
    <t xml:space="preserve">GRI 305-5</t>
  </si>
  <si>
    <t xml:space="preserve">P4/P15</t>
  </si>
  <si>
    <t xml:space="preserve">CNZS 2.0</t>
  </si>
  <si>
    <t xml:space="preserve">📖  GLOSSARY  —  Technical terminology, definitions, and source citations</t>
  </si>
  <si>
    <t xml:space="preserve">Every technical term used in this toolkit with its plain-English definition and authoritative source. Cell comments throughout the workbook point back to this glossary. Where a term has both an international standard reference and a South African legal reference, both are cited.</t>
  </si>
  <si>
    <t xml:space="preserve">Term</t>
  </si>
  <si>
    <t xml:space="preserve">Acronym</t>
  </si>
  <si>
    <t xml:space="preserve">Definition</t>
  </si>
  <si>
    <t xml:space="preserve">Source / Standard</t>
  </si>
  <si>
    <t xml:space="preserve">See also</t>
  </si>
  <si>
    <t xml:space="preserve">GHG / EMISSIONS</t>
  </si>
  <si>
    <t xml:space="preserve">Greenhouse Gas</t>
  </si>
  <si>
    <t xml:space="preserve">GHG</t>
  </si>
  <si>
    <t xml:space="preserve">Atmospheric gases that trap heat: CO₂, CH₄ (methane), N₂O (nitrous oxide), HFCs, PFCs, SF₆, NF₃.</t>
  </si>
  <si>
    <t xml:space="preserve">Kyoto Protocol; IPCC AR6</t>
  </si>
  <si>
    <t xml:space="preserve">Carbon dioxide equivalent</t>
  </si>
  <si>
    <t xml:space="preserve">CO₂e / tCO₂e</t>
  </si>
  <si>
    <t xml:space="preserve">Common unit for GHGs. Converts each gas to equivalent warming impact of CO₂ over 100 years using GWP factors.</t>
  </si>
  <si>
    <t xml:space="preserve">IPCC AR6 GWP100</t>
  </si>
  <si>
    <t xml:space="preserve">GWP</t>
  </si>
  <si>
    <t xml:space="preserve">Global Warming Potential</t>
  </si>
  <si>
    <t xml:space="preserve">Multiplier converting non-CO₂ gases to CO₂e. CH₄ = 27.9, N₂O = 273, SF₆ = 25,200.</t>
  </si>
  <si>
    <t xml:space="preserve">IPCC AR6</t>
  </si>
  <si>
    <t xml:space="preserve">Scope 1 emissions</t>
  </si>
  <si>
    <t xml:space="preserve">Scope 1</t>
  </si>
  <si>
    <t xml:space="preserve">Direct emissions from owned/controlled sources. Fleet fuel, generators, on-site combustion, refrigerant leaks.</t>
  </si>
  <si>
    <t xml:space="preserve">GHG Protocol Corp. Standard Ch. 4</t>
  </si>
  <si>
    <t xml:space="preserve">GHG Protocol</t>
  </si>
  <si>
    <t xml:space="preserve">Scope 2 emissions</t>
  </si>
  <si>
    <t xml:space="preserve">Indirect emissions from purchased electricity, steam, heating, cooling.</t>
  </si>
  <si>
    <t xml:space="preserve">GHG Protocol Scope 2 Guidance</t>
  </si>
  <si>
    <t xml:space="preserve">Location-based, Market-based</t>
  </si>
  <si>
    <t xml:space="preserve">Scope 3 emissions</t>
  </si>
  <si>
    <t xml:space="preserve">Scope 3</t>
  </si>
  <si>
    <t xml:space="preserve">All other indirect emissions across the value chain (15 categories incl. purchased goods, business travel, employee commute, waste, water, downstream transport).</t>
  </si>
  <si>
    <t xml:space="preserve">GHG Protocol Corp. Value Chain Standard</t>
  </si>
  <si>
    <t xml:space="preserve">15 Scope 3 categories</t>
  </si>
  <si>
    <t xml:space="preserve">Emission Factor</t>
  </si>
  <si>
    <t xml:space="preserve">EF</t>
  </si>
  <si>
    <t xml:space="preserve">Coefficient converting activity data (litres, kWh, kg) into emissions (kgCO₂e). e.g. diesel = 2.68 kgCO₂e/L.</t>
  </si>
  <si>
    <t xml:space="preserve">DEFRA 2024; IPCC; Eskom NERSA</t>
  </si>
  <si>
    <t xml:space="preserve">World Resources Institute/WBCSD standard for corporate GHG accounting. The foundational reference for Scope 1/2/3 classification.</t>
  </si>
  <si>
    <t xml:space="preserve">ghgprotocol.org</t>
  </si>
  <si>
    <t xml:space="preserve">Science Based Targets initiative</t>
  </si>
  <si>
    <t xml:space="preserve">Voluntary framework defining "credible" emissions reduction targets aligned to limiting warming to 1.5°C / well-below 2°C.</t>
  </si>
  <si>
    <t xml:space="preserve">sciencebasedtargets.org</t>
  </si>
  <si>
    <t xml:space="preserve">Corporate Net Zero Standard</t>
  </si>
  <si>
    <t xml:space="preserve">SBTi standard requiring ≥90% emissions reduction across all scopes by long-term target year, with residuals neutralised via permanent removals.</t>
  </si>
  <si>
    <t xml:space="preserve">SBTi CNZS v2.0 (2024)</t>
  </si>
  <si>
    <t xml:space="preserve">Net-zero, Neutralisation</t>
  </si>
  <si>
    <t xml:space="preserve">Global initiative committing members to 100% renewable electricity.</t>
  </si>
  <si>
    <t xml:space="preserve">there100.org</t>
  </si>
  <si>
    <t xml:space="preserve">Carbon Tax (SA)</t>
  </si>
  <si>
    <t xml:space="preserve">South African Carbon Tax Act 15 of 2019, Section 12L. Levy on Scope 1+2 emissions above the basic 60% tax-free allowance. Tier 1 rate R236/tCO₂e (2025); escalating.</t>
  </si>
  <si>
    <t xml:space="preserve">Carbon Tax Act 15 of 2019</t>
  </si>
  <si>
    <t xml:space="preserve">Section 12L allowance</t>
  </si>
  <si>
    <t xml:space="preserve">12L</t>
  </si>
  <si>
    <t xml:space="preserve">Income Tax Act §12L. 60% basic tax-free emissions allowance for industrial/commercial firms. Reduces taxable Scope 1+2 base.</t>
  </si>
  <si>
    <t xml:space="preserve">Income Tax Act s12L; SARS guidance</t>
  </si>
  <si>
    <t xml:space="preserve">TRANSPORT EMISSIONS (ISO 14083 / GLEC)</t>
  </si>
  <si>
    <t xml:space="preserve">ISO 14083</t>
  </si>
  <si>
    <t xml:space="preserve">International standard for quantifying GHG emissions from transport chains. Defines journey-level calculation, allocation methods, and intensity metrics.</t>
  </si>
  <si>
    <t xml:space="preserve">ISO 14083:2023</t>
  </si>
  <si>
    <t xml:space="preserve">GLEC, tonne-km</t>
  </si>
  <si>
    <t xml:space="preserve">GLEC Framework</t>
  </si>
  <si>
    <t xml:space="preserve">GLEC</t>
  </si>
  <si>
    <t xml:space="preserve">Global Logistics Emissions Council framework. The practical methodology that operationalises ISO 14083 for industry. Maintained by Smart Freight Centre.</t>
  </si>
  <si>
    <t xml:space="preserve">smartfreightcentre.org</t>
  </si>
  <si>
    <t xml:space="preserve">Tonne-kilometre</t>
  </si>
  <si>
    <t xml:space="preserve">t·km / TKM</t>
  </si>
  <si>
    <t xml:space="preserve">Activity unit for transport emissions: 1 tonne of cargo moved 1 km. Calculated as Load (t) × Distance (km).</t>
  </si>
  <si>
    <t xml:space="preserve">ISO 14083 §6.2</t>
  </si>
  <si>
    <t xml:space="preserve">Emissions intensity (transport)</t>
  </si>
  <si>
    <t xml:space="preserve">Grams of CO₂e per tonne-kilometre. Standard transport KPI. Benchmark for heavy road freight: 80 g/t·km (GLEC).</t>
  </si>
  <si>
    <t xml:space="preserve">GLEC Framework v3.0</t>
  </si>
  <si>
    <t xml:space="preserve">TKM</t>
  </si>
  <si>
    <t xml:space="preserve">Fuel-based method</t>
  </si>
  <si>
    <t xml:space="preserve">ISO 14083 preferred method. Calculate emissions from actual fuel consumed × emission factor. Highest data quality.</t>
  </si>
  <si>
    <t xml:space="preserve">ISO 14083 §7.2</t>
  </si>
  <si>
    <t xml:space="preserve">Distance-based method</t>
  </si>
  <si>
    <t xml:space="preserve">Fallback when fuel data unavailable. Multiplies distance × vehicle-class default emission factor.</t>
  </si>
  <si>
    <t xml:space="preserve">ISO 14083 §7.3</t>
  </si>
  <si>
    <t xml:space="preserve">Allocation (transport)</t>
  </si>
  <si>
    <t xml:space="preserve">Splitting trip emissions across multiple customers/shipments. Bases: weight, volume, distance, revenue, equal-share.</t>
  </si>
  <si>
    <t xml:space="preserve">ISO 14083 §8</t>
  </si>
  <si>
    <t xml:space="preserve">Backhaul / Empty trip</t>
  </si>
  <si>
    <t xml:space="preserve">Unloaded return leg. Emissions of an empty trip are typically allocated to the loaded trip(s).</t>
  </si>
  <si>
    <t xml:space="preserve">ESG REPORTING STANDARDS</t>
  </si>
  <si>
    <t xml:space="preserve">Environmental, Social, Governance</t>
  </si>
  <si>
    <t xml:space="preserve">ESG</t>
  </si>
  <si>
    <t xml:space="preserve">Three-pillar framework for non-financial corporate performance disclosure.</t>
  </si>
  <si>
    <t xml:space="preserve">S1</t>
  </si>
  <si>
    <t xml:space="preserve">IFRS Sustainability Disclosure Standard 1: General requirements for sustainability-related financial disclosures.</t>
  </si>
  <si>
    <t xml:space="preserve">ISSB IFRS S1 (2023)</t>
  </si>
  <si>
    <t xml:space="preserve">S2</t>
  </si>
  <si>
    <t xml:space="preserve">IFRS Sustainability Disclosure Standard 2: Climate-related disclosures. Incorporates TCFD recommendations.</t>
  </si>
  <si>
    <t xml:space="preserve">ISSB IFRS S2 (2023)</t>
  </si>
  <si>
    <t xml:space="preserve">TCFD</t>
  </si>
  <si>
    <t xml:space="preserve">Task Force on Climate-related Financial Disclosures. Four-pillar climate disclosure framework: Governance, Strategy, Risk Management, Metrics &amp; Targets. Subsumed by IFRS S2 from 2024.</t>
  </si>
  <si>
    <t xml:space="preserve">TCFD Recommendations (2017)</t>
  </si>
  <si>
    <t xml:space="preserve">GRI Standards</t>
  </si>
  <si>
    <t xml:space="preserve">GRI</t>
  </si>
  <si>
    <t xml:space="preserve">Global Reporting Initiative — most widely used voluntary sustainability disclosure standard. Universal (GRI 1-3) + Topic (200/300/400 series).</t>
  </si>
  <si>
    <t xml:space="preserve">globalreporting.org</t>
  </si>
  <si>
    <t xml:space="preserve">ESRS</t>
  </si>
  <si>
    <t xml:space="preserve">European Sustainability Reporting Standards. Mandatory under EU CSRD. Stricter than IFRS — requires double materiality.</t>
  </si>
  <si>
    <t xml:space="preserve">EFRAG / EU CSRD</t>
  </si>
  <si>
    <t xml:space="preserve">CSRD, Double Materiality</t>
  </si>
  <si>
    <t xml:space="preserve">CSRD</t>
  </si>
  <si>
    <t xml:space="preserve">Corporate Sustainability Reporting Directive (EU). Phased mandate from 2024. Requires ESRS-compliant reporting + assurance.</t>
  </si>
  <si>
    <t xml:space="preserve">EU Directive 2022/2464</t>
  </si>
  <si>
    <t xml:space="preserve">Single materiality</t>
  </si>
  <si>
    <t xml:space="preserve">Financial materiality only — what impacts the company. IFRS approach.</t>
  </si>
  <si>
    <t xml:space="preserve">Double materiality</t>
  </si>
  <si>
    <t xml:space="preserve">Financial materiality + impact materiality (how company impacts environment/society). ESRS approach.</t>
  </si>
  <si>
    <t xml:space="preserve">EFRAG / ESRS 1</t>
  </si>
  <si>
    <t xml:space="preserve">Materiality</t>
  </si>
  <si>
    <t xml:space="preserve">Information is material if its omission/misstatement would influence stakeholder decisions. Quantified via materiality matrix.</t>
  </si>
  <si>
    <t xml:space="preserve">IASB Conceptual Framework</t>
  </si>
  <si>
    <t xml:space="preserve">Materiality Matrix</t>
  </si>
  <si>
    <t xml:space="preserve">Plot of issues by impact (x-axis) vs likelihood/stakeholder interest (y-axis). Highlights priority topics.</t>
  </si>
  <si>
    <t xml:space="preserve">GRI 3 (2021)</t>
  </si>
  <si>
    <t xml:space="preserve">GOVERNANCE (KING V / SA)</t>
  </si>
  <si>
    <t xml:space="preserve">King V Code</t>
  </si>
  <si>
    <t xml:space="preserve">South African corporate governance code. 17 principles applying "Apply &amp; Explain" methodology. Mandatory for JSE-listed firms.</t>
  </si>
  <si>
    <t xml:space="preserve">IoDSA King V Report (2024)</t>
  </si>
  <si>
    <t xml:space="preserve">Apply &amp; Explain</t>
  </si>
  <si>
    <t xml:space="preserve">King V methodology: governing body either confirms application of a principle (and explains how) or explains non-application.</t>
  </si>
  <si>
    <t xml:space="preserve">Public Interest Score</t>
  </si>
  <si>
    <t xml:space="preserve">PI Score</t>
  </si>
  <si>
    <t xml:space="preserve">Companies Act §1 calculation determining audit/S&amp;EC requirements. Based on turnover, employee count, beneficial holders, third-party liabilities. ≥500 = mandatory S&amp;EC + independent audit.</t>
  </si>
  <si>
    <t xml:space="preserve">Companies Act 71 of 2008 §1</t>
  </si>
  <si>
    <t xml:space="preserve">S&amp;EC</t>
  </si>
  <si>
    <t xml:space="preserve">Mandatory committee for companies with PI score ≥500 or listed. Monitors EE, B-BBEE, anti-corruption, consumer relations, CSI, environment.</t>
  </si>
  <si>
    <t xml:space="preserve">Companies Act s72; Reg 43</t>
  </si>
  <si>
    <t xml:space="preserve">King V Principle 10</t>
  </si>
  <si>
    <t xml:space="preserve">Risk Governance — board oversight of opportunities and risks (incl. ESG/climate).</t>
  </si>
  <si>
    <t xml:space="preserve">King V P10</t>
  </si>
  <si>
    <t xml:space="preserve">King V Principle 15</t>
  </si>
  <si>
    <t xml:space="preserve">P15</t>
  </si>
  <si>
    <t xml:space="preserve">Disclosure — transparent reporting on the organisation's performance and prospects.</t>
  </si>
  <si>
    <t xml:space="preserve">King V P15</t>
  </si>
  <si>
    <t xml:space="preserve">Combined Assurance</t>
  </si>
  <si>
    <t xml:space="preserve">Coordinated assurance from management, internal audit, external audit, and specialists across the same risk areas.</t>
  </si>
  <si>
    <t xml:space="preserve">King V P11</t>
  </si>
  <si>
    <t xml:space="preserve">B-BBEE / TRANSFORMATION</t>
  </si>
  <si>
    <t xml:space="preserve">Broad-Based Black Economic Empowerment</t>
  </si>
  <si>
    <t xml:space="preserve">South African legislation driving economic transformation. Generic Scorecard has 5 elements + bonus = 114 points.</t>
  </si>
  <si>
    <t xml:space="preserve">B-BBEE Act 53 of 2003 (amended 2013)</t>
  </si>
  <si>
    <t xml:space="preserve">Default B-BBEE scorecard applicable to firms not under a sector charter. 5 elements: Ownership, MC, SD, ESD, SED.</t>
  </si>
  <si>
    <t xml:space="preserve">Codes of Good Practice (2013, amended 2019)</t>
  </si>
  <si>
    <t xml:space="preserve">B-BBEE Element 1 (25 pts). % Black ownership in entity. Statement 100.</t>
  </si>
  <si>
    <t xml:space="preserve">B-BBEE Element 2 (19 pts). Black representation at board/senior management. Statement 200.</t>
  </si>
  <si>
    <t xml:space="preserve">B-BBEE Element 3 (25 pts). 6% payroll spend on Black training. Statement 300.</t>
  </si>
  <si>
    <t xml:space="preserve">SDL, WSP, ATR</t>
  </si>
  <si>
    <t xml:space="preserve">B-BBEE Element 4 (40 pts). Preferential procurement + supplier dev contributions. Statement 400.</t>
  </si>
  <si>
    <t xml:space="preserve">Preferential Procurement</t>
  </si>
  <si>
    <t xml:space="preserve">SED</t>
  </si>
  <si>
    <t xml:space="preserve">B-BBEE Element 5 (5 pts). 1% NPAT spend on CSI for Black beneficiaries. Statement 500.</t>
  </si>
  <si>
    <t xml:space="preserve">CSI, NPAT</t>
  </si>
  <si>
    <t xml:space="preserve">Modified Flow-Through</t>
  </si>
  <si>
    <t xml:space="preserve">MFT</t>
  </si>
  <si>
    <t xml:space="preserve">Ownership calculation method. Where a Black-owned entity holds ≥51% of a measured entity, treat that holding as 100% Black for one level only.</t>
  </si>
  <si>
    <t xml:space="preserve">Statement 100 §3.2.10</t>
  </si>
  <si>
    <t xml:space="preserve">Flow-Through</t>
  </si>
  <si>
    <t xml:space="preserve">Flow-Through Principle</t>
  </si>
  <si>
    <t xml:space="preserve">Default ownership calculation — multiply Black % through each level of holding company structure.</t>
  </si>
  <si>
    <t xml:space="preserve">Statement 100 §3.2.9</t>
  </si>
  <si>
    <t xml:space="preserve">Exempt Micro Enterprise</t>
  </si>
  <si>
    <t xml:space="preserve">EME</t>
  </si>
  <si>
    <t xml:space="preserve">Annual turnover ≤R10m. Auto-Level 4 (Generic) or Level 2 (≥51% Black-owned). Affidavit-based.</t>
  </si>
  <si>
    <t xml:space="preserve">B-BBEE Codes</t>
  </si>
  <si>
    <t xml:space="preserve">Qualifying Small Enterprise</t>
  </si>
  <si>
    <t xml:space="preserve">QSE</t>
  </si>
  <si>
    <t xml:space="preserve">Annual turnover R10m–R50m. Simplified scorecard with 4 elements.</t>
  </si>
  <si>
    <t xml:space="preserve">Affidavit</t>
  </si>
  <si>
    <t xml:space="preserve">AFR</t>
  </si>
  <si>
    <t xml:space="preserve">Sworn statement confirming EME/QSE status. Replaces verified certificate for EMEs.</t>
  </si>
  <si>
    <t xml:space="preserve">B-BBEE Practice Note</t>
  </si>
  <si>
    <t xml:space="preserve">PP</t>
  </si>
  <si>
    <t xml:space="preserve">B-BBEE points awarded for buying from Level 1-8 suppliers. 25 of the 40 ESD points.</t>
  </si>
  <si>
    <t xml:space="preserve">EMPLOYMENT EQUITY / SKILLS</t>
  </si>
  <si>
    <t xml:space="preserve">Employment Equity Act</t>
  </si>
  <si>
    <t xml:space="preserve">EEA</t>
  </si>
  <si>
    <t xml:space="preserve">South African legislation requiring designated employers to eliminate unfair discrimination and implement affirmative action.</t>
  </si>
  <si>
    <t xml:space="preserve">EEA 55 of 1998 (amended 2022)</t>
  </si>
  <si>
    <t xml:space="preserve">EEA2 Report</t>
  </si>
  <si>
    <t xml:space="preserve">EEA2</t>
  </si>
  <si>
    <t xml:space="preserve">Annual employment equity report submitted to Department of Employment &amp; Labour (DoEL). Breaks down workforce by race, gender, disability across 6 occupational levels.</t>
  </si>
  <si>
    <t xml:space="preserve">EEA s21</t>
  </si>
  <si>
    <t xml:space="preserve">Occupational Levels</t>
  </si>
  <si>
    <t xml:space="preserve">EEA2 L1-L6</t>
  </si>
  <si>
    <t xml:space="preserve">Standard SA occupational level classification: L1 Top Mgmt, L2 Senior Mgmt, L3 Professionally Qualified, L4 Skilled Technical, L5 Semi-Skilled, L6 Unskilled.</t>
  </si>
  <si>
    <t xml:space="preserve">EEA2 schedule</t>
  </si>
  <si>
    <t xml:space="preserve">Persons with Disabilities</t>
  </si>
  <si>
    <t xml:space="preserve">PWD</t>
  </si>
  <si>
    <t xml:space="preserve">EEA-recognised disabled persons. Target: ≥2% of workforce.</t>
  </si>
  <si>
    <t xml:space="preserve">EEA s6 + Code of Good Practice on PWD</t>
  </si>
  <si>
    <t xml:space="preserve">Workplace Skills Plan</t>
  </si>
  <si>
    <t xml:space="preserve">Annual training plan submitted to SETA by 30 April. Sets out training to be delivered.</t>
  </si>
  <si>
    <t xml:space="preserve">Skills Development Act 97 of 1998 s10</t>
  </si>
  <si>
    <t xml:space="preserve">SETA, ATR</t>
  </si>
  <si>
    <t xml:space="preserve">Annual Training Report</t>
  </si>
  <si>
    <t xml:space="preserve">ATR</t>
  </si>
  <si>
    <t xml:space="preserve">Annual report on training actually delivered. Submitted with WSP by 30 April.</t>
  </si>
  <si>
    <t xml:space="preserve">SDL Act s10</t>
  </si>
  <si>
    <t xml:space="preserve">Sector Education &amp; Training Authority</t>
  </si>
  <si>
    <t xml:space="preserve">Industry-specific authority for skills development. TETA (Transport), WRSETA (Wholesale &amp; Retail), etc.</t>
  </si>
  <si>
    <t xml:space="preserve">SDL Act s9</t>
  </si>
  <si>
    <t xml:space="preserve">Skills Development Levy</t>
  </si>
  <si>
    <t xml:space="preserve">SDL</t>
  </si>
  <si>
    <t xml:space="preserve">1% of payroll levy paid to SARS, distributed to SETAs. WSP/ATR submission unlocks mandatory grant recovery (20% of levy).</t>
  </si>
  <si>
    <t xml:space="preserve">SDL Act 9 of 1999</t>
  </si>
  <si>
    <t xml:space="preserve">OFO</t>
  </si>
  <si>
    <t xml:space="preserve">Organising Framework for Occupations. National occupation classification used in WSP/ATR submissions. e.g. 911101 = Heavy Motor Vehicle Drivers.</t>
  </si>
  <si>
    <t xml:space="preserve">DoEL OFO 2023</t>
  </si>
  <si>
    <t xml:space="preserve">Mandatory Grant</t>
  </si>
  <si>
    <t xml:space="preserve">20% of SDL levy returned to employer for compliant WSP/ATR submission.</t>
  </si>
  <si>
    <t xml:space="preserve">Discretionary Grant</t>
  </si>
  <si>
    <t xml:space="preserve">Up to 49.5% of SDL levy available for SETA-approved training projects (learnerships, bursaries).</t>
  </si>
  <si>
    <t xml:space="preserve">SDL Act</t>
  </si>
  <si>
    <t xml:space="preserve">HEALTH &amp; SAFETY</t>
  </si>
  <si>
    <t xml:space="preserve">Occupational Health &amp; Safety Act</t>
  </si>
  <si>
    <t xml:space="preserve">OHS Act</t>
  </si>
  <si>
    <t xml:space="preserve">South African statute setting workplace H&amp;S obligations.</t>
  </si>
  <si>
    <t xml:space="preserve">OHSA 85 of 1993</t>
  </si>
  <si>
    <t xml:space="preserve">Lost Time Injury Frequency Rate</t>
  </si>
  <si>
    <t xml:space="preserve">LTIFR</t>
  </si>
  <si>
    <t xml:space="preserve">Number of lost-time injuries per 1,000,000 hours worked. Target ≤2.0. = (LTIs × 1,000,000) / hours worked.</t>
  </si>
  <si>
    <t xml:space="preserve">GRI 403-9; ISO 45001</t>
  </si>
  <si>
    <t xml:space="preserve">Total Recordable Injury Frequency Rate</t>
  </si>
  <si>
    <t xml:space="preserve">TRIFR</t>
  </si>
  <si>
    <t xml:space="preserve">Number of LTI + MTI (medical-treatment injuries) per 1,000,000 hours worked. Target ≤4.0.</t>
  </si>
  <si>
    <t xml:space="preserve">LTI, MTI</t>
  </si>
  <si>
    <t xml:space="preserve">Lost Time Injury</t>
  </si>
  <si>
    <t xml:space="preserve">LTI</t>
  </si>
  <si>
    <t xml:space="preserve">Workplace injury resulting in ≥1 shift of lost work.</t>
  </si>
  <si>
    <t xml:space="preserve">Medical Treatment Injury</t>
  </si>
  <si>
    <t xml:space="preserve">MTI</t>
  </si>
  <si>
    <t xml:space="preserve">Workplace injury requiring more than first-aid treatment but not lost time.</t>
  </si>
  <si>
    <t xml:space="preserve">ISO 45001</t>
  </si>
  <si>
    <t xml:space="preserve">International standard for occupational H&amp;S management systems. Replaced OHSAS 18001 in 2018.</t>
  </si>
  <si>
    <t xml:space="preserve">ISO 45001:2018</t>
  </si>
  <si>
    <t xml:space="preserve">ENVIRONMENTAL MANAGEMENT</t>
  </si>
  <si>
    <t xml:space="preserve">International standard for environmental management systems. Plan-Do-Check-Act cycle with aspects register, legal compliance, continuous improvement.</t>
  </si>
  <si>
    <t xml:space="preserve">ISO 14001:2015</t>
  </si>
  <si>
    <t xml:space="preserve">EMS, Aspects Register</t>
  </si>
  <si>
    <t xml:space="preserve">Environmental Aspect</t>
  </si>
  <si>
    <t xml:space="preserve">Element of an organisation's activities that interacts with the environment (e.g. fleet diesel combustion = air emissions aspect).</t>
  </si>
  <si>
    <t xml:space="preserve">ISO 14001 §3.2.2</t>
  </si>
  <si>
    <t xml:space="preserve">NEMA</t>
  </si>
  <si>
    <t xml:space="preserve">National Environmental Management Act — SA framework act for environmental governance. Section 28 = duty of care.</t>
  </si>
  <si>
    <t xml:space="preserve">NEMA 107 of 1998</t>
  </si>
  <si>
    <t xml:space="preserve">NEMWA</t>
  </si>
  <si>
    <t xml:space="preserve">National Environmental Management: Waste Act. Defines waste hierarchy, licensing for waste activities.</t>
  </si>
  <si>
    <t xml:space="preserve">NEMWA 59 of 2008</t>
  </si>
  <si>
    <t xml:space="preserve">National Water Act</t>
  </si>
  <si>
    <t xml:space="preserve">NWA</t>
  </si>
  <si>
    <t xml:space="preserve">SA legislation governing water use. Section 21 = water use licensing.</t>
  </si>
  <si>
    <t xml:space="preserve">NWA 36 of 1998</t>
  </si>
  <si>
    <t xml:space="preserve">Waste Diversion Rate</t>
  </si>
  <si>
    <t xml:space="preserve">% of total waste diverted from landfill via recycling, recovery, reuse. Target ≥75% (ISO 14001 / NEMWA hierarchy).</t>
  </si>
  <si>
    <t xml:space="preserve">NEMWA Waste Hierarchy</t>
  </si>
  <si>
    <t xml:space="preserve">INFORMATION GOVERNANCE</t>
  </si>
  <si>
    <t xml:space="preserve">POPIA</t>
  </si>
  <si>
    <t xml:space="preserve">Protection of Personal Information Act. SA equivalent of GDPR. Effective from July 2021.</t>
  </si>
  <si>
    <t xml:space="preserve">POPIA 4 of 2013</t>
  </si>
  <si>
    <t xml:space="preserve">Information Officer</t>
  </si>
  <si>
    <t xml:space="preserve">IO</t>
  </si>
  <si>
    <t xml:space="preserve">POPIA-mandated role accountable for compliance. Must be registered with Information Regulator.</t>
  </si>
  <si>
    <t xml:space="preserve">POPIA s55</t>
  </si>
  <si>
    <t xml:space="preserve">ISO 27001</t>
  </si>
  <si>
    <t xml:space="preserve">International standard for information security management systems. ISMS controls aligned to Annex A.</t>
  </si>
  <si>
    <t xml:space="preserve">ISO 27001:2022</t>
  </si>
  <si>
    <t xml:space="preserve">ISO 26000</t>
  </si>
  <si>
    <t xml:space="preserve">International guidance standard for social responsibility. Not certifiable. 7 core subjects.</t>
  </si>
  <si>
    <t xml:space="preserve">ISO 26000:2010</t>
  </si>
  <si>
    <t xml:space="preserve">RISK MANAGEMENT</t>
  </si>
  <si>
    <t xml:space="preserve">GARP</t>
  </si>
  <si>
    <t xml:space="preserve">Global Association of Risk Professionals. Source of widely-adopted ERM framework for financial and operational risk.</t>
  </si>
  <si>
    <t xml:space="preserve">garp.org</t>
  </si>
  <si>
    <t xml:space="preserve">ERM</t>
  </si>
  <si>
    <t xml:space="preserve">GRAP</t>
  </si>
  <si>
    <t xml:space="preserve">Generally Recognised Accounting Practices. Public sector accounting framework in SA. Used here for "public interest" risk alignment.</t>
  </si>
  <si>
    <t xml:space="preserve">ASB GRAP</t>
  </si>
  <si>
    <t xml:space="preserve">Enterprise Risk Management</t>
  </si>
  <si>
    <t xml:space="preserve">Integrated framework for identifying, assessing, treating, and monitoring risks across the enterprise.</t>
  </si>
  <si>
    <t xml:space="preserve">COSO ERM (2017); ISO 31000</t>
  </si>
  <si>
    <t xml:space="preserve">ISO 31000</t>
  </si>
  <si>
    <t xml:space="preserve">International standard for risk management principles and guidelines.</t>
  </si>
  <si>
    <t xml:space="preserve">ISO 31000:2018</t>
  </si>
  <si>
    <t xml:space="preserve">FINANCIAL &amp; CORPORATE</t>
  </si>
  <si>
    <t xml:space="preserve">Net Profit After Tax</t>
  </si>
  <si>
    <t xml:space="preserve">NPAT</t>
  </si>
  <si>
    <t xml:space="preserve">After-tax profit attributable to shareholders. Base for SED 1% target.</t>
  </si>
  <si>
    <t xml:space="preserve">CSI / SED</t>
  </si>
  <si>
    <t xml:space="preserve">Corporate Social Investment / Socio-Economic Development spend. B-BBEE SED target = 1% NPAT.</t>
  </si>
  <si>
    <t xml:space="preserve">B-BBEE Statement 500</t>
  </si>
  <si>
    <t xml:space="preserve">ISAE 3000</t>
  </si>
  <si>
    <t xml:space="preserve">International Standard on Assurance Engagements for non-financial assurance (sustainability reports, ESG disclosures).</t>
  </si>
  <si>
    <t xml:space="preserve">IAASB ISAE 3000</t>
  </si>
  <si>
    <t xml:space="preserve">JSE Listings Requirements</t>
  </si>
  <si>
    <t xml:space="preserve">Johannesburg Stock Exchange rulebook. Section 8.63 = ESG/sustainability reporting; King V mandatory.</t>
  </si>
  <si>
    <t xml:space="preserve">VALIDATION — Data Quality Checks | Formula Verification | Zero Error Target</t>
  </si>
  <si>
    <t xml:space="preserve">DATA COMPLETENESS CHECKS</t>
  </si>
  <si>
    <t xml:space="preserve">Check</t>
  </si>
  <si>
    <t xml:space="preserve">Expected</t>
  </si>
  <si>
    <t xml:space="preserve">Actual (auto)</t>
  </si>
  <si>
    <t xml:space="preserve">Pass/Fail</t>
  </si>
  <si>
    <t xml:space="preserve">E_Data: Fleet diesel months completed (9)</t>
  </si>
  <si>
    <t xml:space="preserve">Update relevant data sheet</t>
  </si>
  <si>
    <t xml:space="preserve">E_Data: Electricity kWh months completed (9)</t>
  </si>
  <si>
    <t xml:space="preserve">E_Data: Water kL months completed (9)</t>
  </si>
  <si>
    <t xml:space="preserve">S_Data: EE headcount entered (&gt;0)</t>
  </si>
  <si>
    <t xml:space="preserve">E_Scorecard: Total score &gt;0</t>
  </si>
  <si>
    <t xml:space="preserve">S_Scorecard: Total score &gt;0</t>
  </si>
  <si>
    <t xml:space="preserve">G_Scorecard: Total score &gt;0</t>
  </si>
  <si>
    <t xml:space="preserve">King5: All 17 principles have status</t>
  </si>
  <si>
    <t xml:space="preserve">IFRS S1/S2: Disclosures entered</t>
  </si>
  <si>
    <t xml:space="preserve">Fleet_Register: Vehicle entries &gt;0</t>
  </si>
  <si>
    <t xml:space="preserve">Waste_Register: Oricol data loaded</t>
  </si>
  <si>
    <t xml:space="preserve">Driver_Debrief: Apr-26 data loaded</t>
  </si>
  <si>
    <t xml:space="preserve">GHG CALCULATION VERIFICATION  (cross-check against manual calc)</t>
  </si>
  <si>
    <t xml:space="preserve">Fleet BLOEM: Manual check</t>
  </si>
  <si>
    <t xml:space="preserve">72,683 L</t>
  </si>
  <si>
    <t xml:space="preserve">194.791 tCO₂e</t>
  </si>
  <si>
    <t xml:space="preserve">EF_DIESEL=2.68</t>
  </si>
  <si>
    <t xml:space="preserve">Verify = E_Data Fleet row</t>
  </si>
  <si>
    <t xml:space="preserve">Fleet CPT: Manual check</t>
  </si>
  <si>
    <t xml:space="preserve">51,800 L</t>
  </si>
  <si>
    <t xml:space="preserve">138.824 tCO₂e</t>
  </si>
  <si>
    <t xml:space="preserve">Fleet DBN: Manual check</t>
  </si>
  <si>
    <t xml:space="preserve">156,779 L</t>
  </si>
  <si>
    <t xml:space="preserve">420.168 tCO₂e</t>
  </si>
  <si>
    <t xml:space="preserve">Fleet ISANDO: Manual check</t>
  </si>
  <si>
    <t xml:space="preserve">296,059 L</t>
  </si>
  <si>
    <t xml:space="preserve">793.438 tCO₂e</t>
  </si>
  <si>
    <t xml:space="preserve">Fleet PE: Manual check</t>
  </si>
  <si>
    <t xml:space="preserve">12,144 L</t>
  </si>
  <si>
    <t xml:space="preserve">32.546 tCO₂e</t>
  </si>
  <si>
    <t xml:space="preserve">MANUAL GHG TOTALS (Jul-25 to Mar-26) — vs E_Data</t>
  </si>
  <si>
    <t xml:space="preserve">Total fleet diesel litres (all depots)</t>
  </si>
  <si>
    <t xml:space="preserve">589,465.53</t>
  </si>
  <si>
    <t xml:space="preserve">Total fleet Scope 1 tCO₂e</t>
  </si>
  <si>
    <t xml:space="preserve">1,579.768</t>
  </si>
  <si>
    <t xml:space="preserve">Total electricity kWh (all depots)</t>
  </si>
  <si>
    <t xml:space="preserve">2,589,578.44</t>
  </si>
  <si>
    <t xml:space="preserve">Total electricity Scope 2 tCO₂e</t>
  </si>
  <si>
    <t xml:space="preserve">2,123.454</t>
  </si>
  <si>
    <t xml:space="preserve">Total LPG DBN forklifts</t>
  </si>
  <si>
    <t xml:space="preserve">2,280</t>
  </si>
  <si>
    <t xml:space="preserve">Total LPG Scope 1 tCO₂e</t>
  </si>
  <si>
    <t xml:space="preserve">3.443</t>
  </si>
  <si>
    <t xml:space="preserve">Total water all depots</t>
  </si>
  <si>
    <t xml:space="preserve">4,356.410</t>
  </si>
  <si>
    <t xml:space="preserve">GRAND SCOPE 1+2 (excl solar offset)</t>
  </si>
  <si>
    <t xml:space="preserve">3703.222</t>
  </si>
  <si>
    <t xml:space="preserve">📊  DATA STATUS TRACKER  —  SG Consumer ESG Toolkit  |  Live data tracker for net-zero &amp; sustainability reporting</t>
  </si>
  <si>
    <t xml:space="preserve">Use this sheet to track every data field. Update Status &amp; Last Refresh when data lands. Cells link back to the toolkit fields. Filter by Status = Outstanding for the next data request.</t>
  </si>
  <si>
    <t xml:space="preserve">Summary:</t>
  </si>
  <si>
    <t xml:space="preserve">14 Confirmed | 15 Outstanding | 3 Estimated  (Total: 32 fields tracked)</t>
  </si>
  <si>
    <t xml:space="preserve">Field</t>
  </si>
  <si>
    <t xml:space="preserve">Toolkit Location</t>
  </si>
  <si>
    <t xml:space="preserve">Data Source / Owner</t>
  </si>
  <si>
    <t xml:space="preserve">Last Refresh</t>
  </si>
  <si>
    <t xml:space="preserve">Notes / Outstanding Asks</t>
  </si>
  <si>
    <t xml:space="preserve">Total payroll (incl. benefits, excl. labour brokers)</t>
  </si>
  <si>
    <t xml:space="preserve">S_Data!B43</t>
  </si>
  <si>
    <t xml:space="preserve">S</t>
  </si>
  <si>
    <t xml:space="preserve">Coba — HR Payroll</t>
  </si>
  <si>
    <t xml:space="preserve">R10,331,940.87</t>
  </si>
  <si>
    <t xml:space="preserve">Confirmed</t>
  </si>
  <si>
    <t xml:space="preserve">Monthly refresh from HR system</t>
  </si>
  <si>
    <t xml:space="preserve">S_Data!B44</t>
  </si>
  <si>
    <t xml:space="preserve">Auto-calc from B43</t>
  </si>
  <si>
    <t xml:space="preserve">Auto</t>
  </si>
  <si>
    <t xml:space="preserve">Cross-check vs SARS SDL return</t>
  </si>
  <si>
    <t xml:space="preserve">FTE headcount (excl. labour brokers)</t>
  </si>
  <si>
    <t xml:space="preserve">S_Data!C26:F26</t>
  </si>
  <si>
    <t xml:space="preserve">Coba — HR</t>
  </si>
  <si>
    <t xml:space="preserve">426</t>
  </si>
  <si>
    <t xml:space="preserve">Quarterly refresh needed; LB headcount separate ask</t>
  </si>
  <si>
    <t xml:space="preserve">EEA2 headcount split (race × gender × level)</t>
  </si>
  <si>
    <t xml:space="preserve">S_Data!B5:K11</t>
  </si>
  <si>
    <t xml:space="preserve">Coba — HR / EE Plan</t>
  </si>
  <si>
    <t xml:space="preserve">Not supplied</t>
  </si>
  <si>
    <t xml:space="preserve">Outstanding</t>
  </si>
  <si>
    <t xml:space="preserve">CRITICAL: blocks EE_Scorecard &amp; B-BBEE Mgmt Control. Request EEA2/EEA4 from HR.</t>
  </si>
  <si>
    <t xml:space="preserve">Group board: total directors</t>
  </si>
  <si>
    <t xml:space="preserve">G_Data!B5</t>
  </si>
  <si>
    <t xml:space="preserve">G</t>
  </si>
  <si>
    <t xml:space="preserve">Coba — Co Sec</t>
  </si>
  <si>
    <t xml:space="preserve">2 Exec + 5 Ind NED</t>
  </si>
  <si>
    <t xml:space="preserve">Group board: % Black</t>
  </si>
  <si>
    <t xml:space="preserve">G_Data!B8</t>
  </si>
  <si>
    <t xml:space="preserve">42.9% (3/7 SA Black)</t>
  </si>
  <si>
    <t xml:space="preserve">Estimated</t>
  </si>
  <si>
    <t xml:space="preserve">Confirm SA-EEA classification (esp. Chitalu Zambian status)</t>
  </si>
  <si>
    <t xml:space="preserve">Group board: % Female</t>
  </si>
  <si>
    <t xml:space="preserve">G_Data!B9</t>
  </si>
  <si>
    <t xml:space="preserve">14.3% (1/7)</t>
  </si>
  <si>
    <t xml:space="preserve">Mnisi only. Material gender gap vs King V P4</t>
  </si>
  <si>
    <t xml:space="preserve">Audit Committee meetings YTD</t>
  </si>
  <si>
    <t xml:space="preserve">G_Data!B11</t>
  </si>
  <si>
    <t xml:space="preserve">4 (assumed)</t>
  </si>
  <si>
    <t xml:space="preserve">Confirm actual count from minutes (Cathrall chairs)</t>
  </si>
  <si>
    <t xml:space="preserve">Risk Committee active</t>
  </si>
  <si>
    <t xml:space="preserve">G_Data!B12</t>
  </si>
  <si>
    <t xml:space="preserve">Cathrall chairs Risk + Audit</t>
  </si>
  <si>
    <t xml:space="preserve">Social &amp; Ethics Committee active</t>
  </si>
  <si>
    <t xml:space="preserve">G_Data!B13</t>
  </si>
  <si>
    <t xml:space="preserve">CSI/SED Policy §7</t>
  </si>
  <si>
    <t xml:space="preserve">Prior</t>
  </si>
  <si>
    <t xml:space="preserve">No change</t>
  </si>
  <si>
    <t xml:space="preserve">Whistleblower hotline (Be Heard)</t>
  </si>
  <si>
    <t xml:space="preserve">G_Data!B16</t>
  </si>
  <si>
    <t xml:space="preserve">Coba — Code of Ethics</t>
  </si>
  <si>
    <t xml:space="preserve">Case count &amp; response time requested from HO (confidential at Group)</t>
  </si>
  <si>
    <t xml:space="preserve">POPIA Information Officer</t>
  </si>
  <si>
    <t xml:space="preserve">G_Data!B17</t>
  </si>
  <si>
    <t xml:space="preserve">Group Compliance</t>
  </si>
  <si>
    <t xml:space="preserve">Formal IO appointment letter required</t>
  </si>
  <si>
    <t xml:space="preserve">POPIA Impact Assessment documentation</t>
  </si>
  <si>
    <t xml:space="preserve">G_Data!B18</t>
  </si>
  <si>
    <t xml:space="preserve">Active consent process exists; formal PIA documents needed</t>
  </si>
  <si>
    <t xml:space="preserve">Integrated Report (Group)</t>
  </si>
  <si>
    <t xml:space="preserve">G_Data!B20</t>
  </si>
  <si>
    <t xml:space="preserve">SG Holdings JSE</t>
  </si>
  <si>
    <t xml:space="preserve">Per CSI/SED Policy §15(b)(v)</t>
  </si>
  <si>
    <t xml:space="preserve">CSI/SED beneficiary list</t>
  </si>
  <si>
    <t xml:space="preserve">S_Data!A72:F81</t>
  </si>
  <si>
    <t xml:space="preserve">Coba</t>
  </si>
  <si>
    <t xml:space="preserve">10 programmes</t>
  </si>
  <si>
    <t xml:space="preserve">8 CSI + 2 SED</t>
  </si>
  <si>
    <t xml:space="preserve">CSI/SED spend per project</t>
  </si>
  <si>
    <t xml:space="preserve">S_Data!D72:D81</t>
  </si>
  <si>
    <t xml:space="preserve">Finance</t>
  </si>
  <si>
    <t xml:space="preserve">R45k budget (allocation TBC)</t>
  </si>
  <si>
    <t xml:space="preserve">Per-project spend split + POPs required from Finance</t>
  </si>
  <si>
    <t xml:space="preserve">CSI/SED MOUs / payment confirmations</t>
  </si>
  <si>
    <t xml:space="preserve">External evidence file</t>
  </si>
  <si>
    <t xml:space="preserve">Required for B-BBEE SED audit trail</t>
  </si>
  <si>
    <t xml:space="preserve">LTI count YTD</t>
  </si>
  <si>
    <t xml:space="preserve">S_Data!C29:F29</t>
  </si>
  <si>
    <t xml:space="preserve">SHE register</t>
  </si>
  <si>
    <t xml:space="preserve">4 (Q1:1, Q2:2, Q3:1, Q4:0)</t>
  </si>
  <si>
    <t xml:space="preserve">Monthly refresh from SHE register</t>
  </si>
  <si>
    <t xml:space="preserve">MTI count YTD</t>
  </si>
  <si>
    <t xml:space="preserve">S_Data!C30:F30</t>
  </si>
  <si>
    <t xml:space="preserve">3 (all Q3)</t>
  </si>
  <si>
    <t xml:space="preserve">Includes back strain, finger scratch, eye burn</t>
  </si>
  <si>
    <t xml:space="preserve">Vehicle accidents YTD</t>
  </si>
  <si>
    <t xml:space="preserve">S_Data!C33:F33</t>
  </si>
  <si>
    <t xml:space="preserve">5 of 8 involve 3rd-party transporters — supplier H&amp;S review</t>
  </si>
  <si>
    <t xml:space="preserve">S_Data!C28:F28</t>
  </si>
  <si>
    <t xml:space="preserve">Zero — on target</t>
  </si>
  <si>
    <t xml:space="preserve">S_Data!C27:F27</t>
  </si>
  <si>
    <t xml:space="preserve">HR / Payroll</t>
  </si>
  <si>
    <t xml:space="preserve">BLOCKS LTIFR/TRIFR calculation. Need quarterly hours.</t>
  </si>
  <si>
    <t xml:space="preserve">Scope 3 — Business travel flights (passenger-km)</t>
  </si>
  <si>
    <t xml:space="preserve">E_Data Scope 3 block</t>
  </si>
  <si>
    <t xml:space="preserve">E</t>
  </si>
  <si>
    <t xml:space="preserve">Travel agency / Expense system</t>
  </si>
  <si>
    <t xml:space="preserve">Requested from HO per Coba submission. Critical for SBTi baseline.</t>
  </si>
  <si>
    <t xml:space="preserve">Fleet diesel (litres)</t>
  </si>
  <si>
    <t xml:space="preserve">E_Data!L19</t>
  </si>
  <si>
    <t xml:space="preserve">Fleet system</t>
  </si>
  <si>
    <t xml:space="preserve">TBC</t>
  </si>
  <si>
    <t xml:space="preserve">9 months actuals needed Jul-25 to Mar-26</t>
  </si>
  <si>
    <t xml:space="preserve">Electricity (kWh) per depot</t>
  </si>
  <si>
    <t xml:space="preserve">E_Data!L46</t>
  </si>
  <si>
    <t xml:space="preserve">Utility bills</t>
  </si>
  <si>
    <t xml:space="preserve">5 depots: JHB, DBN, CPT, BLOEM, PE</t>
  </si>
  <si>
    <t xml:space="preserve">Solar generation (kWh)</t>
  </si>
  <si>
    <t xml:space="preserve">JHB confirmed; DBN EDGE pending; CPT/BLOEM/PE assess</t>
  </si>
  <si>
    <t xml:space="preserve">Waste streams (Oricol / Oracle / Cority)</t>
  </si>
  <si>
    <t xml:space="preserve">Per-depot tonnes diverted vs landfilled</t>
  </si>
  <si>
    <t xml:space="preserve">Carbon credits / OER register</t>
  </si>
  <si>
    <t xml:space="preserve">Okiru</t>
  </si>
  <si>
    <t xml:space="preserve">EDGE DBN + Solar JHB credits to log</t>
  </si>
  <si>
    <t xml:space="preserve">ISO 14001 / 45001 / 27001 certification</t>
  </si>
  <si>
    <t xml:space="preserve">SHEQ</t>
  </si>
  <si>
    <t xml:space="preserve">Current cert status per depot</t>
  </si>
  <si>
    <t xml:space="preserve">SBTi commitment letter</t>
  </si>
  <si>
    <t xml:space="preserve">Pending</t>
  </si>
  <si>
    <t xml:space="preserve">Target Q1 FY2026</t>
  </si>
  <si>
    <t xml:space="preserve">Training hours / WSP delivery</t>
  </si>
  <si>
    <t xml:space="preserve">S_Data WSP block</t>
  </si>
  <si>
    <t xml:space="preserve">HR / TETA / WRSETA</t>
  </si>
  <si>
    <t xml:space="preserve">OFO list confirmed</t>
  </si>
  <si>
    <t xml:space="preserve">Refresh once Training Matrix 2026 actuals land</t>
  </si>
  <si>
    <t xml:space="preserve">Materiality matrix scoring</t>
  </si>
  <si>
    <t xml:space="preserve">All</t>
  </si>
  <si>
    <t xml:space="preserve">Okiru workshop</t>
  </si>
  <si>
    <t xml:space="preserve">Default</t>
  </si>
  <si>
    <t xml:space="preserve">Workshop required with SG Consumer leadership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</si>
</sst>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%"/>
    <numFmt numFmtId="166" formatCode="0.000"/>
    <numFmt numFmtId="167" formatCode="0.000000"/>
    <numFmt numFmtId="168" formatCode="#,##0"/>
    <numFmt numFmtId="169" formatCode="0.00"/>
    <numFmt numFmtId="170" formatCode="0"/>
    <numFmt numFmtId="171" formatCode="#,##0.0"/>
    <numFmt numFmtId="172" formatCode="#,##0.000"/>
    <numFmt numFmtId="173" formatCode="#,##0.00"/>
    <numFmt numFmtId="174" formatCode="\Needs&quot; Fl&quot;ee&quot;t &quot;d&quot;ata&quot;"/>
    <numFmt numFmtId="175" formatCode="General"/>
    <numFmt numFmtId="176" formatCode="#,##0.000000"/>
    <numFmt numFmtId="177" formatCode="0.00%"/>
    <numFmt numFmtId="178" formatCode="0.0000"/>
    <numFmt numFmtId="179" formatCode="0%"/>
    <numFmt numFmtId="180" formatCode="0.0"/>
    <numFmt numFmtId="181" formatCode="0.0&quot; yrs&quot;"/>
  </numFmts>
  <fonts count="8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9"/>
      <color rgb="FFC9D8F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9"/>
      <color rgb="FF0000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b val="true"/>
      <sz val="9"/>
      <color rgb="FF0A2342"/>
      <name val="Calibri"/>
      <family val="0"/>
      <charset val="1"/>
    </font>
    <font>
      <sz val="8"/>
      <color rgb="FF000000"/>
      <name val="Calibri"/>
      <family val="0"/>
      <charset val="1"/>
    </font>
    <font>
      <b val="true"/>
      <sz val="10"/>
      <color rgb="FF00B4C8"/>
      <name val="Roboto"/>
      <family val="0"/>
      <charset val="1"/>
    </font>
    <font>
      <sz val="10"/>
      <name val="Roboto"/>
      <family val="0"/>
      <charset val="1"/>
    </font>
    <font>
      <b val="true"/>
      <sz val="10"/>
      <name val="Roboto"/>
      <family val="0"/>
      <charset val="1"/>
    </font>
    <font>
      <sz val="9"/>
      <color rgb="FF37474F"/>
      <name val="Calibri"/>
      <family val="0"/>
      <charset val="1"/>
    </font>
    <font>
      <b val="true"/>
      <sz val="10"/>
      <color rgb="FFE8521A"/>
      <name val="Roboto"/>
      <family val="0"/>
      <charset val="1"/>
    </font>
    <font>
      <b val="true"/>
      <sz val="10"/>
      <color rgb="FF000000"/>
      <name val="Roboto"/>
      <family val="0"/>
      <charset val="1"/>
    </font>
    <font>
      <i val="true"/>
      <sz val="9"/>
      <color rgb="FF505050"/>
      <name val="Roboto"/>
      <family val="0"/>
      <charset val="1"/>
    </font>
    <font>
      <b val="true"/>
      <sz val="11"/>
      <name val="Calibri"/>
      <family val="0"/>
      <charset val="1"/>
    </font>
    <font>
      <b val="true"/>
      <sz val="14"/>
      <color rgb="FFFFFFFF"/>
      <name val="Roboto"/>
      <family val="0"/>
      <charset val="1"/>
    </font>
    <font>
      <b val="true"/>
      <sz val="12"/>
      <color rgb="FFFFFFFF"/>
      <name val="Roboto"/>
      <family val="0"/>
      <charset val="1"/>
    </font>
    <font>
      <b val="true"/>
      <sz val="10"/>
      <color rgb="FFFFFFFF"/>
      <name val="Roboto"/>
      <family val="0"/>
      <charset val="1"/>
    </font>
    <font>
      <b val="true"/>
      <sz val="11"/>
      <color rgb="FFBF360C"/>
      <name val="Roboto"/>
      <family val="0"/>
      <charset val="1"/>
    </font>
    <font>
      <sz val="10"/>
      <color rgb="FF000000"/>
      <name val="Roboto"/>
      <family val="0"/>
      <charset val="1"/>
    </font>
    <font>
      <b val="true"/>
      <sz val="9"/>
      <color rgb="FF6A1B9A"/>
      <name val="Roboto"/>
      <family val="0"/>
      <charset val="1"/>
    </font>
    <font>
      <sz val="9"/>
      <color rgb="FF6A1B9A"/>
      <name val="Roboto"/>
      <family val="0"/>
      <charset val="1"/>
    </font>
    <font>
      <sz val="10"/>
      <color rgb="FF006100"/>
      <name val="Roboto"/>
      <family val="0"/>
      <charset val="1"/>
    </font>
    <font>
      <b val="true"/>
      <sz val="11"/>
      <color rgb="FFFFFFFF"/>
      <name val="Roboto"/>
      <family val="0"/>
      <charset val="1"/>
    </font>
    <font>
      <b val="true"/>
      <sz val="10"/>
      <color rgb="FF0033CC"/>
      <name val="Roboto"/>
      <family val="0"/>
      <charset val="1"/>
    </font>
    <font>
      <sz val="10"/>
      <name val="Arial"/>
      <family val="2"/>
    </font>
    <font>
      <sz val="10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24"/>
      <color rgb="FF8B2FC9"/>
      <name val="Roboto"/>
      <family val="0"/>
      <charset val="1"/>
    </font>
    <font>
      <b val="true"/>
      <sz val="9"/>
      <color rgb="FF006400"/>
      <name val="Calibri"/>
      <family val="0"/>
      <charset val="1"/>
    </font>
    <font>
      <sz val="9"/>
      <color rgb="FF006400"/>
      <name val="Calibri"/>
      <family val="0"/>
      <charset val="1"/>
    </font>
    <font>
      <sz val="7"/>
      <color rgb="FF000000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4"/>
      <color rgb="FF080808"/>
      <name val="Roboto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6"/>
      <color rgb="FF006400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Calibri"/>
      <family val="0"/>
      <charset val="1"/>
    </font>
    <font>
      <sz val="8"/>
      <color rgb="FF555555"/>
      <name val="Calibri"/>
      <family val="0"/>
      <charset val="1"/>
    </font>
    <font>
      <b val="true"/>
      <sz val="9"/>
      <color rgb="FF1E6B3C"/>
      <name val="Calibri"/>
      <family val="0"/>
      <charset val="1"/>
    </font>
    <font>
      <sz val="8"/>
      <color rgb="FF7F4F00"/>
      <name val="Calibri"/>
      <family val="0"/>
      <charset val="1"/>
    </font>
    <font>
      <sz val="9"/>
      <color rgb="FF0A3D7A"/>
      <name val="Calibri"/>
      <family val="0"/>
      <charset val="1"/>
    </font>
    <font>
      <b val="true"/>
      <sz val="9"/>
      <color rgb="FF0A3D7A"/>
      <name val="Calibri"/>
      <family val="0"/>
      <charset val="1"/>
    </font>
    <font>
      <sz val="9"/>
      <color rgb="FF7F6000"/>
      <name val="Calibri"/>
      <family val="0"/>
      <charset val="1"/>
    </font>
    <font>
      <sz val="9"/>
      <color rgb="FF0A3D5A"/>
      <name val="Calibri"/>
      <family val="0"/>
      <charset val="1"/>
    </font>
    <font>
      <b val="true"/>
      <sz val="9"/>
      <color rgb="FF0A3D5A"/>
      <name val="Calibri"/>
      <family val="0"/>
      <charset val="1"/>
    </font>
    <font>
      <sz val="9"/>
      <color rgb="FF7F4F00"/>
      <name val="Calibri"/>
      <family val="0"/>
      <charset val="1"/>
    </font>
    <font>
      <sz val="9"/>
      <color rgb="FF7B4F12"/>
      <name val="Calibri"/>
      <family val="0"/>
      <charset val="1"/>
    </font>
    <font>
      <sz val="9"/>
      <color rgb="FF125E8A"/>
      <name val="Calibri"/>
      <family val="0"/>
      <charset val="1"/>
    </font>
    <font>
      <sz val="9"/>
      <color rgb="FF1E6B3C"/>
      <name val="Calibri"/>
      <family val="0"/>
      <charset val="1"/>
    </font>
    <font>
      <b val="true"/>
      <sz val="9"/>
      <color rgb="FFFFD966"/>
      <name val="Calibri"/>
      <family val="0"/>
      <charset val="1"/>
    </font>
    <font>
      <b val="true"/>
      <sz val="8"/>
      <color rgb="FF7F4F00"/>
      <name val="Calibri"/>
      <family val="0"/>
      <charset val="1"/>
    </font>
    <font>
      <b val="true"/>
      <sz val="10"/>
      <color rgb="FF006100"/>
      <name val="Roboto"/>
      <family val="0"/>
      <charset val="1"/>
    </font>
    <font>
      <sz val="9"/>
      <color rgb="FF880000"/>
      <name val="Calibri"/>
      <family val="0"/>
      <charset val="1"/>
    </font>
    <font>
      <sz val="9"/>
      <color rgb="FFFF0000"/>
      <name val="Calibri"/>
      <family val="0"/>
      <charset val="1"/>
    </font>
    <font>
      <b val="true"/>
      <sz val="7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9"/>
      <color rgb="FF880000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i val="true"/>
      <sz val="9"/>
      <color rgb="FF4A148C"/>
      <name val="Roboto"/>
      <family val="0"/>
      <charset val="1"/>
    </font>
    <font>
      <b val="true"/>
      <sz val="11"/>
      <color rgb="FF006100"/>
      <name val="Roboto"/>
      <family val="0"/>
      <charset val="1"/>
    </font>
    <font>
      <b val="true"/>
      <sz val="11"/>
      <name val="Cambria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16"/>
      <color rgb="FF8B2FC9"/>
      <name val="Roboto"/>
      <family val="0"/>
      <charset val="1"/>
    </font>
    <font>
      <b val="true"/>
      <sz val="14"/>
      <color rgb="FF006100"/>
      <name val="Roboto"/>
      <family val="0"/>
      <charset val="1"/>
    </font>
    <font>
      <b val="true"/>
      <sz val="14"/>
      <color rgb="FFBF360C"/>
      <name val="Roboto"/>
      <family val="0"/>
      <charset val="1"/>
    </font>
    <font>
      <b val="true"/>
      <sz val="12"/>
      <color rgb="FF8B2FC9"/>
      <name val="Roboto"/>
      <family val="0"/>
      <charset val="1"/>
    </font>
    <font>
      <b val="true"/>
      <sz val="12"/>
      <color rgb="FFBF360C"/>
      <name val="Roboto"/>
      <family val="0"/>
      <charset val="1"/>
    </font>
    <font>
      <b val="true"/>
      <sz val="12"/>
      <color rgb="FF006100"/>
      <name val="Roboto"/>
      <family val="0"/>
      <charset val="1"/>
    </font>
    <font>
      <b val="true"/>
      <sz val="10"/>
      <color rgb="FF8B2FC9"/>
      <name val="Roboto"/>
      <family val="0"/>
      <charset val="1"/>
    </font>
    <font>
      <b val="true"/>
      <sz val="10"/>
      <color rgb="FFBF360C"/>
      <name val="Roboto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name val="Calibri"/>
      <family val="0"/>
      <charset val="1"/>
    </font>
  </fonts>
  <fills count="60">
    <fill>
      <patternFill patternType="none"/>
    </fill>
    <fill>
      <patternFill patternType="gray125"/>
    </fill>
    <fill>
      <patternFill patternType="solid">
        <fgColor rgb="FF0A2342"/>
        <bgColor rgb="FF2C2C2C"/>
      </patternFill>
    </fill>
    <fill>
      <patternFill patternType="solid">
        <fgColor rgb="FF1F3864"/>
        <bgColor rgb="FF083D74"/>
      </patternFill>
    </fill>
    <fill>
      <patternFill patternType="solid">
        <fgColor rgb="FFE8EAF6"/>
        <bgColor rgb="FFF0EAF6"/>
      </patternFill>
    </fill>
    <fill>
      <patternFill patternType="solid">
        <fgColor rgb="FFEEF2FF"/>
        <bgColor rgb="FFF2F2FC"/>
      </patternFill>
    </fill>
    <fill>
      <patternFill patternType="solid">
        <fgColor rgb="FF226A3E"/>
        <bgColor rgb="FF1E6B3C"/>
      </patternFill>
    </fill>
    <fill>
      <patternFill patternType="solid">
        <fgColor rgb="FFE8F5E9"/>
        <bgColor rgb="FFE2F4FE"/>
      </patternFill>
    </fill>
    <fill>
      <patternFill patternType="darkGray">
        <fgColor rgb="FFFCF6F8"/>
        <bgColor rgb="FFF2F2FC"/>
      </patternFill>
    </fill>
    <fill>
      <patternFill patternType="solid">
        <fgColor rgb="FFFFF9C4"/>
        <bgColor rgb="FFFFF2CB"/>
      </patternFill>
    </fill>
    <fill>
      <patternFill patternType="solid">
        <fgColor rgb="FFF2F2FC"/>
        <bgColor rgb="FFEEF2FF"/>
      </patternFill>
    </fill>
    <fill>
      <patternFill patternType="solid">
        <fgColor rgb="FF060808"/>
        <bgColor rgb="FF000000"/>
      </patternFill>
    </fill>
    <fill>
      <patternFill patternType="darkGray">
        <fgColor rgb="FFC83806"/>
        <bgColor rgb="FF7F5000"/>
      </patternFill>
    </fill>
    <fill>
      <patternFill patternType="mediumGray">
        <fgColor rgb="FFF55202"/>
        <bgColor rgb="FFC83806"/>
      </patternFill>
    </fill>
    <fill>
      <patternFill patternType="solid">
        <fgColor rgb="FF00B4C8"/>
        <bgColor rgb="FF1665A6"/>
      </patternFill>
    </fill>
    <fill>
      <patternFill patternType="darkGray">
        <fgColor rgb="FFFFE2A7"/>
        <bgColor rgb="FFFFE494"/>
      </patternFill>
    </fill>
    <fill>
      <patternFill patternType="solid">
        <fgColor rgb="FF3F3F3D"/>
        <bgColor rgb="FF404040"/>
      </patternFill>
    </fill>
    <fill>
      <patternFill patternType="solid">
        <fgColor rgb="FFFFF8E1"/>
        <bgColor rgb="FFFFF3E0"/>
      </patternFill>
    </fill>
    <fill>
      <patternFill patternType="darkGray">
        <fgColor rgb="FF343431"/>
        <bgColor rgb="FF3F3F3D"/>
      </patternFill>
    </fill>
    <fill>
      <patternFill patternType="solid">
        <fgColor rgb="FFFFFFFF"/>
        <bgColor rgb="FFFCF6F8"/>
      </patternFill>
    </fill>
    <fill>
      <patternFill patternType="solid">
        <fgColor rgb="FFD9EADB"/>
        <bgColor rgb="FFC8E7C9"/>
      </patternFill>
    </fill>
    <fill>
      <patternFill patternType="darkGray">
        <fgColor rgb="FFF0EAF6"/>
        <bgColor rgb="FFE8EAF6"/>
      </patternFill>
    </fill>
    <fill>
      <patternFill patternType="solid">
        <fgColor rgb="FFC8E7C9"/>
        <bgColor rgb="FFC8E6C9"/>
      </patternFill>
    </fill>
    <fill>
      <patternFill patternType="solid">
        <fgColor rgb="FFFFEBEE"/>
        <bgColor rgb="FFFFF3E0"/>
      </patternFill>
    </fill>
    <fill>
      <patternFill patternType="solid">
        <fgColor rgb="FFFFF2CB"/>
        <bgColor rgb="FFFFF2CC"/>
      </patternFill>
    </fill>
    <fill>
      <patternFill patternType="solid">
        <fgColor rgb="FF2B6D4C"/>
        <bgColor rgb="FF226A3E"/>
      </patternFill>
    </fill>
    <fill>
      <patternFill patternType="solid">
        <fgColor rgb="FF1665A6"/>
        <bgColor rgb="FF155E90"/>
      </patternFill>
    </fill>
    <fill>
      <patternFill patternType="solid">
        <fgColor rgb="FF155E90"/>
        <bgColor rgb="FF1665A6"/>
      </patternFill>
    </fill>
    <fill>
      <patternFill patternType="darkGray">
        <fgColor rgb="FF3C4C51"/>
        <bgColor rgb="FF404040"/>
      </patternFill>
    </fill>
    <fill>
      <patternFill patternType="solid">
        <fgColor rgb="FFF0FFF4"/>
        <bgColor rgb="FFFFFFFF"/>
      </patternFill>
    </fill>
    <fill>
      <patternFill patternType="solid">
        <fgColor rgb="FFFFFDE7"/>
        <bgColor rgb="FFFFF8E1"/>
      </patternFill>
    </fill>
    <fill>
      <patternFill patternType="darkGray">
        <fgColor rgb="FF053988"/>
        <bgColor rgb="FF083D74"/>
      </patternFill>
    </fill>
    <fill>
      <patternFill patternType="solid">
        <fgColor rgb="FFE2F4FE"/>
        <bgColor rgb="FFDDEEFF"/>
      </patternFill>
    </fill>
    <fill>
      <patternFill patternType="solid">
        <fgColor rgb="FFDDEEFF"/>
        <bgColor rgb="FFE2F4FE"/>
      </patternFill>
    </fill>
    <fill>
      <patternFill patternType="darkGray">
        <fgColor rgb="FFC6E6F5"/>
        <bgColor rgb="FFC8E7C9"/>
      </patternFill>
    </fill>
    <fill>
      <patternFill patternType="darkGray">
        <fgColor rgb="FF083D74"/>
        <bgColor rgb="FF053988"/>
      </patternFill>
    </fill>
    <fill>
      <patternFill patternType="solid">
        <fgColor rgb="FFC6E6F5"/>
        <bgColor rgb="FFD9EADB"/>
      </patternFill>
    </fill>
    <fill>
      <patternFill patternType="solid">
        <fgColor rgb="FF7B4F12"/>
        <bgColor rgb="FF7F5000"/>
      </patternFill>
    </fill>
    <fill>
      <patternFill patternType="solid">
        <fgColor rgb="FFFFF3E0"/>
        <bgColor rgb="FFFFF8E1"/>
      </patternFill>
    </fill>
    <fill>
      <patternFill patternType="solid">
        <fgColor rgb="FF2C2C2C"/>
        <bgColor rgb="FF343431"/>
      </patternFill>
    </fill>
    <fill>
      <patternFill patternType="solid">
        <fgColor rgb="FF3C4C51"/>
        <bgColor rgb="FF404040"/>
      </patternFill>
    </fill>
    <fill>
      <patternFill patternType="solid">
        <fgColor rgb="FFFFE0E0"/>
        <bgColor rgb="FFFFDCE1"/>
      </patternFill>
    </fill>
    <fill>
      <patternFill patternType="solid">
        <fgColor rgb="FFFFDCE1"/>
        <bgColor rgb="FFFFE0E0"/>
      </patternFill>
    </fill>
    <fill>
      <patternFill patternType="solid">
        <fgColor rgb="FF7B1F1F"/>
        <bgColor rgb="FF880000"/>
      </patternFill>
    </fill>
    <fill>
      <patternFill patternType="darkGray">
        <fgColor rgb="FFFFE494"/>
        <bgColor rgb="FFFFE2A7"/>
      </patternFill>
    </fill>
    <fill>
      <patternFill patternType="solid">
        <fgColor rgb="FF49198E"/>
        <bgColor rgb="FF721CB7"/>
      </patternFill>
    </fill>
    <fill>
      <patternFill patternType="solid">
        <fgColor rgb="FFF0EAF6"/>
        <bgColor rgb="FFE8EAF6"/>
      </patternFill>
    </fill>
    <fill>
      <patternFill patternType="solid">
        <fgColor rgb="FF880000"/>
        <bgColor rgb="FF7B1F1F"/>
      </patternFill>
    </fill>
    <fill>
      <patternFill patternType="darkGray">
        <fgColor rgb="FFFCF6F8"/>
        <bgColor rgb="FFFFF8E1"/>
      </patternFill>
    </fill>
    <fill>
      <patternFill patternType="darkGray">
        <fgColor rgb="FFF2F2FC"/>
        <bgColor rgb="FFEEF2FF"/>
      </patternFill>
    </fill>
    <fill>
      <patternFill patternType="solid">
        <fgColor rgb="FFC83806"/>
        <bgColor rgb="FFF55202"/>
      </patternFill>
    </fill>
    <fill>
      <patternFill patternType="solid">
        <fgColor rgb="FFF55202"/>
        <bgColor rgb="FFC83806"/>
      </patternFill>
    </fill>
    <fill>
      <patternFill patternType="solid">
        <fgColor rgb="FFB1CCA4"/>
        <bgColor rgb="FFB5C0A2"/>
      </patternFill>
    </fill>
    <fill>
      <patternFill patternType="darkGray">
        <fgColor rgb="FFB5C0A2"/>
        <bgColor rgb="FFB1CCA4"/>
      </patternFill>
    </fill>
    <fill>
      <patternFill patternType="darkGray">
        <fgColor rgb="FF343431"/>
        <bgColor rgb="FF2C2C2C"/>
      </patternFill>
    </fill>
    <fill>
      <patternFill patternType="mediumGray">
        <fgColor rgb="FF49198E"/>
        <bgColor rgb="FF721CB7"/>
      </patternFill>
    </fill>
    <fill>
      <patternFill patternType="mediumGray">
        <fgColor rgb="FFFCF6F8"/>
        <bgColor rgb="FFF2F2FC"/>
      </patternFill>
    </fill>
    <fill>
      <patternFill patternType="mediumGray">
        <fgColor rgb="FF083D74"/>
        <bgColor rgb="FF1F3864"/>
      </patternFill>
    </fill>
    <fill>
      <patternFill patternType="darkGray">
        <fgColor rgb="FF155E90"/>
        <bgColor rgb="FF1665A6"/>
      </patternFill>
    </fill>
    <fill>
      <patternFill patternType="solid">
        <fgColor rgb="FFFFCED1"/>
        <bgColor rgb="FFFFDCE1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>
        <color rgb="FF3F3F3D"/>
      </left>
      <right style="thin">
        <color rgb="FF3F3F3D"/>
      </right>
      <top style="thin">
        <color rgb="FF3F3F3D"/>
      </top>
      <bottom style="thin">
        <color rgb="FF3F3F3D"/>
      </bottom>
      <diagonal/>
    </border>
    <border diagonalUp="false" diagonalDown="false">
      <left style="thin">
        <color rgb="FF3F3F3D"/>
      </left>
      <right/>
      <top style="thin">
        <color rgb="FF3F3F3D"/>
      </top>
      <bottom style="thin">
        <color rgb="FF3F3F3D"/>
      </bottom>
      <diagonal/>
    </border>
    <border diagonalUp="false" diagonalDown="false">
      <left/>
      <right/>
      <top style="thin">
        <color rgb="FF3F3F3D"/>
      </top>
      <bottom style="thin">
        <color rgb="FF3F3F3D"/>
      </bottom>
      <diagonal/>
    </border>
    <border diagonalUp="false" diagonalDown="false"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 diagonalUp="false" diagonalDown="false">
      <left style="thin">
        <color rgb="FF404040"/>
      </left>
      <right/>
      <top style="thin">
        <color rgb="FF404040"/>
      </top>
      <bottom style="thin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true" indent="1" shrinkToFit="false"/>
      <protection locked="true" hidden="false"/>
    </xf>
    <xf numFmtId="164" fontId="22" fillId="1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1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0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1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42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23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0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4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8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0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0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1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1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5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2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3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3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54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6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57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0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3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3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1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9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1" fontId="29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1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29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9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2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9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9" fillId="3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3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62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4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3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3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1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1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3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0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0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2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6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2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4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5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0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4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9" fillId="4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8" fillId="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2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0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3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3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4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6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36" fillId="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5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7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3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75" fontId="2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21" fillId="5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2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2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73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73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3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2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9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8" fillId="0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9" fillId="0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9" fillId="0" borderId="6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4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5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5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5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1" fillId="2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1" fillId="5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1" fillId="4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8E6C9"/>
        </patternFill>
      </fill>
    </dxf>
    <dxf>
      <fill>
        <patternFill>
          <bgColor rgb="FFFFF9C4"/>
        </patternFill>
      </fill>
    </dxf>
    <dxf>
      <fill>
        <patternFill>
          <bgColor rgb="FFFFEBEE"/>
        </patternFill>
      </fill>
    </dxf>
    <dxf>
      <font>
        <name val="Calibri"/>
        <charset val="1"/>
        <family val="0"/>
        <b val="1"/>
        <color rgb="FFFF0000"/>
        <sz val="9"/>
      </font>
      <fill>
        <patternFill>
          <bgColor rgb="FFFFE0E0"/>
        </patternFill>
      </fill>
    </dxf>
    <dxf>
      <font>
        <name val="Calibri"/>
        <charset val="1"/>
        <family val="0"/>
        <b val="1"/>
        <color rgb="FF7F4F00"/>
        <sz val="9"/>
      </font>
      <fill>
        <patternFill>
          <bgColor rgb="FFFFF2CC"/>
        </patternFill>
      </fill>
    </dxf>
    <dxf>
      <fill>
        <patternFill>
          <bgColor rgb="FFDCEDC8"/>
        </patternFill>
      </fill>
    </dxf>
    <dxf>
      <fill>
        <patternFill>
          <bgColor rgb="FFFFCDD2"/>
        </patternFill>
      </fill>
    </dxf>
    <dxf>
      <fill>
        <patternFill>
          <bgColor rgb="FFF5F5F5"/>
        </patternFill>
      </fill>
    </dxf>
    <dxf>
      <fill>
        <patternFill>
          <bgColor rgb="FFFFE0B2"/>
        </patternFill>
      </fill>
    </dxf>
  </dxfs>
  <colors>
    <indexedColors>
      <rgbColor rgb="FF000000"/>
      <rgbColor rgb="FFFFFFFF"/>
      <rgbColor rgb="FFFF0000"/>
      <rgbColor rgb="FFF2F2FC"/>
      <rgbColor rgb="FF0000FF"/>
      <rgbColor rgb="FFFFF2CC"/>
      <rgbColor rgb="FFFFF3E0"/>
      <rgbColor rgb="FFEEF2FF"/>
      <rgbColor rgb="FF880000"/>
      <rgbColor rgb="FF006200"/>
      <rgbColor rgb="FF060808"/>
      <rgbColor rgb="FF7F5000"/>
      <rgbColor rgb="FF721CB7"/>
      <rgbColor rgb="FF155E90"/>
      <rgbColor rgb="FFB5C0A2"/>
      <rgbColor rgb="FF226A3E"/>
      <rgbColor rgb="FFC8E6C9"/>
      <rgbColor rgb="FF7B4F12"/>
      <rgbColor rgb="FFFFF9C4"/>
      <rgbColor rgb="FFE2F4FE"/>
      <rgbColor rgb="FF49198E"/>
      <rgbColor rgb="FFFFE0E0"/>
      <rgbColor rgb="FF1665A6"/>
      <rgbColor rgb="FFC6E6F5"/>
      <rgbColor rgb="FF053988"/>
      <rgbColor rgb="FFFCF6F8"/>
      <rgbColor rgb="FFFFF8E1"/>
      <rgbColor rgb="FFF0FFF4"/>
      <rgbColor rgb="FF404040"/>
      <rgbColor rgb="FF3F3F3D"/>
      <rgbColor rgb="FF1E6B3C"/>
      <rgbColor rgb="FFFFFDE7"/>
      <rgbColor rgb="FF00B4C8"/>
      <rgbColor rgb="FFDDEEFF"/>
      <rgbColor rgb="FFD9EADB"/>
      <rgbColor rgb="FFFFF2CB"/>
      <rgbColor rgb="FFB1CCA4"/>
      <rgbColor rgb="FFFFCED1"/>
      <rgbColor rgb="FFFFDCE1"/>
      <rgbColor rgb="FFFFE2A7"/>
      <rgbColor rgb="FFF0EAF6"/>
      <rgbColor rgb="FFE8EAF6"/>
      <rgbColor rgb="FFE8F5E9"/>
      <rgbColor rgb="FFFFE494"/>
      <rgbColor rgb="FFFFEBEE"/>
      <rgbColor rgb="FFF55202"/>
      <rgbColor rgb="FF3C4C51"/>
      <rgbColor rgb="FFC8E7C9"/>
      <rgbColor rgb="FF083D74"/>
      <rgbColor rgb="FF2B6D4C"/>
      <rgbColor rgb="FF0A2342"/>
      <rgbColor rgb="FF2C2C2C"/>
      <rgbColor rgb="FF7B1F1F"/>
      <rgbColor rgb="FFC83806"/>
      <rgbColor rgb="FF1F3864"/>
      <rgbColor rgb="FF3434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GHG Emissions Trend — Monthly (tCO₂e)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ESG_Dashboard!B12</c:f>
              <c:strCache>
                <c:ptCount val="1"/>
                <c:pt idx="0">
                  <c:v>Jul-25</c:v>
                </c:pt>
              </c:strCache>
            </c:strRef>
          </c:tx>
          <c:spPr>
            <a:solidFill>
              <a:srgbClr val="8e3b38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ESG_Dashboard!$C$12:$J$12</c:f>
              <c:numCache>
                <c:formatCode>General</c:formatCode>
                <c:ptCount val="8"/>
              </c:numCache>
            </c:numRef>
          </c:val>
        </c:ser>
        <c:ser>
          <c:idx val="1"/>
          <c:order val="1"/>
          <c:tx>
            <c:strRef>
              <c:f>ESG_Dashboard!B13</c:f>
              <c:strCache>
                <c:ptCount val="1"/>
                <c:pt idx="0">
                  <c:v>79,354.070</c:v>
                </c:pt>
              </c:strCache>
            </c:strRef>
          </c:tx>
          <c:spPr>
            <a:solidFill>
              <a:srgbClr val="a4444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ESG_Dashboard!$C$13:$J$13</c:f>
              <c:numCache>
                <c:formatCode>#,##0.000</c:formatCode>
                <c:ptCount val="8"/>
                <c:pt idx="0">
                  <c:v>68178.89</c:v>
                </c:pt>
                <c:pt idx="1">
                  <c:v>65076.46</c:v>
                </c:pt>
                <c:pt idx="2">
                  <c:v>73386.91</c:v>
                </c:pt>
                <c:pt idx="3">
                  <c:v>67294.64</c:v>
                </c:pt>
                <c:pt idx="4">
                  <c:v>57589.35</c:v>
                </c:pt>
                <c:pt idx="5">
                  <c:v>48740.43</c:v>
                </c:pt>
                <c:pt idx="6">
                  <c:v>63979.73</c:v>
                </c:pt>
                <c:pt idx="7">
                  <c:v>65865.05</c:v>
                </c:pt>
              </c:numCache>
            </c:numRef>
          </c:val>
        </c:ser>
        <c:ser>
          <c:idx val="2"/>
          <c:order val="2"/>
          <c:tx>
            <c:strRef>
              <c:f>ESG_Dashboard!B14</c:f>
              <c:strCache>
                <c:ptCount val="1"/>
                <c:pt idx="0">
                  <c:v>1,289.140</c:v>
                </c:pt>
              </c:strCache>
            </c:strRef>
          </c:tx>
          <c:spPr>
            <a:solidFill>
              <a:srgbClr val="b74c4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ESG_Dashboard!$C$14:$J$14</c:f>
              <c:numCache>
                <c:formatCode>#,##0.000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295</c:v>
                </c:pt>
                <c:pt idx="5">
                  <c:v>0</c:v>
                </c:pt>
                <c:pt idx="6">
                  <c:v>0</c:v>
                </c:pt>
                <c:pt idx="7">
                  <c:v>597</c:v>
                </c:pt>
              </c:numCache>
            </c:numRef>
          </c:val>
        </c:ser>
        <c:ser>
          <c:idx val="3"/>
          <c:order val="3"/>
          <c:tx>
            <c:strRef>
              <c:f>ESG_Dashboard!B15</c:f>
              <c:strCache>
                <c:ptCount val="1"/>
                <c:pt idx="0">
                  <c:v>0.000</c:v>
                </c:pt>
              </c:strCache>
            </c:strRef>
          </c:tx>
          <c:spPr>
            <a:solidFill>
              <a:srgbClr val="c7737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ESG_Dashboard!$C$15:$J$15</c:f>
              <c:numCache>
                <c:formatCode>#,##0.000</c:formatCode>
                <c:ptCount val="8"/>
                <c:pt idx="0">
                  <c:v>570</c:v>
                </c:pt>
                <c:pt idx="1">
                  <c:v>190</c:v>
                </c:pt>
                <c:pt idx="2">
                  <c:v>190</c:v>
                </c:pt>
                <c:pt idx="3">
                  <c:v>380</c:v>
                </c:pt>
                <c:pt idx="4">
                  <c:v>570</c:v>
                </c:pt>
                <c:pt idx="5">
                  <c:v>380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4"/>
          <c:order val="4"/>
          <c:tx>
            <c:strRef>
              <c:f>ESG_Dashboard!B16</c:f>
              <c:strCache>
                <c:ptCount val="1"/>
                <c:pt idx="0">
                  <c:v>288,638.880</c:v>
                </c:pt>
              </c:strCache>
            </c:strRef>
          </c:tx>
          <c:spPr>
            <a:solidFill>
              <a:srgbClr val="d5a1a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ESG_Dashboard!$C$16:$J$16</c:f>
              <c:numCache>
                <c:formatCode>#,##0.000</c:formatCode>
                <c:ptCount val="8"/>
                <c:pt idx="0">
                  <c:v>304665.02</c:v>
                </c:pt>
                <c:pt idx="1">
                  <c:v>294858.49</c:v>
                </c:pt>
                <c:pt idx="2">
                  <c:v>263387.94</c:v>
                </c:pt>
                <c:pt idx="3">
                  <c:v>255634.03</c:v>
                </c:pt>
                <c:pt idx="4">
                  <c:v>290165.23</c:v>
                </c:pt>
                <c:pt idx="5">
                  <c:v>261690.52</c:v>
                </c:pt>
                <c:pt idx="6">
                  <c:v>315712.51</c:v>
                </c:pt>
                <c:pt idx="7">
                  <c:v>314825.82</c:v>
                </c:pt>
              </c:numCache>
            </c:numRef>
          </c:val>
        </c:ser>
        <c:ser>
          <c:idx val="5"/>
          <c:order val="5"/>
          <c:tx>
            <c:strRef>
              <c:f>ESG_Dashboard!B17</c:f>
              <c:strCache>
                <c:ptCount val="1"/>
                <c:pt idx="0">
                  <c:v>409.410</c:v>
                </c:pt>
              </c:strCache>
            </c:strRef>
          </c:tx>
          <c:spPr>
            <a:solidFill>
              <a:srgbClr val="e2c2c1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ESG_Dashboard!$B$12:$J$12</c:f>
              <c:strCache>
                <c:ptCount val="9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  <c:pt idx="6">
                  <c:v>Jan-26</c:v>
                </c:pt>
                <c:pt idx="7">
                  <c:v>Feb-26</c:v>
                </c:pt>
                <c:pt idx="8">
                  <c:v>Mar-26</c:v>
                </c:pt>
              </c:strCache>
            </c:strRef>
          </c:cat>
          <c:val>
            <c:numRef>
              <c:f>ESG_Dashboard!$C$17:$J$17</c:f>
              <c:numCache>
                <c:formatCode>#,##0.000</c:formatCode>
                <c:ptCount val="8"/>
                <c:pt idx="0">
                  <c:v>391.39</c:v>
                </c:pt>
                <c:pt idx="1">
                  <c:v>380.72</c:v>
                </c:pt>
                <c:pt idx="2">
                  <c:v>534.81</c:v>
                </c:pt>
                <c:pt idx="3">
                  <c:v>476.36</c:v>
                </c:pt>
                <c:pt idx="4">
                  <c:v>499.53</c:v>
                </c:pt>
                <c:pt idx="5">
                  <c:v>533.01</c:v>
                </c:pt>
                <c:pt idx="6">
                  <c:v>560.94</c:v>
                </c:pt>
                <c:pt idx="7">
                  <c:v>570.24</c:v>
                </c:pt>
              </c:numCache>
            </c:numRef>
          </c:val>
        </c:ser>
        <c:gapWidth val="150"/>
        <c:overlap val="100"/>
        <c:axId val="93858164"/>
        <c:axId val="69430050"/>
      </c:barChart>
      <c:catAx>
        <c:axId val="938581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30050"/>
        <c:crosses val="autoZero"/>
        <c:auto val="1"/>
        <c:lblAlgn val="ctr"/>
        <c:lblOffset val="100"/>
        <c:noMultiLvlLbl val="0"/>
      </c:catAx>
      <c:valAx>
        <c:axId val="6943005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tCO₂e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581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Pillar Performance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ESG_Dashboard!$A$6:$A$8</c:f>
              <c:strCache>
                <c:ptCount val="3"/>
                <c:pt idx="0">
                  <c:v>🟢 Environmental (E)</c:v>
                </c:pt>
                <c:pt idx="1">
                  <c:v>🔵 Social (S)</c:v>
                </c:pt>
                <c:pt idx="2">
                  <c:v>🟣 Governance (G)</c:v>
                </c:pt>
              </c:strCache>
            </c:strRef>
          </c:cat>
          <c:val>
            <c:numRef>
              <c:f>ESG_Dashboard!$D$6:$D$8</c:f>
              <c:numCache>
                <c:formatCode>0.0%</c:formatCode>
                <c:ptCount val="3"/>
                <c:pt idx="0">
                  <c:v>0.333333333333333</c:v>
                </c:pt>
                <c:pt idx="1">
                  <c:v>0.33</c:v>
                </c:pt>
                <c:pt idx="2">
                  <c:v>0.648529411764706</c:v>
                </c:pt>
              </c:numCache>
            </c:numRef>
          </c:val>
        </c:ser>
        <c:axId val="49962921"/>
        <c:axId val="25269568"/>
      </c:radarChart>
      <c:catAx>
        <c:axId val="49962921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269568"/>
        <c:crosses val="autoZero"/>
        <c:auto val="1"/>
        <c:lblAlgn val="ctr"/>
        <c:lblOffset val="100"/>
        <c:noMultiLvlLbl val="0"/>
      </c:catAx>
      <c:valAx>
        <c:axId val="25269568"/>
        <c:scaling>
          <c:orientation val="minMax"/>
          <c:max val="1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6292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GHG by Scope — YTD Total (tCO₂e)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ESG_Dashboard!$A$13:$A$17</c:f>
              <c:strCache>
                <c:ptCount val="5"/>
                <c:pt idx="0">
                  <c:v>Scope 1 — Fleet Diesel</c:v>
                </c:pt>
                <c:pt idx="1">
                  <c:v>Scope 1 — Generator</c:v>
                </c:pt>
                <c:pt idx="2">
                  <c:v>Scope 1 — LPG Forklifts</c:v>
                </c:pt>
                <c:pt idx="3">
                  <c:v>Scope 2 — Electricity (grid)</c:v>
                </c:pt>
                <c:pt idx="4">
                  <c:v>Scope 3 — Water</c:v>
                </c:pt>
              </c:strCache>
            </c:strRef>
          </c:cat>
          <c:val>
            <c:numRef>
              <c:f>ESG_Dashboard!$K$13:$K$17</c:f>
              <c:numCache>
                <c:formatCode>#,##0.0</c:formatCode>
                <c:ptCount val="5"/>
                <c:pt idx="0">
                  <c:v>589465.53</c:v>
                </c:pt>
                <c:pt idx="1">
                  <c:v>2181.14</c:v>
                </c:pt>
                <c:pt idx="2">
                  <c:v>2280</c:v>
                </c:pt>
                <c:pt idx="3">
                  <c:v>2589578.44</c:v>
                </c:pt>
                <c:pt idx="4">
                  <c:v>4356.41</c:v>
                </c:pt>
              </c:numCache>
            </c:numRef>
          </c:val>
        </c:ser>
        <c:gapWidth val="150"/>
        <c:overlap val="0"/>
        <c:axId val="31435282"/>
        <c:axId val="62418238"/>
      </c:barChart>
      <c:catAx>
        <c:axId val="3143528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418238"/>
        <c:crosses val="autoZero"/>
        <c:auto val="1"/>
        <c:lblAlgn val="ctr"/>
        <c:lblOffset val="100"/>
        <c:noMultiLvlLbl val="0"/>
      </c:catAx>
      <c:valAx>
        <c:axId val="6241823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35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Materiality Matrix — Risk × Likelihood (bubble = score)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ubbleChart>
        <c:varyColors val="0"/>
        <c:ser>
          <c:idx val="0"/>
          <c:order val="0"/>
          <c:tx>
            <c:strRef>
              <c:f>"Risks"</c:f>
              <c:strCache>
                <c:ptCount val="1"/>
                <c:pt idx="0">
                  <c:v>Risks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ESG_Dashboard!$B$77:$B$86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1</c:v>
                </c:pt>
              </c:numCache>
            </c:numRef>
          </c:xVal>
          <c:yVal>
            <c:numRef>
              <c:f>ESG_Dashboard!$C$77:$C$86</c:f>
              <c:numCache>
                <c:formatCode>0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2</c:v>
                </c:pt>
              </c:numCache>
            </c:numRef>
          </c:yVal>
          <c:bubbleSize>
            <c:numRef>
              <c:f>ESG_Dashboard!$D$77:$D$86</c:f>
              <c:numCache>
                <c:formatCode>0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25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2</c:v>
                </c:pt>
                <c:pt idx="8">
                  <c:v>12</c:v>
                </c:pt>
                <c:pt idx="9">
                  <c:v>2</c:v>
                </c:pt>
              </c:numCache>
            </c:numRef>
          </c:bubbleSize>
          <c:bubble3D val="0"/>
        </c:ser>
        <c:axId val="87020178"/>
        <c:axId val="91158605"/>
      </c:bubbleChart>
      <c:valAx>
        <c:axId val="87020178"/>
        <c:scaling>
          <c:orientation val="minMax"/>
          <c:max val="6"/>
          <c:min val="0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Severity (1=Low, 5=High)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58605"/>
        <c:crosses val="autoZero"/>
        <c:crossBetween val="midCat"/>
      </c:valAx>
      <c:valAx>
        <c:axId val="91158605"/>
        <c:scaling>
          <c:orientation val="minMax"/>
          <c:max val="6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Likelihood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0201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0</xdr:rowOff>
    </xdr:from>
    <xdr:to>
      <xdr:col>7</xdr:col>
      <xdr:colOff>131040</xdr:colOff>
      <xdr:row>51</xdr:row>
      <xdr:rowOff>186480</xdr:rowOff>
    </xdr:to>
    <xdr:graphicFrame>
      <xdr:nvGraphicFramePr>
        <xdr:cNvPr id="0" name="Chart 1"/>
        <xdr:cNvGraphicFramePr/>
      </xdr:nvGraphicFramePr>
      <xdr:xfrm>
        <a:off x="0" y="6981840"/>
        <a:ext cx="647460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35</xdr:row>
      <xdr:rowOff>0</xdr:rowOff>
    </xdr:from>
    <xdr:to>
      <xdr:col>14</xdr:col>
      <xdr:colOff>493200</xdr:colOff>
      <xdr:row>51</xdr:row>
      <xdr:rowOff>186480</xdr:rowOff>
    </xdr:to>
    <xdr:graphicFrame>
      <xdr:nvGraphicFramePr>
        <xdr:cNvPr id="1" name="Chart 2"/>
        <xdr:cNvGraphicFramePr/>
      </xdr:nvGraphicFramePr>
      <xdr:xfrm>
        <a:off x="9867960" y="6981840"/>
        <a:ext cx="359460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0</xdr:rowOff>
    </xdr:from>
    <xdr:to>
      <xdr:col>7</xdr:col>
      <xdr:colOff>131040</xdr:colOff>
      <xdr:row>69</xdr:row>
      <xdr:rowOff>186480</xdr:rowOff>
    </xdr:to>
    <xdr:graphicFrame>
      <xdr:nvGraphicFramePr>
        <xdr:cNvPr id="2" name="Chart 3"/>
        <xdr:cNvGraphicFramePr/>
      </xdr:nvGraphicFramePr>
      <xdr:xfrm>
        <a:off x="0" y="10410840"/>
        <a:ext cx="6474600" cy="323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86</xdr:row>
      <xdr:rowOff>165600</xdr:rowOff>
    </xdr:from>
    <xdr:to>
      <xdr:col>7</xdr:col>
      <xdr:colOff>131040</xdr:colOff>
      <xdr:row>107</xdr:row>
      <xdr:rowOff>119880</xdr:rowOff>
    </xdr:to>
    <xdr:graphicFrame>
      <xdr:nvGraphicFramePr>
        <xdr:cNvPr id="3" name="Chart 4"/>
        <xdr:cNvGraphicFramePr/>
      </xdr:nvGraphicFramePr>
      <xdr:xfrm>
        <a:off x="0" y="17596440"/>
        <a:ext cx="6474600" cy="395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4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5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9.v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10.v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1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342"/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36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4" customFormat="false" ht="13.5" hidden="false" customHeight="true" outlineLevel="0" collapsed="false">
      <c r="A4" s="4" t="s">
        <v>2</v>
      </c>
      <c r="B4" s="4"/>
      <c r="C4" s="4"/>
      <c r="D4" s="4"/>
    </row>
    <row r="5" customFormat="false" ht="13.5" hidden="false" customHeight="true" outlineLevel="0" collapsed="false">
      <c r="B5" s="5" t="s">
        <v>3</v>
      </c>
      <c r="C5" s="6" t="s">
        <v>4</v>
      </c>
      <c r="D5" s="6"/>
    </row>
    <row r="6" customFormat="false" ht="13.5" hidden="false" customHeight="true" outlineLevel="0" collapsed="false">
      <c r="B6" s="5" t="s">
        <v>5</v>
      </c>
      <c r="C6" s="6" t="s">
        <v>6</v>
      </c>
      <c r="D6" s="6"/>
    </row>
    <row r="7" customFormat="false" ht="13.5" hidden="false" customHeight="true" outlineLevel="0" collapsed="false">
      <c r="B7" s="5" t="s">
        <v>7</v>
      </c>
      <c r="C7" s="6" t="s">
        <v>8</v>
      </c>
      <c r="D7" s="6"/>
    </row>
    <row r="8" customFormat="false" ht="13.5" hidden="false" customHeight="true" outlineLevel="0" collapsed="false">
      <c r="B8" s="5" t="s">
        <v>9</v>
      </c>
      <c r="C8" s="6" t="s">
        <v>10</v>
      </c>
      <c r="D8" s="6"/>
    </row>
    <row r="9" customFormat="false" ht="13.5" hidden="false" customHeight="true" outlineLevel="0" collapsed="false">
      <c r="B9" s="5" t="s">
        <v>11</v>
      </c>
      <c r="C9" s="6" t="s">
        <v>12</v>
      </c>
      <c r="D9" s="6"/>
    </row>
    <row r="10" customFormat="false" ht="13.5" hidden="false" customHeight="true" outlineLevel="0" collapsed="false">
      <c r="B10" s="5" t="s">
        <v>13</v>
      </c>
      <c r="C10" s="6" t="s">
        <v>14</v>
      </c>
      <c r="D10" s="6"/>
    </row>
    <row r="11" customFormat="false" ht="13.5" hidden="false" customHeight="true" outlineLevel="0" collapsed="false">
      <c r="B11" s="5" t="s">
        <v>15</v>
      </c>
      <c r="C11" s="6" t="s">
        <v>16</v>
      </c>
      <c r="D11" s="6"/>
    </row>
    <row r="12" customFormat="false" ht="13.5" hidden="false" customHeight="true" outlineLevel="0" collapsed="false">
      <c r="B12" s="5" t="s">
        <v>17</v>
      </c>
      <c r="C12" s="6" t="s">
        <v>18</v>
      </c>
      <c r="D12" s="6"/>
    </row>
    <row r="14" customFormat="false" ht="13.5" hidden="false" customHeight="true" outlineLevel="0" collapsed="false">
      <c r="A14" s="7" t="s">
        <v>19</v>
      </c>
      <c r="B14" s="7"/>
      <c r="C14" s="7"/>
      <c r="D14" s="7"/>
    </row>
    <row r="15" customFormat="false" ht="13.5" hidden="false" customHeight="true" outlineLevel="0" collapsed="false">
      <c r="B15" s="8" t="s">
        <v>20</v>
      </c>
      <c r="C15" s="8" t="s">
        <v>21</v>
      </c>
      <c r="D15" s="8" t="s">
        <v>22</v>
      </c>
    </row>
    <row r="16" customFormat="false" ht="12.75" hidden="false" customHeight="true" outlineLevel="0" collapsed="false">
      <c r="B16" s="9" t="s">
        <v>23</v>
      </c>
      <c r="C16" s="10" t="s">
        <v>24</v>
      </c>
      <c r="D16" s="11" t="s">
        <v>25</v>
      </c>
    </row>
    <row r="17" customFormat="false" ht="12.75" hidden="false" customHeight="true" outlineLevel="0" collapsed="false">
      <c r="B17" s="12" t="s">
        <v>26</v>
      </c>
      <c r="C17" s="10" t="s">
        <v>27</v>
      </c>
      <c r="D17" s="13" t="s">
        <v>28</v>
      </c>
    </row>
    <row r="18" customFormat="false" ht="12.75" hidden="false" customHeight="true" outlineLevel="0" collapsed="false">
      <c r="B18" s="12" t="s">
        <v>29</v>
      </c>
      <c r="C18" s="10" t="s">
        <v>30</v>
      </c>
      <c r="D18" s="13" t="s">
        <v>28</v>
      </c>
    </row>
    <row r="19" customFormat="false" ht="12.75" hidden="false" customHeight="true" outlineLevel="0" collapsed="false">
      <c r="B19" s="12" t="s">
        <v>31</v>
      </c>
      <c r="C19" s="10" t="s">
        <v>32</v>
      </c>
      <c r="D19" s="13" t="s">
        <v>28</v>
      </c>
    </row>
    <row r="20" customFormat="false" ht="12.75" hidden="false" customHeight="true" outlineLevel="0" collapsed="false">
      <c r="B20" s="12" t="s">
        <v>33</v>
      </c>
      <c r="C20" s="10" t="s">
        <v>34</v>
      </c>
      <c r="D20" s="13" t="s">
        <v>28</v>
      </c>
    </row>
    <row r="21" customFormat="false" ht="12.75" hidden="false" customHeight="true" outlineLevel="0" collapsed="false">
      <c r="B21" s="12" t="s">
        <v>35</v>
      </c>
      <c r="C21" s="10" t="s">
        <v>36</v>
      </c>
      <c r="D21" s="13" t="s">
        <v>28</v>
      </c>
    </row>
    <row r="22" customFormat="false" ht="12.75" hidden="false" customHeight="true" outlineLevel="0" collapsed="false">
      <c r="B22" s="12" t="s">
        <v>37</v>
      </c>
      <c r="C22" s="10" t="s">
        <v>38</v>
      </c>
      <c r="D22" s="13" t="s">
        <v>28</v>
      </c>
    </row>
    <row r="23" customFormat="false" ht="12.75" hidden="false" customHeight="true" outlineLevel="0" collapsed="false">
      <c r="B23" s="9" t="s">
        <v>39</v>
      </c>
      <c r="C23" s="10" t="s">
        <v>40</v>
      </c>
      <c r="D23" s="11" t="s">
        <v>25</v>
      </c>
    </row>
    <row r="24" customFormat="false" ht="12.75" hidden="false" customHeight="true" outlineLevel="0" collapsed="false">
      <c r="B24" s="9" t="s">
        <v>41</v>
      </c>
      <c r="C24" s="10" t="s">
        <v>42</v>
      </c>
      <c r="D24" s="11" t="s">
        <v>25</v>
      </c>
    </row>
    <row r="25" customFormat="false" ht="12.75" hidden="false" customHeight="true" outlineLevel="0" collapsed="false">
      <c r="B25" s="9" t="s">
        <v>43</v>
      </c>
      <c r="C25" s="10" t="s">
        <v>44</v>
      </c>
      <c r="D25" s="11" t="s">
        <v>25</v>
      </c>
    </row>
    <row r="26" customFormat="false" ht="12.75" hidden="false" customHeight="true" outlineLevel="0" collapsed="false">
      <c r="B26" s="9" t="s">
        <v>45</v>
      </c>
      <c r="C26" s="10" t="s">
        <v>46</v>
      </c>
      <c r="D26" s="11" t="s">
        <v>25</v>
      </c>
    </row>
    <row r="27" customFormat="false" ht="12.75" hidden="false" customHeight="true" outlineLevel="0" collapsed="false">
      <c r="B27" s="12" t="s">
        <v>47</v>
      </c>
      <c r="C27" s="10" t="s">
        <v>48</v>
      </c>
      <c r="D27" s="13" t="s">
        <v>28</v>
      </c>
    </row>
    <row r="28" customFormat="false" ht="12.75" hidden="false" customHeight="true" outlineLevel="0" collapsed="false">
      <c r="B28" s="12" t="s">
        <v>49</v>
      </c>
      <c r="C28" s="10" t="s">
        <v>50</v>
      </c>
      <c r="D28" s="13" t="s">
        <v>28</v>
      </c>
    </row>
    <row r="29" customFormat="false" ht="12.75" hidden="false" customHeight="true" outlineLevel="0" collapsed="false">
      <c r="B29" s="12" t="s">
        <v>51</v>
      </c>
      <c r="C29" s="10" t="s">
        <v>52</v>
      </c>
      <c r="D29" s="13" t="s">
        <v>28</v>
      </c>
    </row>
    <row r="30" customFormat="false" ht="12.75" hidden="false" customHeight="true" outlineLevel="0" collapsed="false">
      <c r="B30" s="12" t="s">
        <v>53</v>
      </c>
      <c r="C30" s="10" t="s">
        <v>54</v>
      </c>
      <c r="D30" s="13" t="s">
        <v>28</v>
      </c>
    </row>
    <row r="31" customFormat="false" ht="12.75" hidden="false" customHeight="true" outlineLevel="0" collapsed="false">
      <c r="B31" s="12" t="s">
        <v>55</v>
      </c>
      <c r="C31" s="10" t="s">
        <v>56</v>
      </c>
      <c r="D31" s="13" t="s">
        <v>28</v>
      </c>
    </row>
    <row r="32" customFormat="false" ht="12.75" hidden="false" customHeight="true" outlineLevel="0" collapsed="false">
      <c r="B32" s="9" t="s">
        <v>57</v>
      </c>
      <c r="C32" s="10" t="s">
        <v>58</v>
      </c>
      <c r="D32" s="11" t="s">
        <v>25</v>
      </c>
    </row>
    <row r="33" customFormat="false" ht="12.75" hidden="false" customHeight="true" outlineLevel="0" collapsed="false">
      <c r="B33" s="14" t="s">
        <v>59</v>
      </c>
      <c r="C33" s="10" t="s">
        <v>60</v>
      </c>
      <c r="D33" s="15" t="s">
        <v>61</v>
      </c>
    </row>
    <row r="34" customFormat="false" ht="12.75" hidden="false" customHeight="true" outlineLevel="0" collapsed="false">
      <c r="B34" s="9" t="s">
        <v>62</v>
      </c>
      <c r="C34" s="10" t="s">
        <v>63</v>
      </c>
      <c r="D34" s="11" t="s">
        <v>25</v>
      </c>
    </row>
    <row r="35" customFormat="false" ht="15" hidden="false" customHeight="true" outlineLevel="0" collapsed="false">
      <c r="B35" s="16" t="s">
        <v>64</v>
      </c>
      <c r="C35" s="17" t="s">
        <v>65</v>
      </c>
      <c r="D35" s="18" t="s">
        <v>28</v>
      </c>
    </row>
    <row r="36" customFormat="false" ht="13.5" hidden="false" customHeight="true" outlineLevel="0" collapsed="false">
      <c r="A36" s="19" t="s">
        <v>66</v>
      </c>
      <c r="B36" s="16" t="s">
        <v>67</v>
      </c>
      <c r="C36" s="17" t="s">
        <v>68</v>
      </c>
      <c r="D36" s="18" t="s">
        <v>25</v>
      </c>
    </row>
    <row r="37" customFormat="false" ht="15" hidden="false" customHeight="true" outlineLevel="0" collapsed="false">
      <c r="B37" s="16" t="s">
        <v>69</v>
      </c>
      <c r="C37" s="17" t="s">
        <v>70</v>
      </c>
      <c r="D37" s="18" t="s">
        <v>25</v>
      </c>
    </row>
    <row r="38" customFormat="false" ht="15" hidden="false" customHeight="true" outlineLevel="0" collapsed="false">
      <c r="B38" s="16" t="s">
        <v>71</v>
      </c>
      <c r="C38" s="17" t="s">
        <v>72</v>
      </c>
      <c r="D38" s="18" t="s">
        <v>25</v>
      </c>
    </row>
    <row r="39" customFormat="false" ht="15" hidden="false" customHeight="true" outlineLevel="0" collapsed="false">
      <c r="B39" s="16" t="s">
        <v>73</v>
      </c>
      <c r="C39" s="17" t="s">
        <v>74</v>
      </c>
      <c r="D39" s="18" t="s">
        <v>61</v>
      </c>
    </row>
    <row r="40" customFormat="false" ht="15" hidden="false" customHeight="true" outlineLevel="0" collapsed="false">
      <c r="B40" s="20" t="s">
        <v>75</v>
      </c>
      <c r="C40" s="17" t="s">
        <v>76</v>
      </c>
      <c r="D40" s="21" t="s">
        <v>77</v>
      </c>
    </row>
    <row r="41" customFormat="false" ht="21.75" hidden="false" customHeight="true" outlineLevel="0" collapsed="false">
      <c r="A41" s="22" t="s">
        <v>78</v>
      </c>
      <c r="B41" s="22"/>
      <c r="C41" s="22"/>
      <c r="D41" s="22"/>
    </row>
    <row r="42" customFormat="false" ht="15" hidden="false" customHeight="true" outlineLevel="0" collapsed="false">
      <c r="B42" s="23" t="s">
        <v>79</v>
      </c>
      <c r="C42" s="1" t="s">
        <v>80</v>
      </c>
      <c r="D42" s="1" t="s">
        <v>81</v>
      </c>
    </row>
  </sheetData>
  <mergeCells count="13">
    <mergeCell ref="A1:D1"/>
    <mergeCell ref="A2:D2"/>
    <mergeCell ref="A4:D4"/>
    <mergeCell ref="C5:D5"/>
    <mergeCell ref="C6:D6"/>
    <mergeCell ref="C7:D7"/>
    <mergeCell ref="C8:D8"/>
    <mergeCell ref="C9:D9"/>
    <mergeCell ref="C10:D10"/>
    <mergeCell ref="C11:D11"/>
    <mergeCell ref="C12:D12"/>
    <mergeCell ref="A14:D14"/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70"/>
    <col collapsed="false" customWidth="true" hidden="false" outlineLevel="0" max="6" min="6" style="1" width="16"/>
  </cols>
  <sheetData>
    <row r="1" customFormat="false" ht="27.75" hidden="false" customHeight="true" outlineLevel="0" collapsed="false">
      <c r="A1" s="24" t="s">
        <v>82</v>
      </c>
      <c r="B1" s="24"/>
      <c r="C1" s="24"/>
      <c r="D1" s="24"/>
      <c r="E1" s="24"/>
      <c r="F1" s="24"/>
    </row>
    <row r="2" customFormat="false" ht="18" hidden="false" customHeight="true" outlineLevel="0" collapsed="false">
      <c r="A2" s="25" t="s">
        <v>83</v>
      </c>
      <c r="B2" s="25"/>
      <c r="C2" s="25"/>
      <c r="D2" s="25"/>
      <c r="E2" s="25"/>
      <c r="F2" s="25"/>
    </row>
    <row r="3" customFormat="false" ht="27.75" hidden="false" customHeight="true" outlineLevel="0" collapsed="false">
      <c r="A3" s="26" t="s">
        <v>84</v>
      </c>
      <c r="B3" s="26"/>
      <c r="C3" s="26"/>
      <c r="D3" s="26"/>
      <c r="E3" s="26"/>
      <c r="F3" s="26"/>
    </row>
    <row r="4" customFormat="false" ht="30" hidden="false" customHeight="true" outlineLevel="0" collapsed="false">
      <c r="A4" s="27" t="s">
        <v>85</v>
      </c>
      <c r="B4" s="27"/>
      <c r="C4" s="27"/>
      <c r="D4" s="27"/>
      <c r="E4" s="27"/>
      <c r="F4" s="27"/>
    </row>
    <row r="5" customFormat="false" ht="27.75" hidden="false" customHeight="true" outlineLevel="0" collapsed="false"/>
    <row r="6" customFormat="false" ht="15" hidden="false" customHeight="true" outlineLevel="0" collapsed="false">
      <c r="A6" s="28" t="s">
        <v>86</v>
      </c>
    </row>
    <row r="7" customFormat="false" ht="15" hidden="false" customHeight="true" outlineLevel="0" collapsed="false">
      <c r="A7" s="29" t="s">
        <v>87</v>
      </c>
      <c r="B7" s="29" t="s">
        <v>88</v>
      </c>
      <c r="C7" s="29" t="s">
        <v>89</v>
      </c>
      <c r="D7" s="29" t="s">
        <v>90</v>
      </c>
      <c r="E7" s="29" t="s">
        <v>91</v>
      </c>
      <c r="F7" s="29" t="s">
        <v>92</v>
      </c>
    </row>
    <row r="8" customFormat="false" ht="15" hidden="false" customHeight="true" outlineLevel="0" collapsed="false">
      <c r="A8" s="30" t="s">
        <v>93</v>
      </c>
      <c r="B8" s="31" t="s">
        <v>94</v>
      </c>
      <c r="C8" s="32" t="s">
        <v>95</v>
      </c>
      <c r="D8" s="33" t="s">
        <v>96</v>
      </c>
      <c r="E8" s="34" t="s">
        <v>97</v>
      </c>
      <c r="F8" s="35" t="s">
        <v>98</v>
      </c>
    </row>
    <row r="9" customFormat="false" ht="15" hidden="false" customHeight="true" outlineLevel="0" collapsed="false">
      <c r="A9" s="34" t="s">
        <v>99</v>
      </c>
      <c r="B9" s="36" t="n">
        <f aca="false">IF(B8="Lean",0.3,IF(B8="Strict",0.7,0.5))</f>
        <v>0.5</v>
      </c>
      <c r="C9" s="32" t="s">
        <v>100</v>
      </c>
      <c r="D9" s="33" t="s">
        <v>101</v>
      </c>
      <c r="E9" s="34" t="s">
        <v>102</v>
      </c>
      <c r="F9" s="35" t="s">
        <v>103</v>
      </c>
    </row>
    <row r="10" customFormat="false" ht="15" hidden="false" customHeight="true" outlineLevel="0" collapsed="false">
      <c r="A10" s="30" t="s">
        <v>104</v>
      </c>
      <c r="B10" s="31" t="s">
        <v>105</v>
      </c>
      <c r="C10" s="32" t="s">
        <v>106</v>
      </c>
      <c r="D10" s="33" t="s">
        <v>107</v>
      </c>
      <c r="E10" s="34" t="s">
        <v>108</v>
      </c>
      <c r="F10" s="35" t="s">
        <v>109</v>
      </c>
    </row>
    <row r="11" customFormat="false" ht="15" hidden="false" customHeight="true" outlineLevel="0" collapsed="false">
      <c r="A11" s="30" t="s">
        <v>110</v>
      </c>
      <c r="B11" s="31" t="s">
        <v>111</v>
      </c>
      <c r="C11" s="32" t="s">
        <v>112</v>
      </c>
      <c r="D11" s="33" t="s">
        <v>113</v>
      </c>
      <c r="E11" s="34" t="s">
        <v>114</v>
      </c>
      <c r="F11" s="35" t="s">
        <v>115</v>
      </c>
    </row>
    <row r="12" customFormat="false" ht="15" hidden="false" customHeight="true" outlineLevel="0" collapsed="false">
      <c r="A12" s="30" t="s">
        <v>116</v>
      </c>
      <c r="B12" s="31" t="s">
        <v>117</v>
      </c>
      <c r="C12" s="32" t="s">
        <v>118</v>
      </c>
      <c r="D12" s="33" t="s">
        <v>119</v>
      </c>
      <c r="E12" s="34" t="s">
        <v>120</v>
      </c>
      <c r="F12" s="35" t="s">
        <v>121</v>
      </c>
    </row>
    <row r="13" customFormat="false" ht="15" hidden="false" customHeight="true" outlineLevel="0" collapsed="false">
      <c r="A13" s="30" t="s">
        <v>122</v>
      </c>
      <c r="B13" s="31" t="s">
        <v>123</v>
      </c>
      <c r="C13" s="32" t="s">
        <v>106</v>
      </c>
      <c r="D13" s="33" t="s">
        <v>124</v>
      </c>
      <c r="E13" s="34" t="s">
        <v>125</v>
      </c>
      <c r="F13" s="35" t="s">
        <v>126</v>
      </c>
    </row>
    <row r="14" customFormat="false" ht="36" hidden="false" customHeight="true" outlineLevel="0" collapsed="false">
      <c r="A14" s="34" t="s">
        <v>127</v>
      </c>
      <c r="B14" s="34"/>
      <c r="C14" s="34"/>
      <c r="D14" s="34"/>
      <c r="E14" s="34"/>
      <c r="F14" s="34"/>
    </row>
    <row r="15" customFormat="false" ht="15" hidden="false" customHeight="true" outlineLevel="0" collapsed="false">
      <c r="A15" s="30" t="s">
        <v>128</v>
      </c>
      <c r="B15" s="31" t="s">
        <v>129</v>
      </c>
      <c r="C15" s="32" t="s">
        <v>130</v>
      </c>
      <c r="D15" s="33" t="s">
        <v>131</v>
      </c>
      <c r="E15" s="34" t="s">
        <v>132</v>
      </c>
      <c r="F15" s="35" t="s">
        <v>133</v>
      </c>
    </row>
    <row r="16" customFormat="false" ht="74.25" hidden="false" customHeight="true" outlineLevel="0" collapsed="false">
      <c r="A16" s="37" t="s">
        <v>134</v>
      </c>
    </row>
    <row r="17" customFormat="false" ht="15" hidden="false" customHeight="true" outlineLevel="0" collapsed="false">
      <c r="A17" s="38"/>
      <c r="B17" s="38"/>
      <c r="C17" s="38"/>
      <c r="D17" s="38"/>
      <c r="E17" s="38"/>
      <c r="F17" s="38"/>
    </row>
    <row r="18" customFormat="false" ht="27.75" hidden="false" customHeight="true" outlineLevel="0" collapsed="false"/>
    <row r="19" customFormat="false" ht="42.75" hidden="false" customHeight="true" outlineLevel="0" collapsed="false"/>
    <row r="20" customFormat="false" ht="32.25" hidden="false" customHeight="true" outlineLevel="0" collapsed="false"/>
    <row r="21" customFormat="false" ht="32.25" hidden="false" customHeight="true" outlineLevel="0" collapsed="false"/>
    <row r="22" customFormat="false" ht="21.75" hidden="false" customHeight="true" outlineLevel="0" collapsed="false"/>
    <row r="23" customFormat="false" ht="32.25" hidden="false" customHeight="true" outlineLevel="0" collapsed="false"/>
    <row r="24" customFormat="false" ht="32.25" hidden="false" customHeight="true" outlineLevel="0" collapsed="false"/>
    <row r="25" customFormat="false" ht="32.25" hidden="false" customHeight="true" outlineLevel="0" collapsed="false"/>
    <row r="26" customFormat="false" ht="42.75" hidden="false" customHeight="true" outlineLevel="0" collapsed="false"/>
    <row r="27" customFormat="false" ht="21.75" hidden="false" customHeight="true" outlineLevel="0" collapsed="false"/>
    <row r="28" customFormat="false" ht="32.25" hidden="false" customHeight="true" outlineLevel="0" collapsed="false">
      <c r="A28" s="39" t="s">
        <v>135</v>
      </c>
    </row>
    <row r="29" customFormat="false" ht="32.25" hidden="false" customHeight="true" outlineLevel="0" collapsed="false">
      <c r="A29" s="29" t="s">
        <v>136</v>
      </c>
      <c r="B29" s="29" t="s">
        <v>137</v>
      </c>
      <c r="C29" s="29" t="s">
        <v>138</v>
      </c>
      <c r="D29" s="29" t="s">
        <v>90</v>
      </c>
      <c r="E29" s="29" t="s">
        <v>139</v>
      </c>
      <c r="F29" s="29" t="s">
        <v>11</v>
      </c>
    </row>
    <row r="30" customFormat="false" ht="32.25" hidden="false" customHeight="true" outlineLevel="0" collapsed="false">
      <c r="A30" s="34" t="s">
        <v>140</v>
      </c>
      <c r="B30" s="40" t="n">
        <v>2.68</v>
      </c>
      <c r="C30" s="32" t="s">
        <v>141</v>
      </c>
      <c r="D30" s="33" t="s">
        <v>142</v>
      </c>
      <c r="E30" s="34" t="s">
        <v>143</v>
      </c>
      <c r="F30" s="32" t="s">
        <v>144</v>
      </c>
    </row>
    <row r="31" customFormat="false" ht="32.25" hidden="false" customHeight="true" outlineLevel="0" collapsed="false">
      <c r="A31" s="34" t="s">
        <v>145</v>
      </c>
      <c r="B31" s="40" t="n">
        <v>2.31</v>
      </c>
      <c r="C31" s="32" t="s">
        <v>141</v>
      </c>
      <c r="D31" s="33" t="s">
        <v>146</v>
      </c>
      <c r="E31" s="34" t="s">
        <v>147</v>
      </c>
      <c r="F31" s="32" t="s">
        <v>144</v>
      </c>
    </row>
    <row r="32" customFormat="false" ht="21.75" hidden="false" customHeight="true" outlineLevel="0" collapsed="false">
      <c r="A32" s="34" t="s">
        <v>148</v>
      </c>
      <c r="B32" s="40" t="n">
        <v>1.51</v>
      </c>
      <c r="C32" s="32" t="s">
        <v>149</v>
      </c>
      <c r="D32" s="33" t="s">
        <v>150</v>
      </c>
      <c r="E32" s="34" t="s">
        <v>151</v>
      </c>
      <c r="F32" s="32" t="s">
        <v>144</v>
      </c>
    </row>
    <row r="33" customFormat="false" ht="32.25" hidden="false" customHeight="true" outlineLevel="0" collapsed="false">
      <c r="A33" s="34" t="s">
        <v>152</v>
      </c>
      <c r="B33" s="40" t="n">
        <v>0.82</v>
      </c>
      <c r="C33" s="32" t="s">
        <v>153</v>
      </c>
      <c r="D33" s="33" t="s">
        <v>154</v>
      </c>
      <c r="E33" s="34" t="s">
        <v>155</v>
      </c>
      <c r="F33" s="32" t="s">
        <v>144</v>
      </c>
    </row>
    <row r="34" customFormat="false" ht="32.25" hidden="false" customHeight="true" outlineLevel="0" collapsed="false">
      <c r="A34" s="34" t="s">
        <v>156</v>
      </c>
      <c r="B34" s="40" t="n">
        <v>0.025</v>
      </c>
      <c r="C34" s="32" t="s">
        <v>153</v>
      </c>
      <c r="D34" s="33" t="s">
        <v>157</v>
      </c>
      <c r="E34" s="34" t="s">
        <v>158</v>
      </c>
      <c r="F34" s="32" t="s">
        <v>144</v>
      </c>
    </row>
    <row r="35" customFormat="false" ht="21.75" hidden="false" customHeight="true" outlineLevel="0" collapsed="false">
      <c r="A35" s="34" t="s">
        <v>159</v>
      </c>
      <c r="B35" s="41" t="n">
        <v>0.000344</v>
      </c>
      <c r="C35" s="32" t="s">
        <v>160</v>
      </c>
      <c r="D35" s="33" t="s">
        <v>161</v>
      </c>
      <c r="E35" s="34" t="s">
        <v>162</v>
      </c>
      <c r="F35" s="32" t="s">
        <v>144</v>
      </c>
    </row>
    <row r="36" customFormat="false" ht="32.25" hidden="false" customHeight="true" outlineLevel="0" collapsed="false">
      <c r="A36" s="34" t="s">
        <v>163</v>
      </c>
      <c r="B36" s="40" t="n">
        <v>0.58</v>
      </c>
      <c r="C36" s="32" t="s">
        <v>164</v>
      </c>
      <c r="D36" s="33" t="s">
        <v>165</v>
      </c>
      <c r="E36" s="34" t="s">
        <v>166</v>
      </c>
      <c r="F36" s="32" t="s">
        <v>144</v>
      </c>
    </row>
    <row r="37" customFormat="false" ht="21.75" hidden="false" customHeight="true" outlineLevel="0" collapsed="false">
      <c r="A37" s="34" t="s">
        <v>167</v>
      </c>
      <c r="B37" s="42" t="n">
        <v>236</v>
      </c>
      <c r="C37" s="32" t="s">
        <v>168</v>
      </c>
      <c r="D37" s="33" t="s">
        <v>169</v>
      </c>
      <c r="E37" s="34" t="s">
        <v>170</v>
      </c>
      <c r="F37" s="32" t="s">
        <v>144</v>
      </c>
    </row>
    <row r="38" customFormat="false" ht="15" hidden="false" customHeight="true" outlineLevel="0" collapsed="false">
      <c r="A38" s="34" t="s">
        <v>171</v>
      </c>
      <c r="B38" s="42" t="n">
        <v>640</v>
      </c>
      <c r="C38" s="32" t="s">
        <v>168</v>
      </c>
      <c r="D38" s="33" t="s">
        <v>172</v>
      </c>
      <c r="E38" s="34" t="s">
        <v>173</v>
      </c>
      <c r="F38" s="32" t="s">
        <v>144</v>
      </c>
    </row>
    <row r="39" customFormat="false" ht="15" hidden="false" customHeight="true" outlineLevel="0" collapsed="false">
      <c r="A39" s="34" t="s">
        <v>174</v>
      </c>
      <c r="B39" s="43" t="n">
        <v>0.6</v>
      </c>
      <c r="C39" s="32" t="s">
        <v>175</v>
      </c>
      <c r="D39" s="33" t="s">
        <v>176</v>
      </c>
      <c r="E39" s="34" t="s">
        <v>177</v>
      </c>
      <c r="F39" s="32" t="s">
        <v>144</v>
      </c>
    </row>
    <row r="40" customFormat="false" ht="15" hidden="false" customHeight="true" outlineLevel="0" collapsed="false"/>
    <row r="41" customFormat="false" ht="21.75" hidden="false" customHeight="true" outlineLevel="0" collapsed="false">
      <c r="A41" s="39" t="s">
        <v>178</v>
      </c>
    </row>
    <row r="42" customFormat="false" ht="32.25" hidden="false" customHeight="true" outlineLevel="0" collapsed="false">
      <c r="A42" s="29" t="s">
        <v>179</v>
      </c>
      <c r="B42" s="29" t="s">
        <v>137</v>
      </c>
      <c r="C42" s="29" t="s">
        <v>138</v>
      </c>
      <c r="D42" s="29" t="s">
        <v>90</v>
      </c>
      <c r="E42" s="29" t="s">
        <v>180</v>
      </c>
      <c r="F42" s="29" t="s">
        <v>181</v>
      </c>
    </row>
    <row r="43" customFormat="false" ht="15" hidden="false" customHeight="true" outlineLevel="0" collapsed="false">
      <c r="A43" s="34" t="s">
        <v>182</v>
      </c>
      <c r="B43" s="43" t="n">
        <v>0.1</v>
      </c>
      <c r="C43" s="32" t="s">
        <v>183</v>
      </c>
      <c r="D43" s="33" t="s">
        <v>184</v>
      </c>
      <c r="E43" s="34" t="s">
        <v>185</v>
      </c>
      <c r="F43" s="44" t="s">
        <v>186</v>
      </c>
    </row>
    <row r="44" customFormat="false" ht="27.75" hidden="false" customHeight="true" outlineLevel="0" collapsed="false">
      <c r="A44" s="34" t="s">
        <v>187</v>
      </c>
      <c r="B44" s="43" t="n">
        <v>0.2</v>
      </c>
      <c r="C44" s="32" t="s">
        <v>183</v>
      </c>
      <c r="D44" s="33" t="s">
        <v>188</v>
      </c>
      <c r="E44" s="34" t="s">
        <v>189</v>
      </c>
      <c r="F44" s="44" t="s">
        <v>190</v>
      </c>
    </row>
    <row r="45" customFormat="false" ht="34.5" hidden="false" customHeight="true" outlineLevel="0" collapsed="false">
      <c r="A45" s="34" t="s">
        <v>191</v>
      </c>
      <c r="B45" s="45" t="n">
        <v>1.05</v>
      </c>
      <c r="C45" s="32" t="s">
        <v>192</v>
      </c>
      <c r="D45" s="33" t="s">
        <v>193</v>
      </c>
      <c r="E45" s="34" t="s">
        <v>194</v>
      </c>
      <c r="F45" s="44" t="s">
        <v>195</v>
      </c>
    </row>
    <row r="46" customFormat="false" ht="23.25" hidden="false" customHeight="true" outlineLevel="0" collapsed="false">
      <c r="A46" s="34" t="s">
        <v>196</v>
      </c>
      <c r="B46" s="43" t="n">
        <v>0.05</v>
      </c>
      <c r="C46" s="32" t="s">
        <v>183</v>
      </c>
      <c r="D46" s="33" t="s">
        <v>197</v>
      </c>
      <c r="E46" s="34" t="s">
        <v>198</v>
      </c>
      <c r="F46" s="44" t="s">
        <v>199</v>
      </c>
    </row>
    <row r="47" customFormat="false" ht="23.25" hidden="false" customHeight="true" outlineLevel="0" collapsed="false">
      <c r="A47" s="34" t="s">
        <v>200</v>
      </c>
      <c r="B47" s="43" t="n">
        <v>0.2</v>
      </c>
      <c r="C47" s="32" t="s">
        <v>183</v>
      </c>
      <c r="D47" s="33" t="s">
        <v>201</v>
      </c>
      <c r="E47" s="34" t="s">
        <v>57</v>
      </c>
      <c r="F47" s="44" t="s">
        <v>202</v>
      </c>
    </row>
    <row r="48" customFormat="false" ht="15" hidden="false" customHeight="true" outlineLevel="0" collapsed="false">
      <c r="A48" s="34" t="s">
        <v>203</v>
      </c>
      <c r="B48" s="43" t="n">
        <v>0.75</v>
      </c>
      <c r="C48" s="32" t="s">
        <v>183</v>
      </c>
      <c r="D48" s="33" t="s">
        <v>204</v>
      </c>
      <c r="E48" s="34" t="s">
        <v>205</v>
      </c>
      <c r="F48" s="44" t="s">
        <v>206</v>
      </c>
    </row>
    <row r="49" customFormat="false" ht="15" hidden="false" customHeight="true" outlineLevel="0" collapsed="false">
      <c r="A49" s="34" t="s">
        <v>207</v>
      </c>
      <c r="B49" s="43" t="n">
        <v>0.9</v>
      </c>
      <c r="C49" s="32" t="s">
        <v>183</v>
      </c>
      <c r="D49" s="33" t="s">
        <v>208</v>
      </c>
      <c r="E49" s="34" t="s">
        <v>209</v>
      </c>
      <c r="F49" s="44" t="s">
        <v>210</v>
      </c>
    </row>
    <row r="50" customFormat="false" ht="32.25" hidden="false" customHeight="true" outlineLevel="0" collapsed="false">
      <c r="A50" s="34" t="s">
        <v>211</v>
      </c>
      <c r="B50" s="43" t="n">
        <v>0.6</v>
      </c>
      <c r="C50" s="32" t="s">
        <v>183</v>
      </c>
      <c r="D50" s="33" t="s">
        <v>212</v>
      </c>
      <c r="E50" s="34" t="s">
        <v>213</v>
      </c>
      <c r="F50" s="44" t="s">
        <v>214</v>
      </c>
    </row>
    <row r="51" customFormat="false" ht="15" hidden="false" customHeight="true" outlineLevel="0" collapsed="false">
      <c r="A51" s="34" t="s">
        <v>215</v>
      </c>
      <c r="B51" s="43" t="n">
        <v>0.3</v>
      </c>
      <c r="C51" s="32" t="s">
        <v>183</v>
      </c>
      <c r="D51" s="33" t="s">
        <v>216</v>
      </c>
      <c r="E51" s="34" t="s">
        <v>217</v>
      </c>
      <c r="F51" s="44" t="s">
        <v>218</v>
      </c>
    </row>
    <row r="52" customFormat="false" ht="27.75" hidden="false" customHeight="true" outlineLevel="0" collapsed="false">
      <c r="A52" s="34" t="s">
        <v>219</v>
      </c>
      <c r="B52" s="43" t="n">
        <v>0.02</v>
      </c>
      <c r="C52" s="32" t="s">
        <v>183</v>
      </c>
      <c r="D52" s="33" t="s">
        <v>220</v>
      </c>
      <c r="E52" s="34" t="s">
        <v>221</v>
      </c>
      <c r="F52" s="44" t="s">
        <v>222</v>
      </c>
    </row>
    <row r="53" customFormat="false" ht="15" hidden="false" customHeight="true" outlineLevel="0" collapsed="false">
      <c r="A53" s="34" t="s">
        <v>223</v>
      </c>
      <c r="B53" s="42" t="n">
        <v>40</v>
      </c>
      <c r="C53" s="32" t="s">
        <v>224</v>
      </c>
      <c r="D53" s="33" t="s">
        <v>225</v>
      </c>
      <c r="E53" s="34" t="s">
        <v>226</v>
      </c>
      <c r="F53" s="44" t="s">
        <v>227</v>
      </c>
    </row>
    <row r="54" customFormat="false" ht="15" hidden="false" customHeight="true" outlineLevel="0" collapsed="false">
      <c r="A54" s="34" t="s">
        <v>228</v>
      </c>
      <c r="B54" s="43" t="n">
        <v>0.8</v>
      </c>
      <c r="C54" s="32" t="s">
        <v>183</v>
      </c>
      <c r="D54" s="33" t="s">
        <v>229</v>
      </c>
      <c r="E54" s="34" t="s">
        <v>230</v>
      </c>
      <c r="F54" s="44" t="s">
        <v>231</v>
      </c>
    </row>
    <row r="55" customFormat="false" ht="15" hidden="false" customHeight="true" outlineLevel="0" collapsed="false">
      <c r="A55" s="34" t="s">
        <v>232</v>
      </c>
      <c r="B55" s="45" t="n">
        <v>2</v>
      </c>
      <c r="C55" s="32" t="s">
        <v>233</v>
      </c>
      <c r="D55" s="33" t="s">
        <v>234</v>
      </c>
      <c r="E55" s="34" t="s">
        <v>235</v>
      </c>
      <c r="F55" s="44" t="s">
        <v>236</v>
      </c>
    </row>
    <row r="56" customFormat="false" ht="15" hidden="false" customHeight="true" outlineLevel="0" collapsed="false">
      <c r="A56" s="34" t="s">
        <v>237</v>
      </c>
      <c r="B56" s="45" t="n">
        <v>0.01</v>
      </c>
      <c r="C56" s="32" t="s">
        <v>238</v>
      </c>
      <c r="D56" s="33" t="s">
        <v>239</v>
      </c>
      <c r="E56" s="34" t="s">
        <v>240</v>
      </c>
      <c r="F56" s="44" t="s">
        <v>241</v>
      </c>
    </row>
    <row r="57" customFormat="false" ht="15" hidden="false" customHeight="true" outlineLevel="0" collapsed="false">
      <c r="A57" s="34" t="s">
        <v>242</v>
      </c>
      <c r="B57" s="43" t="n">
        <v>0.4</v>
      </c>
      <c r="C57" s="32" t="s">
        <v>183</v>
      </c>
      <c r="D57" s="33" t="s">
        <v>243</v>
      </c>
      <c r="E57" s="34" t="s">
        <v>244</v>
      </c>
      <c r="F57" s="44" t="s">
        <v>245</v>
      </c>
    </row>
    <row r="58" customFormat="false" ht="15" hidden="false" customHeight="true" outlineLevel="0" collapsed="false">
      <c r="A58" s="34" t="s">
        <v>246</v>
      </c>
      <c r="B58" s="43" t="n">
        <v>0.8</v>
      </c>
      <c r="C58" s="32" t="s">
        <v>183</v>
      </c>
      <c r="D58" s="33" t="s">
        <v>247</v>
      </c>
      <c r="E58" s="34" t="s">
        <v>248</v>
      </c>
      <c r="F58" s="44" t="s">
        <v>249</v>
      </c>
    </row>
    <row r="59" customFormat="false" ht="15" hidden="false" customHeight="true" outlineLevel="0" collapsed="false">
      <c r="A59" s="34" t="s">
        <v>250</v>
      </c>
      <c r="B59" s="43" t="n">
        <v>0.7</v>
      </c>
      <c r="C59" s="32" t="s">
        <v>183</v>
      </c>
      <c r="D59" s="33" t="s">
        <v>251</v>
      </c>
      <c r="E59" s="34" t="s">
        <v>252</v>
      </c>
      <c r="F59" s="44" t="s">
        <v>253</v>
      </c>
    </row>
    <row r="60" customFormat="false" ht="15" hidden="false" customHeight="true" outlineLevel="0" collapsed="false">
      <c r="A60" s="34" t="s">
        <v>254</v>
      </c>
      <c r="B60" s="42" t="n">
        <v>500</v>
      </c>
      <c r="C60" s="32" t="s">
        <v>255</v>
      </c>
      <c r="D60" s="33" t="s">
        <v>256</v>
      </c>
      <c r="E60" s="34" t="s">
        <v>257</v>
      </c>
      <c r="F60" s="44" t="s">
        <v>258</v>
      </c>
    </row>
    <row r="61" customFormat="false" ht="15" hidden="false" customHeight="true" outlineLevel="0" collapsed="false">
      <c r="A61" s="34" t="s">
        <v>259</v>
      </c>
      <c r="B61" s="42" t="n">
        <v>10</v>
      </c>
      <c r="C61" s="32" t="s">
        <v>260</v>
      </c>
      <c r="D61" s="33" t="s">
        <v>261</v>
      </c>
      <c r="E61" s="34" t="s">
        <v>51</v>
      </c>
      <c r="F61" s="44" t="s">
        <v>262</v>
      </c>
    </row>
    <row r="62" customFormat="false" ht="15" hidden="false" customHeight="true" outlineLevel="0" collapsed="false">
      <c r="A62" s="34" t="s">
        <v>263</v>
      </c>
      <c r="B62" s="43" t="n">
        <v>0.85</v>
      </c>
      <c r="C62" s="32" t="s">
        <v>183</v>
      </c>
      <c r="D62" s="33" t="s">
        <v>264</v>
      </c>
      <c r="E62" s="34" t="s">
        <v>265</v>
      </c>
      <c r="F62" s="44" t="s">
        <v>266</v>
      </c>
    </row>
    <row r="63" customFormat="false" ht="27.75" hidden="false" customHeight="true" outlineLevel="0" collapsed="false">
      <c r="A63" s="34" t="s">
        <v>267</v>
      </c>
      <c r="B63" s="43" t="n">
        <v>0.7</v>
      </c>
      <c r="C63" s="32" t="s">
        <v>183</v>
      </c>
      <c r="D63" s="33" t="s">
        <v>268</v>
      </c>
      <c r="E63" s="34" t="s">
        <v>265</v>
      </c>
      <c r="F63" s="44" t="s">
        <v>269</v>
      </c>
    </row>
    <row r="64" customFormat="false" ht="34.5" hidden="false" customHeight="true" outlineLevel="0" collapsed="false">
      <c r="A64" s="34" t="s">
        <v>270</v>
      </c>
      <c r="B64" s="43" t="n">
        <v>0.5</v>
      </c>
      <c r="C64" s="32" t="s">
        <v>183</v>
      </c>
      <c r="D64" s="33" t="s">
        <v>271</v>
      </c>
      <c r="E64" s="34" t="s">
        <v>265</v>
      </c>
      <c r="F64" s="44" t="s">
        <v>272</v>
      </c>
    </row>
    <row r="65" customFormat="false" ht="23.25" hidden="false" customHeight="true" outlineLevel="0" collapsed="false">
      <c r="A65" s="34" t="s">
        <v>273</v>
      </c>
      <c r="B65" s="43" t="n">
        <v>0.75</v>
      </c>
      <c r="C65" s="32" t="s">
        <v>183</v>
      </c>
      <c r="D65" s="33" t="s">
        <v>274</v>
      </c>
      <c r="E65" s="34" t="s">
        <v>275</v>
      </c>
      <c r="F65" s="44" t="s">
        <v>276</v>
      </c>
    </row>
    <row r="66" customFormat="false" ht="21.75" hidden="false" customHeight="true" outlineLevel="0" collapsed="false"/>
    <row r="67" customFormat="false" ht="23.25" hidden="false" customHeight="true" outlineLevel="0" collapsed="false">
      <c r="A67" s="39" t="s">
        <v>277</v>
      </c>
    </row>
    <row r="68" customFormat="false" ht="23.25" hidden="false" customHeight="true" outlineLevel="0" collapsed="false">
      <c r="A68" s="46" t="s">
        <v>278</v>
      </c>
      <c r="B68" s="47" t="n">
        <v>25</v>
      </c>
      <c r="C68" s="46" t="s">
        <v>279</v>
      </c>
      <c r="D68" s="48" t="s">
        <v>280</v>
      </c>
      <c r="E68" s="49" t="s">
        <v>281</v>
      </c>
      <c r="F68" s="49" t="s">
        <v>282</v>
      </c>
    </row>
    <row r="69" customFormat="false" ht="34.5" hidden="false" customHeight="true" outlineLevel="0" collapsed="false">
      <c r="A69" s="34" t="s">
        <v>283</v>
      </c>
      <c r="B69" s="47" t="n">
        <v>19</v>
      </c>
      <c r="C69" s="34" t="s">
        <v>284</v>
      </c>
      <c r="D69" s="33" t="s">
        <v>285</v>
      </c>
      <c r="E69" s="32" t="s">
        <v>286</v>
      </c>
      <c r="F69" s="32" t="s">
        <v>287</v>
      </c>
    </row>
    <row r="70" customFormat="false" ht="23.25" hidden="false" customHeight="true" outlineLevel="0" collapsed="false">
      <c r="A70" s="34" t="s">
        <v>288</v>
      </c>
      <c r="B70" s="47" t="n">
        <v>25</v>
      </c>
      <c r="C70" s="34" t="s">
        <v>289</v>
      </c>
      <c r="D70" s="33" t="s">
        <v>290</v>
      </c>
      <c r="E70" s="32" t="s">
        <v>291</v>
      </c>
      <c r="F70" s="32" t="s">
        <v>287</v>
      </c>
    </row>
    <row r="71" customFormat="false" ht="23.25" hidden="false" customHeight="true" outlineLevel="0" collapsed="false">
      <c r="A71" s="34" t="s">
        <v>292</v>
      </c>
      <c r="B71" s="47" t="n">
        <v>40</v>
      </c>
      <c r="C71" s="34" t="s">
        <v>293</v>
      </c>
      <c r="D71" s="33" t="s">
        <v>294</v>
      </c>
      <c r="E71" s="32" t="s">
        <v>295</v>
      </c>
      <c r="F71" s="32" t="s">
        <v>296</v>
      </c>
    </row>
    <row r="72" customFormat="false" ht="15" hidden="false" customHeight="true" outlineLevel="0" collapsed="false">
      <c r="A72" s="34" t="s">
        <v>297</v>
      </c>
      <c r="B72" s="47" t="n">
        <v>5</v>
      </c>
      <c r="C72" s="34" t="s">
        <v>298</v>
      </c>
      <c r="D72" s="33" t="s">
        <v>299</v>
      </c>
      <c r="E72" s="32" t="s">
        <v>300</v>
      </c>
      <c r="F72" s="32" t="s">
        <v>287</v>
      </c>
    </row>
    <row r="73" customFormat="false" ht="15" hidden="false" customHeight="true" outlineLevel="0" collapsed="false">
      <c r="A73" s="30" t="s">
        <v>301</v>
      </c>
      <c r="B73" s="30"/>
      <c r="C73" s="30"/>
      <c r="D73" s="30"/>
      <c r="E73" s="30"/>
      <c r="F73" s="30"/>
    </row>
    <row r="74" customFormat="false" ht="27.75" hidden="false" customHeight="true" outlineLevel="0" collapsed="false"/>
    <row r="75" customFormat="false" ht="15" hidden="false" customHeight="true" outlineLevel="0" collapsed="false">
      <c r="A75" s="39" t="s">
        <v>302</v>
      </c>
    </row>
    <row r="76" customFormat="false" ht="15" hidden="false" customHeight="true" outlineLevel="0" collapsed="false">
      <c r="A76" s="50" t="s">
        <v>303</v>
      </c>
      <c r="B76" s="47" t="n">
        <v>100</v>
      </c>
      <c r="C76" s="49" t="s">
        <v>304</v>
      </c>
      <c r="D76" s="48" t="s">
        <v>305</v>
      </c>
      <c r="E76" s="29"/>
      <c r="F76" s="29"/>
    </row>
    <row r="77" customFormat="false" ht="15" hidden="false" customHeight="true" outlineLevel="0" collapsed="false">
      <c r="A77" s="30" t="s">
        <v>306</v>
      </c>
      <c r="B77" s="47" t="n">
        <v>95</v>
      </c>
      <c r="C77" s="32" t="s">
        <v>307</v>
      </c>
      <c r="D77" s="33" t="s">
        <v>308</v>
      </c>
    </row>
    <row r="78" customFormat="false" ht="15" hidden="false" customHeight="true" outlineLevel="0" collapsed="false">
      <c r="A78" s="30" t="s">
        <v>309</v>
      </c>
      <c r="B78" s="47" t="n">
        <v>90</v>
      </c>
      <c r="C78" s="32" t="s">
        <v>310</v>
      </c>
      <c r="D78" s="33" t="s">
        <v>311</v>
      </c>
    </row>
    <row r="79" customFormat="false" ht="15" hidden="false" customHeight="true" outlineLevel="0" collapsed="false">
      <c r="A79" s="51" t="s">
        <v>312</v>
      </c>
      <c r="B79" s="51"/>
      <c r="C79" s="51"/>
      <c r="D79" s="51"/>
      <c r="E79" s="51"/>
      <c r="F79" s="51"/>
    </row>
    <row r="80" customFormat="false" ht="27.75" hidden="false" customHeight="true" outlineLevel="0" collapsed="false">
      <c r="A80" s="30" t="s">
        <v>313</v>
      </c>
      <c r="B80" s="47" t="n">
        <v>75</v>
      </c>
      <c r="C80" s="32" t="s">
        <v>314</v>
      </c>
      <c r="D80" s="33" t="s">
        <v>315</v>
      </c>
    </row>
    <row r="81" customFormat="false" ht="15" hidden="false" customHeight="true" outlineLevel="0" collapsed="false">
      <c r="A81" s="51" t="s">
        <v>316</v>
      </c>
      <c r="B81" s="52"/>
      <c r="C81" s="52"/>
      <c r="D81" s="52"/>
      <c r="E81" s="52"/>
      <c r="F81" s="52"/>
    </row>
    <row r="82" customFormat="false" ht="15" hidden="false" customHeight="true" outlineLevel="0" collapsed="false">
      <c r="A82" s="30" t="s">
        <v>317</v>
      </c>
      <c r="B82" s="47" t="n">
        <v>55</v>
      </c>
      <c r="C82" s="32" t="s">
        <v>318</v>
      </c>
      <c r="D82" s="33" t="s">
        <v>319</v>
      </c>
    </row>
    <row r="83" customFormat="false" ht="15" hidden="false" customHeight="true" outlineLevel="0" collapsed="false">
      <c r="A83" s="30" t="s">
        <v>320</v>
      </c>
      <c r="B83" s="47" t="n">
        <v>40</v>
      </c>
      <c r="C83" s="32" t="s">
        <v>321</v>
      </c>
      <c r="D83" s="33" t="s">
        <v>322</v>
      </c>
    </row>
    <row r="84" customFormat="false" ht="15" hidden="false" customHeight="true" outlineLevel="0" collapsed="false">
      <c r="A84" s="30" t="s">
        <v>323</v>
      </c>
      <c r="B84" s="47" t="n">
        <v>0</v>
      </c>
      <c r="C84" s="32" t="s">
        <v>324</v>
      </c>
      <c r="D84" s="33" t="s">
        <v>325</v>
      </c>
    </row>
    <row r="85" customFormat="false" ht="15" hidden="false" customHeight="true" outlineLevel="0" collapsed="false"/>
    <row r="86" customFormat="false" ht="15" hidden="false" customHeight="true" outlineLevel="0" collapsed="false">
      <c r="A86" s="39" t="s">
        <v>326</v>
      </c>
    </row>
    <row r="87" customFormat="false" ht="15" hidden="false" customHeight="true" outlineLevel="0" collapsed="false">
      <c r="A87" s="50" t="s">
        <v>327</v>
      </c>
      <c r="B87" s="46" t="s">
        <v>328</v>
      </c>
      <c r="C87" s="46" t="s">
        <v>329</v>
      </c>
      <c r="D87" s="49" t="s">
        <v>330</v>
      </c>
      <c r="E87" s="53" t="s">
        <v>331</v>
      </c>
      <c r="F87" s="53" t="s">
        <v>332</v>
      </c>
    </row>
    <row r="88" customFormat="false" ht="15" hidden="false" customHeight="true" outlineLevel="0" collapsed="false">
      <c r="A88" s="30" t="s">
        <v>333</v>
      </c>
      <c r="B88" s="34" t="s">
        <v>334</v>
      </c>
      <c r="C88" s="34" t="s">
        <v>335</v>
      </c>
      <c r="D88" s="32" t="s">
        <v>336</v>
      </c>
      <c r="E88" s="44" t="s">
        <v>337</v>
      </c>
      <c r="F88" s="44" t="s">
        <v>338</v>
      </c>
    </row>
    <row r="89" customFormat="false" ht="23.25" hidden="false" customHeight="true" outlineLevel="0" collapsed="false">
      <c r="A89" s="30" t="s">
        <v>339</v>
      </c>
      <c r="B89" s="34" t="s">
        <v>340</v>
      </c>
      <c r="C89" s="34" t="s">
        <v>341</v>
      </c>
      <c r="D89" s="32" t="s">
        <v>342</v>
      </c>
      <c r="E89" s="44" t="s">
        <v>343</v>
      </c>
      <c r="F89" s="44" t="s">
        <v>344</v>
      </c>
    </row>
    <row r="90" customFormat="false" ht="23.25" hidden="false" customHeight="true" outlineLevel="0" collapsed="false">
      <c r="A90" s="30" t="s">
        <v>345</v>
      </c>
      <c r="B90" s="34" t="s">
        <v>346</v>
      </c>
      <c r="C90" s="34" t="s">
        <v>329</v>
      </c>
      <c r="D90" s="32" t="s">
        <v>330</v>
      </c>
      <c r="E90" s="44" t="s">
        <v>347</v>
      </c>
      <c r="F90" s="44" t="s">
        <v>348</v>
      </c>
    </row>
    <row r="91" customFormat="false" ht="34.5" hidden="false" customHeight="true" outlineLevel="0" collapsed="false">
      <c r="A91" s="30" t="s">
        <v>349</v>
      </c>
      <c r="B91" s="34" t="s">
        <v>350</v>
      </c>
      <c r="C91" s="34" t="s">
        <v>351</v>
      </c>
      <c r="D91" s="32" t="s">
        <v>336</v>
      </c>
      <c r="E91" s="44" t="s">
        <v>352</v>
      </c>
      <c r="F91" s="44" t="s">
        <v>353</v>
      </c>
    </row>
    <row r="92" customFormat="false" ht="23.25" hidden="false" customHeight="true" outlineLevel="0" collapsed="false">
      <c r="A92" s="30" t="s">
        <v>354</v>
      </c>
      <c r="B92" s="34" t="s">
        <v>355</v>
      </c>
      <c r="C92" s="34" t="s">
        <v>341</v>
      </c>
      <c r="D92" s="32" t="s">
        <v>342</v>
      </c>
      <c r="E92" s="44" t="s">
        <v>356</v>
      </c>
      <c r="F92" s="44" t="s">
        <v>357</v>
      </c>
    </row>
    <row r="93" customFormat="false" ht="23.25" hidden="false" customHeight="true" outlineLevel="0" collapsed="false">
      <c r="A93" s="30" t="s">
        <v>358</v>
      </c>
      <c r="B93" s="34" t="s">
        <v>359</v>
      </c>
      <c r="C93" s="34" t="s">
        <v>360</v>
      </c>
      <c r="D93" s="32" t="s">
        <v>361</v>
      </c>
      <c r="E93" s="44" t="s">
        <v>362</v>
      </c>
      <c r="F93" s="44" t="s">
        <v>363</v>
      </c>
    </row>
    <row r="94" customFormat="false" ht="23.25" hidden="false" customHeight="true" outlineLevel="0" collapsed="false">
      <c r="A94" s="30" t="s">
        <v>364</v>
      </c>
      <c r="B94" s="34" t="s">
        <v>365</v>
      </c>
      <c r="C94" s="34" t="s">
        <v>366</v>
      </c>
      <c r="D94" s="32" t="s">
        <v>367</v>
      </c>
      <c r="E94" s="44" t="s">
        <v>368</v>
      </c>
      <c r="F94" s="44" t="s">
        <v>369</v>
      </c>
    </row>
    <row r="95" customFormat="false" ht="15" hidden="false" customHeight="true" outlineLevel="0" collapsed="false">
      <c r="A95" s="30" t="s">
        <v>370</v>
      </c>
      <c r="B95" s="34" t="s">
        <v>371</v>
      </c>
      <c r="C95" s="34" t="s">
        <v>329</v>
      </c>
      <c r="D95" s="32" t="s">
        <v>330</v>
      </c>
      <c r="E95" s="44" t="s">
        <v>372</v>
      </c>
      <c r="F95" s="44" t="s">
        <v>373</v>
      </c>
    </row>
    <row r="96" customFormat="false" ht="15" hidden="false" customHeight="true" outlineLevel="0" collapsed="false"/>
    <row r="97" customFormat="false" ht="15" hidden="false" customHeight="true" outlineLevel="0" collapsed="false">
      <c r="A97" s="39" t="s">
        <v>374</v>
      </c>
    </row>
    <row r="98" customFormat="false" ht="15" hidden="false" customHeight="true" outlineLevel="0" collapsed="false">
      <c r="A98" s="46" t="s">
        <v>375</v>
      </c>
      <c r="B98" s="43" t="n">
        <v>0.4</v>
      </c>
      <c r="C98" s="47" t="n">
        <v>108</v>
      </c>
      <c r="D98" s="48" t="s">
        <v>376</v>
      </c>
      <c r="E98" s="53" t="s">
        <v>377</v>
      </c>
      <c r="F98" s="29"/>
    </row>
    <row r="99" customFormat="false" ht="15" hidden="false" customHeight="true" outlineLevel="0" collapsed="false">
      <c r="A99" s="34" t="s">
        <v>378</v>
      </c>
      <c r="B99" s="43" t="n">
        <v>0.3</v>
      </c>
      <c r="C99" s="47" t="n">
        <v>100</v>
      </c>
      <c r="D99" s="33" t="s">
        <v>379</v>
      </c>
      <c r="E99" s="44" t="s">
        <v>380</v>
      </c>
    </row>
    <row r="100" customFormat="false" ht="15" hidden="false" customHeight="true" outlineLevel="0" collapsed="false">
      <c r="A100" s="34" t="s">
        <v>381</v>
      </c>
      <c r="B100" s="43" t="n">
        <v>0.3</v>
      </c>
      <c r="C100" s="47" t="n">
        <v>100</v>
      </c>
      <c r="D100" s="33" t="s">
        <v>382</v>
      </c>
      <c r="E100" s="44" t="s">
        <v>383</v>
      </c>
    </row>
    <row r="101" customFormat="false" ht="15" hidden="false" customHeight="true" outlineLevel="0" collapsed="false">
      <c r="A101" s="30" t="s">
        <v>384</v>
      </c>
      <c r="B101" s="43" t="n">
        <v>1</v>
      </c>
      <c r="C101" s="47" t="n">
        <v>308</v>
      </c>
      <c r="D101" s="33" t="s">
        <v>385</v>
      </c>
      <c r="E101" s="44" t="s">
        <v>386</v>
      </c>
    </row>
    <row r="102" customFormat="false" ht="15" hidden="false" customHeight="true" outlineLevel="0" collapsed="false"/>
    <row r="103" customFormat="false" ht="15" hidden="false" customHeight="true" outlineLevel="0" collapsed="false">
      <c r="A103" s="39" t="s">
        <v>387</v>
      </c>
    </row>
    <row r="104" customFormat="false" ht="15" hidden="false" customHeight="true" outlineLevel="0" collapsed="false">
      <c r="A104" s="46" t="s">
        <v>388</v>
      </c>
      <c r="B104" s="54" t="s">
        <v>4</v>
      </c>
      <c r="C104" s="29"/>
      <c r="D104" s="48" t="s">
        <v>389</v>
      </c>
      <c r="E104" s="53" t="s">
        <v>390</v>
      </c>
      <c r="F104" s="29"/>
    </row>
    <row r="105" customFormat="false" ht="15" hidden="false" customHeight="true" outlineLevel="0" collapsed="false">
      <c r="A105" s="34" t="s">
        <v>391</v>
      </c>
      <c r="B105" s="54" t="s">
        <v>392</v>
      </c>
      <c r="D105" s="33" t="s">
        <v>393</v>
      </c>
      <c r="E105" s="44" t="s">
        <v>394</v>
      </c>
    </row>
    <row r="106" customFormat="false" ht="15" hidden="false" customHeight="true" outlineLevel="0" collapsed="false">
      <c r="A106" s="34" t="s">
        <v>395</v>
      </c>
      <c r="B106" s="54" t="s">
        <v>14</v>
      </c>
      <c r="D106" s="33" t="s">
        <v>396</v>
      </c>
      <c r="E106" s="44" t="s">
        <v>397</v>
      </c>
    </row>
    <row r="107" customFormat="false" ht="15" hidden="false" customHeight="true" outlineLevel="0" collapsed="false">
      <c r="A107" s="34" t="s">
        <v>398</v>
      </c>
      <c r="B107" s="47" t="n">
        <v>2050</v>
      </c>
      <c r="D107" s="33" t="s">
        <v>399</v>
      </c>
      <c r="E107" s="44" t="s">
        <v>400</v>
      </c>
    </row>
    <row r="108" customFormat="false" ht="15" hidden="false" customHeight="true" outlineLevel="0" collapsed="false">
      <c r="A108" s="34" t="s">
        <v>401</v>
      </c>
      <c r="B108" s="54" t="s">
        <v>402</v>
      </c>
      <c r="D108" s="33" t="s">
        <v>403</v>
      </c>
      <c r="E108" s="44" t="s">
        <v>404</v>
      </c>
    </row>
    <row r="109" customFormat="false" ht="15" hidden="false" customHeight="true" outlineLevel="0" collapsed="false">
      <c r="A109" s="34" t="s">
        <v>405</v>
      </c>
      <c r="B109" s="54" t="s">
        <v>123</v>
      </c>
      <c r="D109" s="33" t="s">
        <v>406</v>
      </c>
      <c r="E109" s="44" t="s">
        <v>407</v>
      </c>
    </row>
    <row r="110" customFormat="false" ht="15" hidden="false" customHeight="true" outlineLevel="0" collapsed="false">
      <c r="A110" s="34" t="s">
        <v>408</v>
      </c>
      <c r="B110" s="54" t="s">
        <v>8</v>
      </c>
      <c r="D110" s="33" t="s">
        <v>409</v>
      </c>
      <c r="E110" s="44" t="s">
        <v>410</v>
      </c>
    </row>
    <row r="111" customFormat="false" ht="15" hidden="false" customHeight="true" outlineLevel="0" collapsed="false">
      <c r="A111" s="34" t="s">
        <v>411</v>
      </c>
      <c r="B111" s="47" t="n">
        <v>9</v>
      </c>
      <c r="D111" s="33" t="s">
        <v>412</v>
      </c>
      <c r="E111" s="44" t="s">
        <v>413</v>
      </c>
    </row>
    <row r="112" customFormat="false" ht="15" hidden="false" customHeight="true" outlineLevel="0" collapsed="false">
      <c r="A112" s="34" t="s">
        <v>414</v>
      </c>
      <c r="B112" s="55" t="n">
        <f aca="false">12/B111</f>
        <v>1.33333333333333</v>
      </c>
      <c r="D112" s="33" t="s">
        <v>415</v>
      </c>
      <c r="E112" s="44" t="s">
        <v>416</v>
      </c>
    </row>
  </sheetData>
  <mergeCells count="8">
    <mergeCell ref="A1:F1"/>
    <mergeCell ref="A2:F2"/>
    <mergeCell ref="A3:F3"/>
    <mergeCell ref="A4:F4"/>
    <mergeCell ref="A14:F14"/>
    <mergeCell ref="A17:F17"/>
    <mergeCell ref="A73:F73"/>
    <mergeCell ref="A79:F79"/>
  </mergeCells>
  <dataValidations count="6">
    <dataValidation allowBlank="false" errorStyle="stop" operator="between" showDropDown="false" showErrorMessage="false" showInputMessage="false" sqref="B6" type="list">
      <formula1>"Lean,Standard,Strict"</formula1>
      <formula2>0</formula2>
    </dataValidation>
    <dataValidation allowBlank="false" errorStyle="stop" operator="between" showDropDown="false" showErrorMessage="false" showInputMessage="false" sqref="B8" type="list">
      <formula1>"Generic,FMCG / Distribution,Transport / Logistics,Manufacturing,Financial Services,ICT / Technology,Agriculture,Mining,Construction,Retail,Hospitality,Healthcare,Education,Public Sector"</formula1>
      <formula2>0</formula2>
    </dataValidation>
    <dataValidation allowBlank="false" errorStyle="stop" operator="between" showDropDown="false" showErrorMessage="false" showInputMessage="false" sqref="B9" type="list">
      <formula1>"King V + IFRS S1/S2,GRI Standards,IFRS S1+S2 only,ESRS (EU CSRD),TCFD,Combined (all)"</formula1>
      <formula2>0</formula2>
    </dataValidation>
    <dataValidation allowBlank="false" errorStyle="stop" operator="between" showDropDown="false" showErrorMessage="false" showInputMessage="false" sqref="B10" type="list">
      <formula1>"Single (financial — IFRS),Double (financial + impact — ESRS),Dynamic"</formula1>
      <formula2>0</formula2>
    </dataValidation>
    <dataValidation allowBlank="false" errorStyle="stop" operator="between" showDropDown="false" showErrorMessage="false" showInputMessage="false" sqref="B11" type="list">
      <formula1>"ZAR,USD,EUR,GBP,KES,NGN,BWP,ZMW,GHS,EGP,XOF,MAD"</formula1>
      <formula2>0</formula2>
    </dataValidation>
    <dataValidation allowBlank="false" errorStyle="stop" operator="between" showDropDown="false" showErrorMessage="false" showInputMessage="false" sqref="B13" type="list">
      <formula1>"Current Tier 1 only,Escalated Tier 2 only,Both (current + escalated)"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60"/>
    <col collapsed="false" customWidth="true" hidden="false" outlineLevel="0" max="6" min="6" style="1" width="18"/>
  </cols>
  <sheetData>
    <row r="1" customFormat="false" ht="27.75" hidden="false" customHeight="true" outlineLevel="0" collapsed="false">
      <c r="A1" s="24" t="s">
        <v>417</v>
      </c>
      <c r="B1" s="24"/>
      <c r="C1" s="24"/>
      <c r="D1" s="24"/>
      <c r="E1" s="24"/>
      <c r="F1" s="24"/>
    </row>
    <row r="2" customFormat="false" ht="18" hidden="false" customHeight="true" outlineLevel="0" collapsed="false">
      <c r="A2" s="25" t="s">
        <v>418</v>
      </c>
      <c r="B2" s="25"/>
      <c r="C2" s="25"/>
      <c r="D2" s="25"/>
      <c r="E2" s="25"/>
      <c r="F2" s="25"/>
    </row>
    <row r="4" customFormat="false" ht="15" hidden="false" customHeight="true" outlineLevel="0" collapsed="false">
      <c r="A4" s="56" t="s">
        <v>419</v>
      </c>
      <c r="B4" s="56"/>
      <c r="C4" s="56"/>
      <c r="D4" s="56"/>
      <c r="E4" s="56"/>
      <c r="F4" s="56"/>
    </row>
    <row r="5" customFormat="false" ht="27.75" hidden="false" customHeight="true" outlineLevel="0" collapsed="false">
      <c r="A5" s="29" t="s">
        <v>9</v>
      </c>
      <c r="B5" s="29" t="s">
        <v>420</v>
      </c>
      <c r="C5" s="29" t="s">
        <v>421</v>
      </c>
      <c r="D5" s="29" t="s">
        <v>422</v>
      </c>
      <c r="E5" s="29" t="s">
        <v>423</v>
      </c>
      <c r="F5" s="29" t="s">
        <v>424</v>
      </c>
    </row>
    <row r="6" customFormat="false" ht="31.5" hidden="false" customHeight="true" outlineLevel="0" collapsed="false">
      <c r="A6" s="57" t="s">
        <v>425</v>
      </c>
      <c r="B6" s="32" t="s">
        <v>426</v>
      </c>
      <c r="C6" s="34" t="s">
        <v>427</v>
      </c>
      <c r="D6" s="34" t="s">
        <v>428</v>
      </c>
      <c r="E6" s="58" t="s">
        <v>429</v>
      </c>
      <c r="F6" s="32" t="s">
        <v>430</v>
      </c>
    </row>
    <row r="7" customFormat="false" ht="31.5" hidden="false" customHeight="true" outlineLevel="0" collapsed="false">
      <c r="A7" s="57" t="s">
        <v>431</v>
      </c>
      <c r="B7" s="32" t="s">
        <v>432</v>
      </c>
      <c r="C7" s="34" t="s">
        <v>433</v>
      </c>
      <c r="D7" s="34" t="s">
        <v>26</v>
      </c>
      <c r="E7" s="58" t="s">
        <v>434</v>
      </c>
      <c r="F7" s="32" t="s">
        <v>435</v>
      </c>
    </row>
    <row r="8" customFormat="false" ht="31.5" hidden="false" customHeight="true" outlineLevel="0" collapsed="false">
      <c r="A8" s="57" t="s">
        <v>436</v>
      </c>
      <c r="B8" s="32" t="s">
        <v>437</v>
      </c>
      <c r="C8" s="34" t="s">
        <v>433</v>
      </c>
      <c r="D8" s="34" t="s">
        <v>33</v>
      </c>
      <c r="E8" s="58" t="s">
        <v>438</v>
      </c>
      <c r="F8" s="32" t="s">
        <v>435</v>
      </c>
    </row>
    <row r="9" customFormat="false" ht="31.5" hidden="false" customHeight="true" outlineLevel="0" collapsed="false">
      <c r="A9" s="57" t="s">
        <v>439</v>
      </c>
      <c r="B9" s="32" t="s">
        <v>440</v>
      </c>
      <c r="C9" s="34" t="s">
        <v>433</v>
      </c>
      <c r="D9" s="34" t="s">
        <v>47</v>
      </c>
      <c r="E9" s="58" t="s">
        <v>441</v>
      </c>
      <c r="F9" s="32" t="s">
        <v>430</v>
      </c>
    </row>
    <row r="10" customFormat="false" ht="31.5" hidden="false" customHeight="true" outlineLevel="0" collapsed="false">
      <c r="A10" s="57" t="s">
        <v>442</v>
      </c>
      <c r="B10" s="32" t="s">
        <v>443</v>
      </c>
      <c r="C10" s="34" t="s">
        <v>433</v>
      </c>
      <c r="D10" s="34" t="s">
        <v>57</v>
      </c>
      <c r="E10" s="58" t="s">
        <v>444</v>
      </c>
      <c r="F10" s="32" t="s">
        <v>430</v>
      </c>
    </row>
    <row r="11" customFormat="false" ht="31.5" hidden="false" customHeight="true" outlineLevel="0" collapsed="false">
      <c r="A11" s="57" t="s">
        <v>445</v>
      </c>
      <c r="B11" s="32" t="s">
        <v>446</v>
      </c>
      <c r="C11" s="34" t="s">
        <v>433</v>
      </c>
      <c r="D11" s="34" t="s">
        <v>447</v>
      </c>
      <c r="E11" s="58" t="s">
        <v>448</v>
      </c>
      <c r="F11" s="32" t="s">
        <v>449</v>
      </c>
    </row>
    <row r="12" customFormat="false" ht="15" hidden="false" customHeight="true" outlineLevel="0" collapsed="false">
      <c r="A12" s="1" t="s">
        <v>450</v>
      </c>
      <c r="B12" s="1" t="s">
        <v>451</v>
      </c>
      <c r="C12" s="1" t="s">
        <v>433</v>
      </c>
      <c r="D12" s="1" t="s">
        <v>452</v>
      </c>
      <c r="E12" s="1" t="s">
        <v>453</v>
      </c>
      <c r="F12" s="1" t="s">
        <v>454</v>
      </c>
    </row>
    <row r="13" customFormat="false" ht="15" hidden="false" customHeight="true" outlineLevel="0" collapsed="false">
      <c r="A13" s="59" t="s">
        <v>12</v>
      </c>
      <c r="B13" s="59" t="s">
        <v>455</v>
      </c>
      <c r="C13" s="59" t="s">
        <v>456</v>
      </c>
      <c r="D13" s="59" t="s">
        <v>457</v>
      </c>
      <c r="E13" s="59" t="s">
        <v>433</v>
      </c>
      <c r="F13" s="59" t="s">
        <v>458</v>
      </c>
    </row>
    <row r="14" customFormat="false" ht="15" hidden="false" customHeight="true" outlineLevel="0" collapsed="false">
      <c r="A14" s="56" t="s">
        <v>459</v>
      </c>
      <c r="B14" s="56"/>
      <c r="C14" s="56"/>
      <c r="D14" s="56"/>
      <c r="E14" s="56"/>
      <c r="F14" s="56"/>
    </row>
    <row r="15" customFormat="false" ht="27.75" hidden="false" customHeight="true" outlineLevel="0" collapsed="false">
      <c r="A15" s="29" t="s">
        <v>20</v>
      </c>
      <c r="B15" s="29" t="s">
        <v>460</v>
      </c>
      <c r="C15" s="29" t="s">
        <v>461</v>
      </c>
      <c r="D15" s="29" t="s">
        <v>462</v>
      </c>
      <c r="E15" s="29" t="s">
        <v>181</v>
      </c>
      <c r="F15" s="29" t="s">
        <v>463</v>
      </c>
    </row>
    <row r="16" customFormat="false" ht="27.75" hidden="false" customHeight="true" outlineLevel="0" collapsed="false">
      <c r="A16" s="60" t="s">
        <v>41</v>
      </c>
      <c r="B16" s="32" t="s">
        <v>464</v>
      </c>
      <c r="C16" s="34" t="s">
        <v>465</v>
      </c>
      <c r="D16" s="34" t="s">
        <v>466</v>
      </c>
      <c r="E16" s="44" t="s">
        <v>467</v>
      </c>
      <c r="F16" s="32" t="s">
        <v>468</v>
      </c>
    </row>
    <row r="17" customFormat="false" ht="27.75" hidden="false" customHeight="true" outlineLevel="0" collapsed="false">
      <c r="A17" s="60" t="s">
        <v>43</v>
      </c>
      <c r="B17" s="32" t="s">
        <v>469</v>
      </c>
      <c r="C17" s="34" t="s">
        <v>470</v>
      </c>
      <c r="D17" s="34" t="s">
        <v>471</v>
      </c>
      <c r="E17" s="44" t="s">
        <v>447</v>
      </c>
      <c r="F17" s="32" t="s">
        <v>468</v>
      </c>
    </row>
    <row r="18" customFormat="false" ht="27.75" hidden="false" customHeight="true" outlineLevel="0" collapsed="false">
      <c r="A18" s="60" t="s">
        <v>45</v>
      </c>
      <c r="B18" s="32" t="s">
        <v>472</v>
      </c>
      <c r="C18" s="34" t="s">
        <v>473</v>
      </c>
      <c r="D18" s="34" t="s">
        <v>474</v>
      </c>
      <c r="E18" s="44" t="s">
        <v>447</v>
      </c>
      <c r="F18" s="32" t="s">
        <v>468</v>
      </c>
    </row>
    <row r="19" customFormat="false" ht="27.75" hidden="false" customHeight="true" outlineLevel="0" collapsed="false">
      <c r="A19" s="60" t="s">
        <v>31</v>
      </c>
      <c r="B19" s="32" t="s">
        <v>475</v>
      </c>
      <c r="C19" s="34" t="s">
        <v>476</v>
      </c>
      <c r="D19" s="34" t="s">
        <v>477</v>
      </c>
      <c r="E19" s="44" t="s">
        <v>478</v>
      </c>
      <c r="F19" s="32" t="s">
        <v>468</v>
      </c>
    </row>
    <row r="20" customFormat="false" ht="27.75" hidden="false" customHeight="true" outlineLevel="0" collapsed="false">
      <c r="A20" s="60" t="s">
        <v>51</v>
      </c>
      <c r="B20" s="32" t="s">
        <v>479</v>
      </c>
      <c r="C20" s="34" t="s">
        <v>480</v>
      </c>
      <c r="D20" s="34" t="s">
        <v>481</v>
      </c>
      <c r="E20" s="44" t="s">
        <v>482</v>
      </c>
      <c r="F20" s="32" t="s">
        <v>468</v>
      </c>
    </row>
    <row r="21" customFormat="false" ht="27.75" hidden="false" customHeight="true" outlineLevel="0" collapsed="false">
      <c r="A21" s="60" t="s">
        <v>23</v>
      </c>
      <c r="B21" s="32" t="s">
        <v>483</v>
      </c>
      <c r="C21" s="34" t="s">
        <v>484</v>
      </c>
      <c r="D21" s="34" t="s">
        <v>485</v>
      </c>
      <c r="E21" s="44" t="s">
        <v>486</v>
      </c>
      <c r="F21" s="32" t="s">
        <v>468</v>
      </c>
    </row>
    <row r="22" customFormat="false" ht="27.75" hidden="false" customHeight="true" outlineLevel="0" collapsed="false">
      <c r="A22" s="60" t="s">
        <v>59</v>
      </c>
      <c r="B22" s="32" t="s">
        <v>487</v>
      </c>
      <c r="C22" s="34" t="s">
        <v>488</v>
      </c>
      <c r="D22" s="34" t="s">
        <v>489</v>
      </c>
      <c r="E22" s="44" t="s">
        <v>490</v>
      </c>
      <c r="F22" s="32" t="s">
        <v>468</v>
      </c>
    </row>
    <row r="25" customFormat="false" ht="15" hidden="false" customHeight="true" outlineLevel="0" collapsed="false">
      <c r="A25" s="56" t="s">
        <v>491</v>
      </c>
      <c r="B25" s="56"/>
      <c r="C25" s="56"/>
      <c r="D25" s="56"/>
      <c r="E25" s="56"/>
      <c r="F25" s="56"/>
    </row>
    <row r="26" customFormat="false" ht="27.75" hidden="false" customHeight="true" outlineLevel="0" collapsed="false">
      <c r="A26" s="29" t="s">
        <v>492</v>
      </c>
      <c r="B26" s="29" t="s">
        <v>493</v>
      </c>
      <c r="C26" s="29" t="s">
        <v>420</v>
      </c>
      <c r="D26" s="29" t="s">
        <v>494</v>
      </c>
      <c r="E26" s="29" t="s">
        <v>495</v>
      </c>
      <c r="F26" s="29"/>
    </row>
    <row r="27" customFormat="false" ht="27.75" hidden="false" customHeight="true" outlineLevel="0" collapsed="false">
      <c r="A27" s="30" t="s">
        <v>496</v>
      </c>
      <c r="B27" s="54" t="s">
        <v>427</v>
      </c>
      <c r="C27" s="54"/>
      <c r="D27" s="54"/>
      <c r="E27" s="34" t="s">
        <v>497</v>
      </c>
    </row>
    <row r="28" customFormat="false" ht="27.75" hidden="false" customHeight="true" outlineLevel="0" collapsed="false">
      <c r="A28" s="30" t="s">
        <v>498</v>
      </c>
      <c r="B28" s="54" t="s">
        <v>499</v>
      </c>
      <c r="C28" s="54"/>
      <c r="D28" s="54"/>
      <c r="E28" s="34" t="s">
        <v>500</v>
      </c>
    </row>
    <row r="29" customFormat="false" ht="27.75" hidden="false" customHeight="true" outlineLevel="0" collapsed="false">
      <c r="A29" s="30" t="s">
        <v>501</v>
      </c>
      <c r="B29" s="54" t="s">
        <v>502</v>
      </c>
      <c r="C29" s="54"/>
      <c r="D29" s="54"/>
      <c r="E29" s="34" t="s">
        <v>503</v>
      </c>
    </row>
    <row r="30" customFormat="false" ht="27.75" hidden="false" customHeight="true" outlineLevel="0" collapsed="false">
      <c r="A30" s="30" t="s">
        <v>504</v>
      </c>
      <c r="B30" s="54" t="s">
        <v>505</v>
      </c>
      <c r="C30" s="54"/>
      <c r="D30" s="54"/>
      <c r="E30" s="34" t="s">
        <v>506</v>
      </c>
    </row>
  </sheetData>
  <mergeCells count="5">
    <mergeCell ref="A1:F1"/>
    <mergeCell ref="A2:F2"/>
    <mergeCell ref="A4:F4"/>
    <mergeCell ref="A14:F1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2342"/>
    <pageSetUpPr fitToPage="false"/>
  </sheetPr>
  <dimension ref="A1:O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4" min="2" style="1" width="10"/>
    <col collapsed="false" customWidth="true" hidden="false" outlineLevel="0" max="9" min="5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8"/>
    <col collapsed="false" customWidth="true" hidden="false" outlineLevel="0" max="13" min="13" style="1" width="14"/>
    <col collapsed="false" customWidth="true" hidden="false" outlineLevel="0" max="15" min="14" style="1" width="12"/>
  </cols>
  <sheetData>
    <row r="1" customFormat="false" ht="30" hidden="false" customHeight="true" outlineLevel="0" collapsed="false">
      <c r="A1" s="61" t="s">
        <v>507</v>
      </c>
      <c r="B1" s="61"/>
      <c r="C1" s="61"/>
      <c r="D1" s="61"/>
      <c r="E1" s="61"/>
      <c r="F1" s="61"/>
      <c r="G1" s="61"/>
      <c r="H1" s="61"/>
      <c r="I1" s="61"/>
      <c r="J1" s="61"/>
    </row>
    <row r="2" customFormat="false" ht="15.75" hidden="false" customHeight="true" outlineLevel="0" collapsed="false">
      <c r="A2" s="62" t="s">
        <v>508</v>
      </c>
      <c r="B2" s="62"/>
      <c r="C2" s="62"/>
      <c r="D2" s="62"/>
      <c r="E2" s="62"/>
      <c r="F2" s="62"/>
      <c r="G2" s="62"/>
      <c r="H2" s="62"/>
      <c r="I2" s="62"/>
      <c r="J2" s="62"/>
    </row>
    <row r="4" customFormat="false" ht="13.5" hidden="false" customHeight="true" outlineLevel="0" collapsed="false">
      <c r="A4" s="63" t="s">
        <v>509</v>
      </c>
      <c r="B4" s="63"/>
      <c r="C4" s="63"/>
      <c r="D4" s="63"/>
      <c r="E4" s="63"/>
      <c r="F4" s="63"/>
      <c r="G4" s="63"/>
      <c r="H4" s="63"/>
      <c r="I4" s="63"/>
      <c r="J4" s="63"/>
      <c r="L4" s="64" t="s">
        <v>510</v>
      </c>
      <c r="M4" s="64"/>
      <c r="N4" s="64"/>
      <c r="O4" s="64"/>
    </row>
    <row r="5" customFormat="false" ht="36" hidden="false" customHeight="true" outlineLevel="0" collapsed="false">
      <c r="A5" s="65" t="s">
        <v>511</v>
      </c>
      <c r="B5" s="65" t="s">
        <v>512</v>
      </c>
      <c r="C5" s="65" t="s">
        <v>513</v>
      </c>
      <c r="D5" s="65" t="s">
        <v>514</v>
      </c>
      <c r="E5" s="65" t="s">
        <v>515</v>
      </c>
      <c r="F5" s="65" t="s">
        <v>516</v>
      </c>
      <c r="G5" s="65" t="s">
        <v>517</v>
      </c>
      <c r="H5" s="65" t="s">
        <v>518</v>
      </c>
      <c r="I5" s="65" t="s">
        <v>519</v>
      </c>
      <c r="J5" s="65" t="s">
        <v>520</v>
      </c>
      <c r="L5" s="30" t="s">
        <v>521</v>
      </c>
      <c r="M5" s="66" t="str">
        <f aca="false">TEXT(D9,"0.0%")</f>
        <v>44.6%</v>
      </c>
      <c r="N5" s="66"/>
      <c r="O5" s="66"/>
    </row>
    <row r="6" customFormat="false" ht="27.75" hidden="false" customHeight="true" outlineLevel="0" collapsed="false">
      <c r="A6" s="67" t="s">
        <v>522</v>
      </c>
      <c r="B6" s="68" t="n">
        <f aca="false">E_Scorecard!D30</f>
        <v>36</v>
      </c>
      <c r="C6" s="69" t="s">
        <v>523</v>
      </c>
      <c r="D6" s="70" t="n">
        <f aca="false">IFERROR(B6/C6,0)</f>
        <v>0.333333333333333</v>
      </c>
      <c r="E6" s="71" t="str">
        <f aca="false">IF(D6&gt;=Assumptions!$B$62,"★★★ Excellent",IF(D6&gt;=Assumptions!$B$63,"★★ Good",IF(D6&gt;=Assumptions!$B$64,"★ Adequate","⚠ Attention")))</f>
        <v>⚠ Attention</v>
      </c>
      <c r="F6" s="72" t="s">
        <v>524</v>
      </c>
      <c r="G6" s="73" t="s">
        <v>525</v>
      </c>
      <c r="H6" s="74" t="s">
        <v>526</v>
      </c>
      <c r="I6" s="75" t="s">
        <v>527</v>
      </c>
      <c r="J6" s="71" t="str">
        <f aca="false">IF(D6&gt;=Assumptions!$B$65,"✓ On Track","⚠ Behind")</f>
        <v>⚠ Behind</v>
      </c>
      <c r="L6" s="30" t="s">
        <v>515</v>
      </c>
      <c r="M6" s="76" t="str">
        <f aca="false">IF(D9&gt;=Assumptions!$B$62,"★★★ Excellent",IF(D9&gt;=Assumptions!$B$63,"★★ Good",IF(D9&gt;=Assumptions!$B$64,"★ Adequate","⚠ Needs Attention")))</f>
        <v>⚠ Needs Attention</v>
      </c>
      <c r="N6" s="76"/>
      <c r="O6" s="76"/>
    </row>
    <row r="7" customFormat="false" ht="18" hidden="false" customHeight="true" outlineLevel="0" collapsed="false">
      <c r="A7" s="67" t="s">
        <v>528</v>
      </c>
      <c r="B7" s="68" t="n">
        <f aca="false">S_Scorecard!D28</f>
        <v>33</v>
      </c>
      <c r="C7" s="69" t="s">
        <v>529</v>
      </c>
      <c r="D7" s="70" t="n">
        <f aca="false">IFERROR(B7/C7,0)</f>
        <v>0.33</v>
      </c>
      <c r="E7" s="71" t="str">
        <f aca="false">IF(D7&gt;=Assumptions!$B$62,"★★★ Excellent",IF(D7&gt;=Assumptions!$B$63,"★★ Good",IF(D7&gt;=Assumptions!$B$64,"★ Adequate","⚠ Attention")))</f>
        <v>⚠ Attention</v>
      </c>
      <c r="F7" s="72" t="s">
        <v>530</v>
      </c>
      <c r="G7" s="73" t="s">
        <v>531</v>
      </c>
      <c r="H7" s="74" t="s">
        <v>532</v>
      </c>
      <c r="I7" s="75" t="s">
        <v>527</v>
      </c>
      <c r="J7" s="71" t="str">
        <f aca="false">IF(D7&gt;=Assumptions!$B$65,"✓ On Track","⚠ Behind")</f>
        <v>⚠ Behind</v>
      </c>
      <c r="L7" s="30" t="s">
        <v>533</v>
      </c>
      <c r="M7" s="77" t="str">
        <f aca="false">INDEX(A6:A8,MATCH(MAX(D6:D8),D6:D8,0))</f>
        <v>🟣 Governance (G)</v>
      </c>
      <c r="N7" s="77"/>
      <c r="O7" s="77"/>
    </row>
    <row r="8" customFormat="false" ht="18" hidden="false" customHeight="true" outlineLevel="0" collapsed="false">
      <c r="A8" s="67" t="s">
        <v>534</v>
      </c>
      <c r="B8" s="68" t="n">
        <f aca="false">G_Scorecard!D26</f>
        <v>64.8529411764706</v>
      </c>
      <c r="C8" s="69" t="s">
        <v>529</v>
      </c>
      <c r="D8" s="70" t="n">
        <f aca="false">IFERROR(B8/C8,0)</f>
        <v>0.648529411764706</v>
      </c>
      <c r="E8" s="71" t="str">
        <f aca="false">IF(D8&gt;=Assumptions!$B$62,"★★★ Excellent",IF(D8&gt;=Assumptions!$B$63,"★★ Good",IF(D8&gt;=Assumptions!$B$64,"★ Adequate","⚠ Attention")))</f>
        <v>★ Adequate</v>
      </c>
      <c r="F8" s="72" t="s">
        <v>535</v>
      </c>
      <c r="G8" s="73" t="s">
        <v>536</v>
      </c>
      <c r="H8" s="74" t="s">
        <v>537</v>
      </c>
      <c r="I8" s="75" t="s">
        <v>527</v>
      </c>
      <c r="J8" s="71" t="str">
        <f aca="false">IF(D8&gt;=Assumptions!$B$65,"✓ On Track","⚠ Behind")</f>
        <v>⚠ Behind</v>
      </c>
      <c r="L8" s="30" t="s">
        <v>538</v>
      </c>
      <c r="M8" s="77" t="str">
        <f aca="false">INDEX(A6:A8,MATCH(MIN(D6:D8),D6:D8,0))</f>
        <v>🔵 Social (S)</v>
      </c>
      <c r="N8" s="77"/>
      <c r="O8" s="77"/>
    </row>
    <row r="9" customFormat="false" ht="30" hidden="false" customHeight="true" outlineLevel="0" collapsed="false">
      <c r="A9" s="78" t="s">
        <v>539</v>
      </c>
      <c r="B9" s="78"/>
      <c r="C9" s="78"/>
      <c r="D9" s="79" t="n">
        <f aca="false">IFERROR((E_Scorecard!D30/100+S_Scorecard!D28/100+G_Scorecard!D26/100)/3,0)</f>
        <v>0.446176470588235</v>
      </c>
      <c r="L9" s="30" t="s">
        <v>540</v>
      </c>
      <c r="M9" s="77" t="str">
        <f aca="false">GARP_GRAP!C28&amp;" of "&amp;GARP_GRAP!C27&amp;" risks logged"</f>
        <v>12 of 18 risks logged</v>
      </c>
      <c r="N9" s="77"/>
      <c r="O9" s="77"/>
    </row>
    <row r="10" customFormat="false" ht="15" hidden="false" customHeight="true" outlineLevel="0" collapsed="false">
      <c r="L10" s="30" t="s">
        <v>541</v>
      </c>
      <c r="M10" s="77" t="str">
        <f aca="false">King5_Scorecard!E21&amp;"/170 ("&amp;TEXT(King5_Scorecard!E22,"0.0%")&amp;")"</f>
        <v>135/170 (79.4%)</v>
      </c>
      <c r="N10" s="77"/>
      <c r="O10" s="77"/>
    </row>
    <row r="11" customFormat="false" ht="13.5" hidden="false" customHeight="true" outlineLevel="0" collapsed="false">
      <c r="A11" s="80" t="s">
        <v>542</v>
      </c>
      <c r="B11" s="80"/>
      <c r="C11" s="80"/>
      <c r="D11" s="80"/>
      <c r="E11" s="80"/>
      <c r="F11" s="80"/>
      <c r="G11" s="80"/>
      <c r="H11" s="80"/>
      <c r="I11" s="80"/>
      <c r="J11" s="80"/>
    </row>
    <row r="12" customFormat="false" ht="13.5" hidden="false" customHeight="true" outlineLevel="0" collapsed="false">
      <c r="A12" s="65" t="s">
        <v>543</v>
      </c>
      <c r="B12" s="65" t="s">
        <v>544</v>
      </c>
      <c r="C12" s="65" t="s">
        <v>545</v>
      </c>
      <c r="D12" s="65" t="s">
        <v>546</v>
      </c>
      <c r="E12" s="65" t="s">
        <v>547</v>
      </c>
      <c r="F12" s="65" t="s">
        <v>548</v>
      </c>
      <c r="G12" s="65" t="s">
        <v>549</v>
      </c>
      <c r="H12" s="65" t="s">
        <v>550</v>
      </c>
      <c r="I12" s="65" t="s">
        <v>551</v>
      </c>
      <c r="J12" s="65" t="s">
        <v>552</v>
      </c>
      <c r="K12" s="29" t="s">
        <v>553</v>
      </c>
      <c r="L12" s="29" t="s">
        <v>554</v>
      </c>
      <c r="M12" s="29" t="s">
        <v>555</v>
      </c>
      <c r="N12" s="29" t="s">
        <v>520</v>
      </c>
    </row>
    <row r="13" customFormat="false" ht="12.75" hidden="false" customHeight="true" outlineLevel="0" collapsed="false">
      <c r="A13" s="67" t="s">
        <v>556</v>
      </c>
      <c r="B13" s="81" t="n">
        <f aca="false">IFERROR(E_Data!C75,0)</f>
        <v>79354.07</v>
      </c>
      <c r="C13" s="81" t="n">
        <f aca="false">IFERROR(E_Data!D75,0)</f>
        <v>68178.89</v>
      </c>
      <c r="D13" s="81" t="n">
        <f aca="false">IFERROR(E_Data!E75,0)</f>
        <v>65076.46</v>
      </c>
      <c r="E13" s="81" t="n">
        <f aca="false">IFERROR(E_Data!F75,0)</f>
        <v>73386.91</v>
      </c>
      <c r="F13" s="81" t="n">
        <f aca="false">IFERROR(E_Data!G75,0)</f>
        <v>67294.64</v>
      </c>
      <c r="G13" s="81" t="n">
        <f aca="false">IFERROR(E_Data!H75,0)</f>
        <v>57589.35</v>
      </c>
      <c r="H13" s="81" t="n">
        <f aca="false">IFERROR(E_Data!I75,0)</f>
        <v>48740.43</v>
      </c>
      <c r="I13" s="81" t="n">
        <f aca="false">IFERROR(E_Data!J75,0)</f>
        <v>63979.73</v>
      </c>
      <c r="J13" s="81" t="n">
        <f aca="false">IFERROR(E_Data!K75,0)</f>
        <v>65865.05</v>
      </c>
      <c r="K13" s="82" t="n">
        <f aca="false">IFERROR(SUM(B13:J13),0)</f>
        <v>589465.53</v>
      </c>
      <c r="L13" s="82" t="n">
        <f aca="false">IFERROR(K13*Assumptions!$B$112,0)</f>
        <v>785954.04</v>
      </c>
      <c r="M13" s="83" t="s">
        <v>557</v>
      </c>
      <c r="N13" s="83" t="s">
        <v>558</v>
      </c>
    </row>
    <row r="14" customFormat="false" ht="12.75" hidden="false" customHeight="true" outlineLevel="0" collapsed="false">
      <c r="A14" s="67" t="s">
        <v>559</v>
      </c>
      <c r="B14" s="81" t="n">
        <f aca="false">IFERROR(E_Data!C76,0)</f>
        <v>1289.14</v>
      </c>
      <c r="C14" s="81" t="n">
        <f aca="false">IFERROR(E_Data!D76,0)</f>
        <v>0</v>
      </c>
      <c r="D14" s="81" t="n">
        <f aca="false">IFERROR(E_Data!E76,0)</f>
        <v>0</v>
      </c>
      <c r="E14" s="81" t="n">
        <f aca="false">IFERROR(E_Data!F76,0)</f>
        <v>0</v>
      </c>
      <c r="F14" s="81" t="n">
        <f aca="false">IFERROR(E_Data!G76,0)</f>
        <v>0</v>
      </c>
      <c r="G14" s="81" t="n">
        <f aca="false">IFERROR(E_Data!H76,0)</f>
        <v>295</v>
      </c>
      <c r="H14" s="81" t="n">
        <f aca="false">IFERROR(E_Data!I76,0)</f>
        <v>0</v>
      </c>
      <c r="I14" s="81" t="n">
        <f aca="false">IFERROR(E_Data!J76,0)</f>
        <v>0</v>
      </c>
      <c r="J14" s="81" t="n">
        <f aca="false">IFERROR(E_Data!K76,0)</f>
        <v>597</v>
      </c>
      <c r="K14" s="82" t="n">
        <f aca="false">IFERROR(SUM(B14:J14),0)</f>
        <v>2181.14</v>
      </c>
      <c r="L14" s="82" t="n">
        <f aca="false">IFERROR(K14*Assumptions!$B$112,0)</f>
        <v>2908.18666666667</v>
      </c>
      <c r="M14" s="83" t="s">
        <v>557</v>
      </c>
      <c r="N14" s="83" t="s">
        <v>558</v>
      </c>
    </row>
    <row r="15" customFormat="false" ht="12.75" hidden="false" customHeight="true" outlineLevel="0" collapsed="false">
      <c r="A15" s="67" t="s">
        <v>560</v>
      </c>
      <c r="B15" s="81" t="n">
        <f aca="false">IFERROR(E_Data!C77,0)</f>
        <v>0</v>
      </c>
      <c r="C15" s="81" t="n">
        <f aca="false">IFERROR(E_Data!D77,0)</f>
        <v>570</v>
      </c>
      <c r="D15" s="81" t="n">
        <f aca="false">IFERROR(E_Data!E77,0)</f>
        <v>190</v>
      </c>
      <c r="E15" s="81" t="n">
        <f aca="false">IFERROR(E_Data!F77,0)</f>
        <v>190</v>
      </c>
      <c r="F15" s="81" t="n">
        <f aca="false">IFERROR(E_Data!G77,0)</f>
        <v>380</v>
      </c>
      <c r="G15" s="81" t="n">
        <f aca="false">IFERROR(E_Data!H77,0)</f>
        <v>570</v>
      </c>
      <c r="H15" s="81" t="n">
        <f aca="false">IFERROR(E_Data!I77,0)</f>
        <v>380</v>
      </c>
      <c r="I15" s="81" t="n">
        <f aca="false">IFERROR(E_Data!J77,0)</f>
        <v>0</v>
      </c>
      <c r="J15" s="81" t="n">
        <f aca="false">IFERROR(E_Data!K77,0)</f>
        <v>0</v>
      </c>
      <c r="K15" s="82" t="n">
        <f aca="false">IFERROR(SUM(B15:J15),0)</f>
        <v>2280</v>
      </c>
      <c r="L15" s="82" t="n">
        <f aca="false">IFERROR(K15*Assumptions!$B$112,0)</f>
        <v>3040</v>
      </c>
      <c r="M15" s="83" t="s">
        <v>557</v>
      </c>
      <c r="N15" s="83" t="s">
        <v>558</v>
      </c>
    </row>
    <row r="16" customFormat="false" ht="12.75" hidden="false" customHeight="true" outlineLevel="0" collapsed="false">
      <c r="A16" s="67" t="s">
        <v>561</v>
      </c>
      <c r="B16" s="84" t="n">
        <f aca="false">IFERROR(E_Data!C82,0)</f>
        <v>288638.88</v>
      </c>
      <c r="C16" s="84" t="n">
        <f aca="false">IFERROR(E_Data!D82,0)</f>
        <v>304665.02</v>
      </c>
      <c r="D16" s="84" t="n">
        <f aca="false">IFERROR(E_Data!E82,0)</f>
        <v>294858.49</v>
      </c>
      <c r="E16" s="84" t="n">
        <f aca="false">IFERROR(E_Data!F82,0)</f>
        <v>263387.94</v>
      </c>
      <c r="F16" s="84" t="n">
        <f aca="false">IFERROR(E_Data!G82,0)</f>
        <v>255634.03</v>
      </c>
      <c r="G16" s="84" t="n">
        <f aca="false">IFERROR(E_Data!H82,0)</f>
        <v>290165.23</v>
      </c>
      <c r="H16" s="84" t="n">
        <f aca="false">IFERROR(E_Data!I82,0)</f>
        <v>261690.52</v>
      </c>
      <c r="I16" s="84" t="n">
        <f aca="false">IFERROR(E_Data!J82,0)</f>
        <v>315712.51</v>
      </c>
      <c r="J16" s="84" t="n">
        <f aca="false">IFERROR(E_Data!K82,0)</f>
        <v>314825.82</v>
      </c>
      <c r="K16" s="82" t="n">
        <f aca="false">IFERROR(SUM(B16:J16),0)</f>
        <v>2589578.44</v>
      </c>
      <c r="L16" s="82" t="n">
        <f aca="false">IFERROR(K16*Assumptions!$B$112,0)</f>
        <v>3452771.25333333</v>
      </c>
      <c r="M16" s="83" t="s">
        <v>557</v>
      </c>
      <c r="N16" s="83" t="s">
        <v>558</v>
      </c>
    </row>
    <row r="17" customFormat="false" ht="12.75" hidden="false" customHeight="true" outlineLevel="0" collapsed="false">
      <c r="A17" s="67" t="s">
        <v>562</v>
      </c>
      <c r="B17" s="85" t="n">
        <f aca="false">IFERROR(E_Data!C83,0)</f>
        <v>409.41</v>
      </c>
      <c r="C17" s="85" t="n">
        <f aca="false">IFERROR(E_Data!D83,0)</f>
        <v>391.39</v>
      </c>
      <c r="D17" s="85" t="n">
        <f aca="false">IFERROR(E_Data!E83,0)</f>
        <v>380.72</v>
      </c>
      <c r="E17" s="85" t="n">
        <f aca="false">IFERROR(E_Data!F83,0)</f>
        <v>534.81</v>
      </c>
      <c r="F17" s="85" t="n">
        <f aca="false">IFERROR(E_Data!G83,0)</f>
        <v>476.36</v>
      </c>
      <c r="G17" s="85" t="n">
        <f aca="false">IFERROR(E_Data!H83,0)</f>
        <v>499.53</v>
      </c>
      <c r="H17" s="85" t="n">
        <f aca="false">IFERROR(E_Data!I83,0)</f>
        <v>533.01</v>
      </c>
      <c r="I17" s="85" t="n">
        <f aca="false">IFERROR(E_Data!J83,0)</f>
        <v>560.94</v>
      </c>
      <c r="J17" s="85" t="n">
        <f aca="false">IFERROR(E_Data!K83,0)</f>
        <v>570.24</v>
      </c>
      <c r="K17" s="82" t="n">
        <f aca="false">IFERROR(SUM(B17:J17),0)</f>
        <v>4356.41</v>
      </c>
      <c r="L17" s="82" t="n">
        <f aca="false">IFERROR(K17*Assumptions!$B$112,0)</f>
        <v>5808.54666666667</v>
      </c>
      <c r="M17" s="83" t="s">
        <v>557</v>
      </c>
      <c r="N17" s="83" t="s">
        <v>558</v>
      </c>
    </row>
    <row r="18" customFormat="false" ht="15" hidden="false" customHeight="true" outlineLevel="0" collapsed="false">
      <c r="A18" s="86" t="s">
        <v>563</v>
      </c>
      <c r="B18" s="87" t="n">
        <f aca="false">SUM(B13:B17)</f>
        <v>369691.5</v>
      </c>
      <c r="C18" s="87" t="n">
        <f aca="false">SUM(C13:C17)</f>
        <v>373805.3</v>
      </c>
      <c r="D18" s="87" t="n">
        <f aca="false">SUM(D13:D17)</f>
        <v>360505.67</v>
      </c>
      <c r="E18" s="87" t="n">
        <f aca="false">SUM(E13:E17)</f>
        <v>337499.66</v>
      </c>
      <c r="F18" s="87" t="n">
        <f aca="false">SUM(F13:F17)</f>
        <v>323785.03</v>
      </c>
      <c r="G18" s="87" t="n">
        <f aca="false">SUM(G13:G17)</f>
        <v>349119.11</v>
      </c>
      <c r="H18" s="87" t="n">
        <f aca="false">SUM(H13:H17)</f>
        <v>311343.96</v>
      </c>
      <c r="I18" s="87" t="n">
        <f aca="false">SUM(I13:I17)</f>
        <v>380253.18</v>
      </c>
      <c r="J18" s="87" t="n">
        <f aca="false">SUM(J13:J17)</f>
        <v>381858.11</v>
      </c>
      <c r="K18" s="88" t="n">
        <f aca="false">SUM(K13:K17)</f>
        <v>3187861.52</v>
      </c>
      <c r="L18" s="88" t="n">
        <f aca="false">K18*Assumptions!$B$112</f>
        <v>4250482.02666667</v>
      </c>
      <c r="M18" s="89" t="s">
        <v>557</v>
      </c>
      <c r="N18" s="89" t="s">
        <v>558</v>
      </c>
    </row>
    <row r="19" customFormat="false" ht="13.5" hidden="false" customHeight="true" outlineLevel="0" collapsed="false">
      <c r="A19" s="80" t="s">
        <v>564</v>
      </c>
      <c r="B19" s="80"/>
      <c r="C19" s="80"/>
      <c r="D19" s="80"/>
      <c r="E19" s="80"/>
      <c r="F19" s="80"/>
      <c r="G19" s="80"/>
      <c r="H19" s="80"/>
      <c r="I19" s="80"/>
      <c r="J19" s="80"/>
    </row>
    <row r="20" customFormat="false" ht="13.5" hidden="false" customHeight="true" outlineLevel="0" collapsed="false">
      <c r="A20" s="90" t="s">
        <v>565</v>
      </c>
      <c r="B20" s="91" t="s">
        <v>137</v>
      </c>
      <c r="C20" s="91" t="s">
        <v>566</v>
      </c>
      <c r="D20" s="91" t="s">
        <v>567</v>
      </c>
    </row>
    <row r="21" customFormat="false" ht="12.75" hidden="false" customHeight="true" outlineLevel="0" collapsed="false">
      <c r="A21" s="5" t="s">
        <v>568</v>
      </c>
      <c r="B21" s="92" t="n">
        <f aca="false">E_Data!L19</f>
        <v>589465.53</v>
      </c>
      <c r="C21" s="93" t="s">
        <v>569</v>
      </c>
      <c r="D21" s="94" t="s">
        <v>33</v>
      </c>
    </row>
    <row r="22" customFormat="false" ht="12.75" hidden="false" customHeight="true" outlineLevel="0" collapsed="false">
      <c r="A22" s="5" t="s">
        <v>570</v>
      </c>
      <c r="B22" s="95" t="n">
        <f aca="false">IFERROR(E_Data!L79,0)</f>
        <v>594980.49</v>
      </c>
      <c r="C22" s="93" t="s">
        <v>571</v>
      </c>
      <c r="D22" s="94" t="s">
        <v>26</v>
      </c>
    </row>
    <row r="23" customFormat="false" ht="12.75" hidden="false" customHeight="true" outlineLevel="0" collapsed="false">
      <c r="A23" s="5" t="s">
        <v>572</v>
      </c>
      <c r="B23" s="92" t="n">
        <f aca="false">E_Data!L46</f>
        <v>2589578.44</v>
      </c>
      <c r="C23" s="93" t="s">
        <v>573</v>
      </c>
      <c r="D23" s="94" t="s">
        <v>574</v>
      </c>
    </row>
    <row r="24" customFormat="false" ht="12.75" hidden="false" customHeight="true" outlineLevel="0" collapsed="false">
      <c r="A24" s="5" t="s">
        <v>575</v>
      </c>
      <c r="B24" s="95" t="n">
        <f aca="false">IFERROR(E_Data!L82,0)</f>
        <v>2589578.44</v>
      </c>
      <c r="C24" s="93" t="s">
        <v>576</v>
      </c>
      <c r="D24" s="94" t="s">
        <v>26</v>
      </c>
    </row>
    <row r="25" customFormat="false" ht="12.75" hidden="false" customHeight="true" outlineLevel="0" collapsed="false">
      <c r="A25" s="5" t="s">
        <v>577</v>
      </c>
      <c r="B25" s="96" t="str">
        <f aca="false">IFERROR(AVERAGEIFS(Fleet_Register!K4:K19,Fleet_Register!K4:K19,"&gt;0"),"No data")</f>
        <v>No data</v>
      </c>
      <c r="C25" s="93" t="s">
        <v>578</v>
      </c>
      <c r="D25" s="94" t="s">
        <v>33</v>
      </c>
    </row>
    <row r="26" customFormat="false" ht="12.75" hidden="false" customHeight="true" outlineLevel="0" collapsed="false">
      <c r="A26" s="5" t="s">
        <v>579</v>
      </c>
      <c r="B26" s="36" t="n">
        <f aca="false">Waste_Register!B16</f>
        <v>0.911</v>
      </c>
      <c r="C26" s="93" t="s">
        <v>580</v>
      </c>
      <c r="D26" s="94" t="s">
        <v>35</v>
      </c>
    </row>
    <row r="27" customFormat="false" ht="12.75" hidden="false" customHeight="true" outlineLevel="0" collapsed="false">
      <c r="A27" s="5" t="s">
        <v>581</v>
      </c>
      <c r="B27" s="36" t="n">
        <f aca="false">EE_Scorecard!B5</f>
        <v>0</v>
      </c>
      <c r="C27" s="93" t="s">
        <v>582</v>
      </c>
      <c r="D27" s="94" t="s">
        <v>39</v>
      </c>
    </row>
    <row r="28" customFormat="false" ht="12.75" hidden="false" customHeight="true" outlineLevel="0" collapsed="false">
      <c r="A28" s="5" t="s">
        <v>583</v>
      </c>
      <c r="B28" s="97" t="n">
        <f aca="false">S_Data!B45</f>
        <v>0</v>
      </c>
      <c r="C28" s="93" t="s">
        <v>584</v>
      </c>
      <c r="D28" s="94" t="s">
        <v>29</v>
      </c>
    </row>
    <row r="29" customFormat="false" ht="12.75" hidden="false" customHeight="true" outlineLevel="0" collapsed="false">
      <c r="A29" s="5" t="s">
        <v>585</v>
      </c>
      <c r="B29" s="98" t="str">
        <f aca="false">IFERROR(S_Data!G35,"No data")</f>
        <v>Awaiting hours worked</v>
      </c>
      <c r="C29" s="93" t="s">
        <v>586</v>
      </c>
      <c r="D29" s="94" t="s">
        <v>29</v>
      </c>
    </row>
    <row r="30" customFormat="false" ht="12.75" hidden="false" customHeight="true" outlineLevel="0" collapsed="false">
      <c r="A30" s="5" t="s">
        <v>587</v>
      </c>
      <c r="B30" s="92" t="n">
        <f aca="false">King5_Scorecard!E21</f>
        <v>135</v>
      </c>
      <c r="C30" s="93" t="s">
        <v>588</v>
      </c>
      <c r="D30" s="94" t="s">
        <v>47</v>
      </c>
    </row>
    <row r="31" customFormat="false" ht="12.75" hidden="false" customHeight="true" outlineLevel="0" collapsed="false">
      <c r="A31" s="5" t="s">
        <v>589</v>
      </c>
      <c r="B31" s="36" t="n">
        <f aca="false">IFERROR(COUNTIF(IFRS_S1_S2!D4:D40,"Yes")/MAX(1,COUNTA(IFRS_S1_S2!A4:A40)-COUNTBLANK(IFRS_S1_S2!A4:A40)),0)</f>
        <v>0</v>
      </c>
      <c r="C31" s="93" t="s">
        <v>590</v>
      </c>
      <c r="D31" s="94" t="s">
        <v>49</v>
      </c>
    </row>
    <row r="32" customFormat="false" ht="12.75" hidden="false" customHeight="true" outlineLevel="0" collapsed="false">
      <c r="A32" s="5" t="s">
        <v>591</v>
      </c>
      <c r="B32" s="99"/>
      <c r="C32" s="93" t="s">
        <v>592</v>
      </c>
      <c r="D32" s="94" t="s">
        <v>53</v>
      </c>
    </row>
    <row r="75" customFormat="false" ht="15" hidden="false" customHeight="true" outlineLevel="0" collapsed="false">
      <c r="A75" s="100" t="s">
        <v>593</v>
      </c>
    </row>
    <row r="76" customFormat="false" ht="23.25" hidden="false" customHeight="true" outlineLevel="0" collapsed="false">
      <c r="A76" s="29" t="s">
        <v>594</v>
      </c>
      <c r="B76" s="29" t="s">
        <v>595</v>
      </c>
      <c r="C76" s="29" t="s">
        <v>596</v>
      </c>
      <c r="D76" s="29" t="s">
        <v>597</v>
      </c>
    </row>
    <row r="77" customFormat="false" ht="15" hidden="false" customHeight="true" outlineLevel="0" collapsed="false">
      <c r="A77" s="34" t="str">
        <f aca="false">GARP_GRAP!B5</f>
        <v>Climate Physical Risk</v>
      </c>
      <c r="B77" s="97" t="n">
        <f aca="false">IF(GARP_GRAP!E5="High",5,IF(GARP_GRAP!E5="Medium",3,IF(GARP_GRAP!E5="Low",1,IF(GARP_GRAP!E5="Req",4,0))))</f>
        <v>5</v>
      </c>
      <c r="C77" s="101" t="n">
        <f aca="false">GARP_GRAP!I5</f>
        <v>4</v>
      </c>
      <c r="D77" s="101" t="n">
        <f aca="false">GARP_GRAP!J5</f>
        <v>20</v>
      </c>
    </row>
    <row r="78" customFormat="false" ht="15" hidden="false" customHeight="true" outlineLevel="0" collapsed="false">
      <c r="A78" s="34" t="str">
        <f aca="false">GARP_GRAP!B6</f>
        <v>Climate Transition Risk</v>
      </c>
      <c r="B78" s="97" t="n">
        <f aca="false">IF(GARP_GRAP!E6="High",5,IF(GARP_GRAP!E6="Medium",3,IF(GARP_GRAP!E6="Low",1,IF(GARP_GRAP!E6="Req",4,0))))</f>
        <v>5</v>
      </c>
      <c r="C78" s="101" t="n">
        <f aca="false">GARP_GRAP!I6</f>
        <v>5</v>
      </c>
      <c r="D78" s="101" t="n">
        <f aca="false">GARP_GRAP!J6</f>
        <v>25</v>
      </c>
    </row>
    <row r="79" customFormat="false" ht="23.25" hidden="false" customHeight="true" outlineLevel="0" collapsed="false">
      <c r="A79" s="34" t="str">
        <f aca="false">GARP_GRAP!B7</f>
        <v>Operational Risk — Fleet</v>
      </c>
      <c r="B79" s="97" t="n">
        <f aca="false">IF(GARP_GRAP!E7="High",5,IF(GARP_GRAP!E7="Medium",3,IF(GARP_GRAP!E7="Low",1,IF(GARP_GRAP!E7="Req",4,0))))</f>
        <v>5</v>
      </c>
      <c r="C79" s="101" t="n">
        <f aca="false">GARP_GRAP!I7</f>
        <v>5</v>
      </c>
      <c r="D79" s="101" t="n">
        <f aca="false">GARP_GRAP!J7</f>
        <v>25</v>
      </c>
    </row>
    <row r="80" customFormat="false" ht="23.25" hidden="false" customHeight="true" outlineLevel="0" collapsed="false">
      <c r="A80" s="34" t="str">
        <f aca="false">GARP_GRAP!B8</f>
        <v>Regulatory Risk — EE Act</v>
      </c>
      <c r="B80" s="97" t="n">
        <f aca="false">IF(GARP_GRAP!E8="High",5,IF(GARP_GRAP!E8="Medium",3,IF(GARP_GRAP!E8="Low",1,IF(GARP_GRAP!E8="Req",4,0))))</f>
        <v>3</v>
      </c>
      <c r="C80" s="101" t="n">
        <f aca="false">GARP_GRAP!I8</f>
        <v>3</v>
      </c>
      <c r="D80" s="101" t="n">
        <f aca="false">GARP_GRAP!J8</f>
        <v>9</v>
      </c>
    </row>
    <row r="81" customFormat="false" ht="23.25" hidden="false" customHeight="true" outlineLevel="0" collapsed="false">
      <c r="A81" s="34" t="str">
        <f aca="false">GARP_GRAP!B9</f>
        <v>Regulatory Risk — POPIA</v>
      </c>
      <c r="B81" s="97" t="n">
        <f aca="false">IF(GARP_GRAP!E9="High",5,IF(GARP_GRAP!E9="Medium",3,IF(GARP_GRAP!E9="Low",1,IF(GARP_GRAP!E9="Req",4,0))))</f>
        <v>3</v>
      </c>
      <c r="C81" s="101" t="n">
        <f aca="false">GARP_GRAP!I9</f>
        <v>3</v>
      </c>
      <c r="D81" s="101" t="n">
        <f aca="false">GARP_GRAP!J9</f>
        <v>9</v>
      </c>
    </row>
    <row r="82" customFormat="false" ht="23.25" hidden="false" customHeight="true" outlineLevel="0" collapsed="false">
      <c r="A82" s="34" t="str">
        <f aca="false">GARP_GRAP!B10</f>
        <v>Financial Risk — SDL/WSP</v>
      </c>
      <c r="B82" s="97" t="n">
        <f aca="false">IF(GARP_GRAP!E10="High",5,IF(GARP_GRAP!E10="Medium",3,IF(GARP_GRAP!E10="Low",1,IF(GARP_GRAP!E10="Req",4,0))))</f>
        <v>3</v>
      </c>
      <c r="C82" s="101" t="n">
        <f aca="false">GARP_GRAP!I10</f>
        <v>3</v>
      </c>
      <c r="D82" s="101" t="n">
        <f aca="false">GARP_GRAP!J10</f>
        <v>9</v>
      </c>
    </row>
    <row r="83" customFormat="false" ht="23.25" hidden="false" customHeight="true" outlineLevel="0" collapsed="false">
      <c r="A83" s="34" t="str">
        <f aca="false">GARP_GRAP!B11</f>
        <v>Reputational Risk — ESG</v>
      </c>
      <c r="B83" s="97" t="n">
        <f aca="false">IF(GARP_GRAP!E11="High",5,IF(GARP_GRAP!E11="Medium",3,IF(GARP_GRAP!E11="Low",1,IF(GARP_GRAP!E11="Req",4,0))))</f>
        <v>3</v>
      </c>
      <c r="C83" s="101" t="n">
        <f aca="false">GARP_GRAP!I11</f>
        <v>3</v>
      </c>
      <c r="D83" s="101" t="n">
        <f aca="false">GARP_GRAP!J11</f>
        <v>9</v>
      </c>
    </row>
    <row r="84" customFormat="false" ht="23.25" hidden="false" customHeight="true" outlineLevel="0" collapsed="false">
      <c r="A84" s="34" t="str">
        <f aca="false">GARP_GRAP!B12</f>
        <v>Environmental Risk — Waste</v>
      </c>
      <c r="B84" s="97" t="n">
        <f aca="false">IF(GARP_GRAP!E12="High",5,IF(GARP_GRAP!E12="Medium",3,IF(GARP_GRAP!E12="Low",1,IF(GARP_GRAP!E12="Req",4,0))))</f>
        <v>1</v>
      </c>
      <c r="C84" s="101" t="n">
        <f aca="false">GARP_GRAP!I12</f>
        <v>2</v>
      </c>
      <c r="D84" s="101" t="n">
        <f aca="false">GARP_GRAP!J12</f>
        <v>2</v>
      </c>
    </row>
    <row r="85" customFormat="false" ht="15" hidden="false" customHeight="true" outlineLevel="0" collapsed="false">
      <c r="A85" s="34" t="str">
        <f aca="false">GARP_GRAP!B13</f>
        <v>Supply Chain Risk</v>
      </c>
      <c r="B85" s="97" t="n">
        <f aca="false">IF(GARP_GRAP!E13="High",5,IF(GARP_GRAP!E13="Medium",3,IF(GARP_GRAP!E13="Low",1,IF(GARP_GRAP!E13="Req",4,0))))</f>
        <v>3</v>
      </c>
      <c r="C85" s="101" t="n">
        <f aca="false">GARP_GRAP!I13</f>
        <v>4</v>
      </c>
      <c r="D85" s="101" t="n">
        <f aca="false">GARP_GRAP!J13</f>
        <v>12</v>
      </c>
    </row>
    <row r="86" customFormat="false" ht="15" hidden="false" customHeight="true" outlineLevel="0" collapsed="false">
      <c r="A86" s="34" t="str">
        <f aca="false">GARP_GRAP!B14</f>
        <v>Technology Risk</v>
      </c>
      <c r="B86" s="97" t="n">
        <f aca="false">IF(GARP_GRAP!E14="High",5,IF(GARP_GRAP!E14="Medium",3,IF(GARP_GRAP!E14="Low",1,IF(GARP_GRAP!E14="Req",4,0))))</f>
        <v>1</v>
      </c>
      <c r="C86" s="101" t="n">
        <f aca="false">GARP_GRAP!I14</f>
        <v>2</v>
      </c>
      <c r="D86" s="101" t="n">
        <f aca="false">GARP_GRAP!J14</f>
        <v>2</v>
      </c>
    </row>
  </sheetData>
  <mergeCells count="13">
    <mergeCell ref="A1:J1"/>
    <mergeCell ref="A2:J2"/>
    <mergeCell ref="A4:J4"/>
    <mergeCell ref="L4:O4"/>
    <mergeCell ref="M5:O5"/>
    <mergeCell ref="M6:O6"/>
    <mergeCell ref="M7:O7"/>
    <mergeCell ref="M8:O8"/>
    <mergeCell ref="A9:C9"/>
    <mergeCell ref="M9:O9"/>
    <mergeCell ref="M10:O10"/>
    <mergeCell ref="A11:J11"/>
    <mergeCell ref="A19:J19"/>
  </mergeCells>
  <conditionalFormatting sqref="E6:E8">
    <cfRule type="expression" priority="2" aboveAverage="0" equalAverage="0" bottom="0" percent="0" rank="0" text="" dxfId="0">
      <formula>ISNUMBER(SEARCH("Excellent",E6))</formula>
    </cfRule>
    <cfRule type="expression" priority="3" aboveAverage="0" equalAverage="0" bottom="0" percent="0" rank="0" text="" dxfId="0">
      <formula>ISNUMBER(SEARCH("Good",E6))</formula>
    </cfRule>
    <cfRule type="expression" priority="4" aboveAverage="0" equalAverage="0" bottom="0" percent="0" rank="0" text="" dxfId="1">
      <formula>ISNUMBER(SEARCH("Adequate",E6))</formula>
    </cfRule>
    <cfRule type="expression" priority="5" aboveAverage="0" equalAverage="0" bottom="0" percent="0" rank="0" text="" dxfId="2">
      <formula>ISNUMBER(SEARCH("Attention",E6))</formula>
    </cfRule>
  </conditionalFormatting>
  <conditionalFormatting sqref="J6:J8">
    <cfRule type="expression" priority="6" aboveAverage="0" equalAverage="0" bottom="0" percent="0" rank="0" text="" dxfId="0">
      <formula>ISNUMBER(SEARCH("On Track",J6))</formula>
    </cfRule>
    <cfRule type="expression" priority="7" aboveAverage="0" equalAverage="0" bottom="0" percent="0" rank="0" text="" dxfId="2">
      <formula>ISNUMBER(SEARCH("Behind",J6))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11" min="3" style="1" width="11"/>
    <col collapsed="false" customWidth="true" hidden="false" outlineLevel="0" max="13" min="12" style="1" width="12"/>
    <col collapsed="false" customWidth="true" hidden="false" outlineLevel="0" max="14" min="14" style="1" width="16"/>
  </cols>
  <sheetData>
    <row r="1" customFormat="false" ht="21.75" hidden="false" customHeight="true" outlineLevel="0" collapsed="false">
      <c r="A1" s="102" t="s">
        <v>598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3" customFormat="false" ht="13.5" hidden="false" customHeight="true" outlineLevel="0" collapsed="false">
      <c r="A3" s="103" t="s">
        <v>599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customFormat="false" ht="15" hidden="false" customHeight="true" outlineLevel="0" collapsed="false">
      <c r="A4" s="104" t="s">
        <v>142</v>
      </c>
      <c r="B4" s="105" t="n">
        <v>2.68</v>
      </c>
      <c r="C4" s="106" t="s">
        <v>141</v>
      </c>
      <c r="D4" s="107" t="s">
        <v>600</v>
      </c>
      <c r="E4" s="107"/>
      <c r="F4" s="107"/>
      <c r="G4" s="107"/>
      <c r="H4" s="107"/>
      <c r="I4" s="107"/>
      <c r="J4" s="107"/>
      <c r="K4" s="107"/>
      <c r="L4" s="107"/>
      <c r="M4" s="107"/>
      <c r="N4" s="107"/>
    </row>
    <row r="5" customFormat="false" ht="15" hidden="false" customHeight="true" outlineLevel="0" collapsed="false">
      <c r="A5" s="104" t="s">
        <v>146</v>
      </c>
      <c r="B5" s="105" t="n">
        <v>2.31</v>
      </c>
      <c r="C5" s="106" t="s">
        <v>141</v>
      </c>
      <c r="D5" s="107" t="s">
        <v>601</v>
      </c>
      <c r="E5" s="107"/>
      <c r="F5" s="107"/>
      <c r="G5" s="107"/>
      <c r="H5" s="107"/>
      <c r="I5" s="107"/>
      <c r="J5" s="107"/>
      <c r="K5" s="107"/>
      <c r="L5" s="107"/>
      <c r="M5" s="107"/>
      <c r="N5" s="107"/>
    </row>
    <row r="6" customFormat="false" ht="15" hidden="false" customHeight="true" outlineLevel="0" collapsed="false">
      <c r="A6" s="104" t="s">
        <v>150</v>
      </c>
      <c r="B6" s="105" t="n">
        <v>1.51</v>
      </c>
      <c r="C6" s="106" t="s">
        <v>149</v>
      </c>
      <c r="D6" s="107" t="s">
        <v>602</v>
      </c>
      <c r="E6" s="107"/>
      <c r="F6" s="107"/>
      <c r="G6" s="107"/>
      <c r="H6" s="107"/>
      <c r="I6" s="107"/>
      <c r="J6" s="107"/>
      <c r="K6" s="107"/>
      <c r="L6" s="107"/>
      <c r="M6" s="107"/>
      <c r="N6" s="107"/>
    </row>
    <row r="7" customFormat="false" ht="15" hidden="false" customHeight="true" outlineLevel="0" collapsed="false">
      <c r="A7" s="104" t="s">
        <v>154</v>
      </c>
      <c r="B7" s="105" t="n">
        <v>0.82</v>
      </c>
      <c r="C7" s="106" t="s">
        <v>153</v>
      </c>
      <c r="D7" s="107" t="s">
        <v>603</v>
      </c>
      <c r="E7" s="107"/>
      <c r="F7" s="107"/>
      <c r="G7" s="107"/>
      <c r="H7" s="107"/>
      <c r="I7" s="107"/>
      <c r="J7" s="107"/>
      <c r="K7" s="107"/>
      <c r="L7" s="107"/>
      <c r="M7" s="107"/>
      <c r="N7" s="107"/>
    </row>
    <row r="8" customFormat="false" ht="15" hidden="false" customHeight="true" outlineLevel="0" collapsed="false">
      <c r="A8" s="104" t="s">
        <v>157</v>
      </c>
      <c r="B8" s="105" t="n">
        <v>0.025</v>
      </c>
      <c r="C8" s="106" t="s">
        <v>153</v>
      </c>
      <c r="D8" s="107" t="s">
        <v>604</v>
      </c>
      <c r="E8" s="107"/>
      <c r="F8" s="107"/>
      <c r="G8" s="107"/>
      <c r="H8" s="107"/>
      <c r="I8" s="107"/>
      <c r="J8" s="107"/>
      <c r="K8" s="107"/>
      <c r="L8" s="107"/>
      <c r="M8" s="107"/>
      <c r="N8" s="107"/>
    </row>
    <row r="9" customFormat="false" ht="15" hidden="false" customHeight="true" outlineLevel="0" collapsed="false">
      <c r="A9" s="104" t="s">
        <v>161</v>
      </c>
      <c r="B9" s="105" t="n">
        <v>0.000344</v>
      </c>
      <c r="C9" s="106" t="s">
        <v>160</v>
      </c>
      <c r="D9" s="107" t="s">
        <v>605</v>
      </c>
      <c r="E9" s="107"/>
      <c r="F9" s="107"/>
      <c r="G9" s="107"/>
      <c r="H9" s="107"/>
      <c r="I9" s="107"/>
      <c r="J9" s="107"/>
      <c r="K9" s="107"/>
      <c r="L9" s="107"/>
      <c r="M9" s="107"/>
      <c r="N9" s="107"/>
    </row>
    <row r="10" customFormat="false" ht="15" hidden="false" customHeight="true" outlineLevel="0" collapsed="false">
      <c r="A10" s="104" t="s">
        <v>165</v>
      </c>
      <c r="B10" s="105" t="n">
        <v>0.58</v>
      </c>
      <c r="C10" s="106" t="s">
        <v>164</v>
      </c>
      <c r="D10" s="107" t="s">
        <v>163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</row>
    <row r="12" customFormat="false" ht="13.5" hidden="false" customHeight="true" outlineLevel="0" collapsed="false">
      <c r="A12" s="108" t="s">
        <v>606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</row>
    <row r="13" customFormat="false" ht="13.5" hidden="false" customHeight="true" outlineLevel="0" collapsed="false">
      <c r="A13" s="109" t="s">
        <v>607</v>
      </c>
      <c r="B13" s="109" t="s">
        <v>138</v>
      </c>
      <c r="C13" s="110" t="s">
        <v>544</v>
      </c>
      <c r="D13" s="110" t="s">
        <v>545</v>
      </c>
      <c r="E13" s="110" t="s">
        <v>546</v>
      </c>
      <c r="F13" s="110" t="s">
        <v>547</v>
      </c>
      <c r="G13" s="110" t="s">
        <v>548</v>
      </c>
      <c r="H13" s="110" t="s">
        <v>549</v>
      </c>
      <c r="I13" s="110" t="s">
        <v>550</v>
      </c>
      <c r="J13" s="110" t="s">
        <v>551</v>
      </c>
      <c r="K13" s="110" t="s">
        <v>552</v>
      </c>
      <c r="L13" s="111" t="s">
        <v>553</v>
      </c>
      <c r="M13" s="111" t="s">
        <v>608</v>
      </c>
      <c r="N13" s="112" t="s">
        <v>609</v>
      </c>
    </row>
    <row r="14" customFormat="false" ht="20.25" hidden="false" customHeight="true" outlineLevel="0" collapsed="false">
      <c r="A14" s="67" t="s">
        <v>610</v>
      </c>
      <c r="B14" s="113" t="s">
        <v>611</v>
      </c>
      <c r="C14" s="114" t="n">
        <v>17639.52</v>
      </c>
      <c r="D14" s="114" t="n">
        <v>12721.25</v>
      </c>
      <c r="E14" s="114" t="n">
        <v>5877.41</v>
      </c>
      <c r="F14" s="114" t="n">
        <v>6836</v>
      </c>
      <c r="G14" s="114" t="n">
        <v>5002</v>
      </c>
      <c r="H14" s="114" t="n">
        <v>6977</v>
      </c>
      <c r="I14" s="114" t="n">
        <v>4713</v>
      </c>
      <c r="J14" s="114" t="n">
        <v>6995.19</v>
      </c>
      <c r="K14" s="114" t="n">
        <v>5922</v>
      </c>
      <c r="L14" s="115" t="n">
        <f aca="false">SUM(C14:K14)</f>
        <v>72683.37</v>
      </c>
      <c r="M14" s="116" t="n">
        <f aca="false">L14*E_Data!$B$4/1000</f>
        <v>194.7914316</v>
      </c>
      <c r="N14" s="117" t="s">
        <v>612</v>
      </c>
    </row>
    <row r="15" customFormat="false" ht="20.25" hidden="false" customHeight="true" outlineLevel="0" collapsed="false">
      <c r="A15" s="67" t="s">
        <v>613</v>
      </c>
      <c r="B15" s="113" t="s">
        <v>611</v>
      </c>
      <c r="C15" s="114" t="n">
        <v>6789</v>
      </c>
      <c r="D15" s="114" t="n">
        <v>6039</v>
      </c>
      <c r="E15" s="114" t="n">
        <v>5927</v>
      </c>
      <c r="F15" s="114" t="n">
        <v>6936</v>
      </c>
      <c r="G15" s="114" t="n">
        <v>5857</v>
      </c>
      <c r="H15" s="114" t="n">
        <v>6518</v>
      </c>
      <c r="I15" s="114" t="n">
        <v>4171.01</v>
      </c>
      <c r="J15" s="114" t="n">
        <v>3146</v>
      </c>
      <c r="K15" s="114" t="n">
        <v>6417</v>
      </c>
      <c r="L15" s="115" t="n">
        <f aca="false">SUM(C15:K15)</f>
        <v>51800.01</v>
      </c>
      <c r="M15" s="116" t="n">
        <f aca="false">L15*E_Data!$B$4/1000</f>
        <v>138.8240268</v>
      </c>
      <c r="N15" s="117" t="s">
        <v>612</v>
      </c>
    </row>
    <row r="16" customFormat="false" ht="20.25" hidden="false" customHeight="true" outlineLevel="0" collapsed="false">
      <c r="A16" s="67" t="s">
        <v>614</v>
      </c>
      <c r="B16" s="113" t="s">
        <v>611</v>
      </c>
      <c r="C16" s="114" t="n">
        <v>17716.57</v>
      </c>
      <c r="D16" s="114" t="n">
        <v>14729.31</v>
      </c>
      <c r="E16" s="114" t="n">
        <v>16273.31</v>
      </c>
      <c r="F16" s="114" t="n">
        <v>18434</v>
      </c>
      <c r="G16" s="114" t="n">
        <v>18357.36</v>
      </c>
      <c r="H16" s="114" t="n">
        <v>18828</v>
      </c>
      <c r="I16" s="114" t="n">
        <v>13750.41</v>
      </c>
      <c r="J16" s="114" t="n">
        <v>19177.8</v>
      </c>
      <c r="K16" s="114" t="n">
        <v>19512.38</v>
      </c>
      <c r="L16" s="115" t="n">
        <f aca="false">SUM(C16:K16)</f>
        <v>156779.14</v>
      </c>
      <c r="M16" s="116" t="n">
        <f aca="false">L16*E_Data!$B$4/1000</f>
        <v>420.1680952</v>
      </c>
      <c r="N16" s="117" t="s">
        <v>612</v>
      </c>
    </row>
    <row r="17" customFormat="false" ht="20.25" hidden="false" customHeight="true" outlineLevel="0" collapsed="false">
      <c r="A17" s="67" t="s">
        <v>615</v>
      </c>
      <c r="B17" s="113" t="s">
        <v>611</v>
      </c>
      <c r="C17" s="114" t="n">
        <v>35757.98</v>
      </c>
      <c r="D17" s="114" t="n">
        <v>33349.25</v>
      </c>
      <c r="E17" s="114" t="n">
        <v>35581.74</v>
      </c>
      <c r="F17" s="114" t="n">
        <v>39804.91</v>
      </c>
      <c r="G17" s="114" t="n">
        <v>36773.79</v>
      </c>
      <c r="H17" s="114" t="n">
        <v>23998.48</v>
      </c>
      <c r="I17" s="114" t="n">
        <v>24838.14</v>
      </c>
      <c r="J17" s="114" t="n">
        <v>33208.74</v>
      </c>
      <c r="K17" s="114" t="n">
        <v>32745.8</v>
      </c>
      <c r="L17" s="115" t="n">
        <f aca="false">SUM(C17:K17)</f>
        <v>296058.83</v>
      </c>
      <c r="M17" s="116" t="n">
        <f aca="false">L17*E_Data!$B$4/1000</f>
        <v>793.4376644</v>
      </c>
      <c r="N17" s="117" t="s">
        <v>612</v>
      </c>
    </row>
    <row r="18" customFormat="false" ht="20.25" hidden="false" customHeight="true" outlineLevel="0" collapsed="false">
      <c r="A18" s="67" t="s">
        <v>616</v>
      </c>
      <c r="B18" s="113" t="s">
        <v>611</v>
      </c>
      <c r="C18" s="114" t="n">
        <v>1451</v>
      </c>
      <c r="D18" s="114" t="n">
        <v>1340.08</v>
      </c>
      <c r="E18" s="114" t="n">
        <v>1417</v>
      </c>
      <c r="F18" s="114" t="n">
        <v>1376</v>
      </c>
      <c r="G18" s="114" t="n">
        <v>1304.49</v>
      </c>
      <c r="H18" s="114" t="n">
        <v>1267.87</v>
      </c>
      <c r="I18" s="114" t="n">
        <v>1267.87</v>
      </c>
      <c r="J18" s="114" t="n">
        <v>1452</v>
      </c>
      <c r="K18" s="114" t="n">
        <v>1267.87</v>
      </c>
      <c r="L18" s="115" t="n">
        <f aca="false">SUM(C18:K18)</f>
        <v>12144.18</v>
      </c>
      <c r="M18" s="116" t="n">
        <f aca="false">L18*E_Data!$B$4/1000</f>
        <v>32.5464024</v>
      </c>
      <c r="N18" s="117" t="s">
        <v>612</v>
      </c>
    </row>
    <row r="19" customFormat="false" ht="15" hidden="false" customHeight="true" outlineLevel="0" collapsed="false">
      <c r="A19" s="118" t="s">
        <v>617</v>
      </c>
      <c r="B19" s="118"/>
      <c r="C19" s="119" t="n">
        <f aca="false">C14+C15+C16+C17+C18</f>
        <v>79354.07</v>
      </c>
      <c r="D19" s="119" t="n">
        <f aca="false">D14+D15+D16+D17+D18</f>
        <v>68178.89</v>
      </c>
      <c r="E19" s="119" t="n">
        <f aca="false">E14+E15+E16+E17+E18</f>
        <v>65076.46</v>
      </c>
      <c r="F19" s="119" t="n">
        <f aca="false">F14+F15+F16+F17+F18</f>
        <v>73386.91</v>
      </c>
      <c r="G19" s="119" t="n">
        <f aca="false">G14+G15+G16+G17+G18</f>
        <v>67294.64</v>
      </c>
      <c r="H19" s="119" t="n">
        <f aca="false">H14+H15+H16+H17+H18</f>
        <v>57589.35</v>
      </c>
      <c r="I19" s="119" t="n">
        <f aca="false">I14+I15+I16+I17+I18</f>
        <v>48740.43</v>
      </c>
      <c r="J19" s="119" t="n">
        <f aca="false">J14+J15+J16+J17+J18</f>
        <v>63979.73</v>
      </c>
      <c r="K19" s="119" t="n">
        <f aca="false">K14+K15+K16+K17+K18</f>
        <v>65865.05</v>
      </c>
      <c r="L19" s="120" t="n">
        <f aca="false">L14+L15+L16+L17+L18</f>
        <v>589465.53</v>
      </c>
      <c r="M19" s="1" t="n">
        <f aca="false">L19*E_Data!$B$4/1000</f>
        <v>1579.7676204</v>
      </c>
    </row>
    <row r="21" customFormat="false" ht="13.5" hidden="false" customHeight="true" outlineLevel="0" collapsed="false">
      <c r="A21" s="108" t="s">
        <v>618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</row>
    <row r="22" customFormat="false" ht="13.5" hidden="false" customHeight="true" outlineLevel="0" collapsed="false">
      <c r="A22" s="109" t="s">
        <v>619</v>
      </c>
      <c r="B22" s="109" t="s">
        <v>138</v>
      </c>
      <c r="C22" s="110" t="s">
        <v>544</v>
      </c>
      <c r="D22" s="110" t="s">
        <v>545</v>
      </c>
      <c r="E22" s="110" t="s">
        <v>546</v>
      </c>
      <c r="F22" s="110" t="s">
        <v>547</v>
      </c>
      <c r="G22" s="110" t="s">
        <v>548</v>
      </c>
      <c r="H22" s="110" t="s">
        <v>549</v>
      </c>
      <c r="I22" s="110" t="s">
        <v>550</v>
      </c>
      <c r="J22" s="110" t="s">
        <v>551</v>
      </c>
      <c r="K22" s="110" t="s">
        <v>552</v>
      </c>
      <c r="L22" s="111" t="s">
        <v>553</v>
      </c>
      <c r="M22" s="111" t="s">
        <v>608</v>
      </c>
    </row>
    <row r="23" customFormat="false" ht="15" hidden="false" customHeight="true" outlineLevel="0" collapsed="false">
      <c r="A23" s="67" t="s">
        <v>620</v>
      </c>
      <c r="B23" s="113" t="s">
        <v>611</v>
      </c>
      <c r="C23" s="114" t="n">
        <v>650</v>
      </c>
      <c r="D23" s="114" t="n">
        <v>0</v>
      </c>
      <c r="E23" s="114" t="n">
        <v>0</v>
      </c>
      <c r="F23" s="114" t="n">
        <v>0</v>
      </c>
      <c r="G23" s="114" t="n">
        <v>0</v>
      </c>
      <c r="H23" s="114" t="n">
        <v>0</v>
      </c>
      <c r="I23" s="114" t="n">
        <v>0</v>
      </c>
      <c r="J23" s="114" t="n">
        <v>0</v>
      </c>
      <c r="K23" s="114" t="n">
        <v>597</v>
      </c>
      <c r="L23" s="115" t="n">
        <f aca="false">SUM(C23:K23)</f>
        <v>1247</v>
      </c>
      <c r="M23" s="116" t="n">
        <f aca="false">L23*E_Data!$B$4/1000</f>
        <v>3.34196</v>
      </c>
    </row>
    <row r="24" customFormat="false" ht="15" hidden="false" customHeight="true" outlineLevel="0" collapsed="false">
      <c r="A24" s="67" t="s">
        <v>621</v>
      </c>
      <c r="B24" s="113" t="s">
        <v>611</v>
      </c>
      <c r="C24" s="114" t="n">
        <v>0</v>
      </c>
      <c r="D24" s="114" t="n">
        <v>0</v>
      </c>
      <c r="E24" s="114" t="n">
        <v>0</v>
      </c>
      <c r="F24" s="114" t="n">
        <v>0</v>
      </c>
      <c r="G24" s="114" t="n">
        <v>0</v>
      </c>
      <c r="H24" s="114" t="n">
        <v>0</v>
      </c>
      <c r="I24" s="114" t="n">
        <v>0</v>
      </c>
      <c r="J24" s="114" t="n">
        <v>0</v>
      </c>
      <c r="K24" s="114" t="n">
        <v>0</v>
      </c>
      <c r="L24" s="115" t="n">
        <f aca="false">SUM(C24:K24)</f>
        <v>0</v>
      </c>
      <c r="M24" s="116" t="n">
        <f aca="false">L24*E_Data!$B$4/1000</f>
        <v>0</v>
      </c>
    </row>
    <row r="25" customFormat="false" ht="15" hidden="false" customHeight="true" outlineLevel="0" collapsed="false">
      <c r="A25" s="67" t="s">
        <v>622</v>
      </c>
      <c r="B25" s="113" t="s">
        <v>611</v>
      </c>
      <c r="C25" s="114" t="n">
        <v>639.14</v>
      </c>
      <c r="D25" s="114" t="n">
        <v>0</v>
      </c>
      <c r="E25" s="114" t="n">
        <v>0</v>
      </c>
      <c r="F25" s="114" t="n">
        <v>0</v>
      </c>
      <c r="G25" s="114" t="n">
        <v>0</v>
      </c>
      <c r="H25" s="114" t="n">
        <v>0</v>
      </c>
      <c r="I25" s="114" t="n">
        <v>0</v>
      </c>
      <c r="J25" s="114" t="n">
        <v>0</v>
      </c>
      <c r="K25" s="114" t="n">
        <v>0</v>
      </c>
      <c r="L25" s="115" t="n">
        <f aca="false">SUM(C25:K25)</f>
        <v>639.14</v>
      </c>
      <c r="M25" s="116" t="n">
        <f aca="false">L25*E_Data!$B$4/1000</f>
        <v>1.7128952</v>
      </c>
    </row>
    <row r="26" customFormat="false" ht="15" hidden="false" customHeight="true" outlineLevel="0" collapsed="false">
      <c r="A26" s="67" t="s">
        <v>623</v>
      </c>
      <c r="B26" s="113" t="s">
        <v>611</v>
      </c>
      <c r="C26" s="114" t="n">
        <v>0</v>
      </c>
      <c r="D26" s="114" t="n">
        <v>0</v>
      </c>
      <c r="E26" s="114" t="n">
        <v>0</v>
      </c>
      <c r="F26" s="114" t="n">
        <v>0</v>
      </c>
      <c r="G26" s="114" t="n">
        <v>0</v>
      </c>
      <c r="H26" s="114" t="n">
        <v>0</v>
      </c>
      <c r="I26" s="114" t="n">
        <v>0</v>
      </c>
      <c r="J26" s="114" t="n">
        <v>0</v>
      </c>
      <c r="K26" s="114" t="n">
        <v>0</v>
      </c>
      <c r="L26" s="115" t="n">
        <f aca="false">SUM(C26:K26)</f>
        <v>0</v>
      </c>
      <c r="M26" s="116" t="n">
        <f aca="false">L26*E_Data!$B$4/1000</f>
        <v>0</v>
      </c>
    </row>
    <row r="27" customFormat="false" ht="15" hidden="false" customHeight="true" outlineLevel="0" collapsed="false">
      <c r="A27" s="67" t="s">
        <v>624</v>
      </c>
      <c r="B27" s="113" t="s">
        <v>611</v>
      </c>
      <c r="C27" s="114" t="n">
        <v>0</v>
      </c>
      <c r="D27" s="114" t="n">
        <v>0</v>
      </c>
      <c r="E27" s="114" t="n">
        <v>0</v>
      </c>
      <c r="F27" s="114" t="n">
        <v>0</v>
      </c>
      <c r="G27" s="114" t="n">
        <v>0</v>
      </c>
      <c r="H27" s="114" t="n">
        <v>295</v>
      </c>
      <c r="I27" s="114" t="n">
        <v>0</v>
      </c>
      <c r="J27" s="114" t="n">
        <v>0</v>
      </c>
      <c r="K27" s="114" t="n">
        <v>0</v>
      </c>
      <c r="L27" s="115" t="n">
        <f aca="false">SUM(C27:K27)</f>
        <v>295</v>
      </c>
      <c r="M27" s="116" t="n">
        <f aca="false">L27*E_Data!$B$4/1000</f>
        <v>0.7906</v>
      </c>
    </row>
    <row r="28" customFormat="false" ht="15" hidden="false" customHeight="true" outlineLevel="0" collapsed="false">
      <c r="A28" s="118" t="s">
        <v>625</v>
      </c>
      <c r="B28" s="118"/>
      <c r="C28" s="119" t="n">
        <f aca="false">C23+C24+C25+C26+C27</f>
        <v>1289.14</v>
      </c>
      <c r="D28" s="119" t="n">
        <f aca="false">D23+D24+D25+D26+D27</f>
        <v>0</v>
      </c>
      <c r="E28" s="119" t="n">
        <f aca="false">E23+E24+E25+E26+E27</f>
        <v>0</v>
      </c>
      <c r="F28" s="119" t="n">
        <f aca="false">F23+F24+F25+F26+F27</f>
        <v>0</v>
      </c>
      <c r="G28" s="119" t="n">
        <f aca="false">G23+G24+G25+G26+G27</f>
        <v>0</v>
      </c>
      <c r="H28" s="119" t="n">
        <f aca="false">H23+H24+H25+H26+H27</f>
        <v>295</v>
      </c>
      <c r="I28" s="119" t="n">
        <f aca="false">I23+I24+I25+I26+I27</f>
        <v>0</v>
      </c>
      <c r="J28" s="119" t="n">
        <f aca="false">J23+J24+J25+J26+J27</f>
        <v>0</v>
      </c>
      <c r="K28" s="119" t="n">
        <f aca="false">K23+K24+K25+K26+K27</f>
        <v>597</v>
      </c>
      <c r="L28" s="119" t="n">
        <f aca="false">L23+L24+L25+L26+L27</f>
        <v>2181.14</v>
      </c>
      <c r="M28" s="120" t="n">
        <f aca="false">L28*E_Data!$B$4/1000</f>
        <v>5.8454552</v>
      </c>
    </row>
    <row r="30" customFormat="false" ht="13.5" hidden="false" customHeight="true" outlineLevel="0" collapsed="false">
      <c r="A30" s="108" t="s">
        <v>626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</row>
    <row r="31" customFormat="false" ht="15" hidden="false" customHeight="true" outlineLevel="0" collapsed="false">
      <c r="A31" s="109" t="s">
        <v>627</v>
      </c>
      <c r="B31" s="109" t="s">
        <v>138</v>
      </c>
      <c r="C31" s="110" t="s">
        <v>544</v>
      </c>
      <c r="D31" s="110" t="s">
        <v>545</v>
      </c>
      <c r="E31" s="110" t="s">
        <v>546</v>
      </c>
      <c r="F31" s="110" t="s">
        <v>547</v>
      </c>
      <c r="G31" s="110" t="s">
        <v>548</v>
      </c>
      <c r="H31" s="110" t="s">
        <v>549</v>
      </c>
      <c r="I31" s="110" t="s">
        <v>550</v>
      </c>
      <c r="J31" s="110" t="s">
        <v>551</v>
      </c>
      <c r="K31" s="110" t="s">
        <v>552</v>
      </c>
      <c r="L31" s="111" t="s">
        <v>628</v>
      </c>
      <c r="M31" s="111" t="s">
        <v>608</v>
      </c>
    </row>
    <row r="32" customFormat="false" ht="15" hidden="false" customHeight="true" outlineLevel="0" collapsed="false">
      <c r="A32" s="67" t="s">
        <v>629</v>
      </c>
      <c r="B32" s="113" t="s">
        <v>630</v>
      </c>
      <c r="C32" s="114" t="n">
        <v>0</v>
      </c>
      <c r="D32" s="114" t="n">
        <v>570</v>
      </c>
      <c r="E32" s="114" t="n">
        <v>190</v>
      </c>
      <c r="F32" s="114" t="n">
        <v>190</v>
      </c>
      <c r="G32" s="114" t="n">
        <v>380</v>
      </c>
      <c r="H32" s="114" t="n">
        <v>570</v>
      </c>
      <c r="I32" s="114" t="n">
        <v>380</v>
      </c>
      <c r="J32" s="114" t="n">
        <v>0</v>
      </c>
      <c r="K32" s="114" t="n">
        <v>0</v>
      </c>
      <c r="L32" s="115" t="n">
        <f aca="false">SUM(C32:K32)</f>
        <v>2280</v>
      </c>
      <c r="M32" s="116" t="n">
        <f aca="false">L32*E_Data!$B$6/1000</f>
        <v>3.4428</v>
      </c>
    </row>
    <row r="33" customFormat="false" ht="15" hidden="false" customHeight="true" outlineLevel="0" collapsed="false">
      <c r="A33" s="121" t="s">
        <v>631</v>
      </c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</row>
    <row r="35" customFormat="false" ht="13.5" hidden="false" customHeight="true" outlineLevel="0" collapsed="false">
      <c r="A35" s="108" t="s">
        <v>632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customFormat="false" ht="15" hidden="false" customHeight="true" outlineLevel="0" collapsed="false">
      <c r="A36" s="109" t="s">
        <v>567</v>
      </c>
      <c r="B36" s="109" t="s">
        <v>138</v>
      </c>
      <c r="C36" s="110" t="s">
        <v>544</v>
      </c>
      <c r="D36" s="110" t="s">
        <v>545</v>
      </c>
      <c r="E36" s="110" t="s">
        <v>546</v>
      </c>
      <c r="F36" s="110" t="s">
        <v>547</v>
      </c>
      <c r="G36" s="110" t="s">
        <v>548</v>
      </c>
      <c r="H36" s="110" t="s">
        <v>549</v>
      </c>
      <c r="I36" s="110" t="s">
        <v>550</v>
      </c>
      <c r="J36" s="110" t="s">
        <v>551</v>
      </c>
      <c r="K36" s="110" t="s">
        <v>552</v>
      </c>
      <c r="L36" s="111" t="s">
        <v>633</v>
      </c>
      <c r="M36" s="111" t="s">
        <v>634</v>
      </c>
    </row>
    <row r="37" customFormat="false" ht="15" hidden="false" customHeight="true" outlineLevel="0" collapsed="false">
      <c r="A37" s="67" t="s">
        <v>635</v>
      </c>
      <c r="B37" s="113" t="s">
        <v>611</v>
      </c>
      <c r="C37" s="114" t="n">
        <v>139.81</v>
      </c>
      <c r="D37" s="114" t="n">
        <v>142.25</v>
      </c>
      <c r="E37" s="114" t="n">
        <v>93.22</v>
      </c>
      <c r="F37" s="114" t="n">
        <v>109.49</v>
      </c>
      <c r="G37" s="114" t="n">
        <v>143.81</v>
      </c>
      <c r="H37" s="114" t="n">
        <v>74.68</v>
      </c>
      <c r="I37" s="114" t="n">
        <v>109.59</v>
      </c>
      <c r="J37" s="114" t="n">
        <v>98</v>
      </c>
      <c r="K37" s="114" t="n">
        <v>142.97</v>
      </c>
      <c r="L37" s="115" t="n">
        <f aca="false">SUM(C37:K37)</f>
        <v>1053.82</v>
      </c>
      <c r="M37" s="116" t="n">
        <f aca="false">L37*E_Data!$B$5/1000</f>
        <v>2.4343242</v>
      </c>
    </row>
    <row r="39" customFormat="false" ht="13.5" hidden="false" customHeight="true" outlineLevel="0" collapsed="false">
      <c r="A39" s="122" t="s">
        <v>636</v>
      </c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</row>
    <row r="40" customFormat="false" ht="15" hidden="false" customHeight="true" outlineLevel="0" collapsed="false">
      <c r="A40" s="123" t="s">
        <v>637</v>
      </c>
      <c r="B40" s="123" t="s">
        <v>138</v>
      </c>
      <c r="C40" s="124" t="s">
        <v>544</v>
      </c>
      <c r="D40" s="124" t="s">
        <v>545</v>
      </c>
      <c r="E40" s="124" t="s">
        <v>546</v>
      </c>
      <c r="F40" s="124" t="s">
        <v>547</v>
      </c>
      <c r="G40" s="124" t="s">
        <v>548</v>
      </c>
      <c r="H40" s="124" t="s">
        <v>549</v>
      </c>
      <c r="I40" s="124" t="s">
        <v>550</v>
      </c>
      <c r="J40" s="124" t="s">
        <v>551</v>
      </c>
      <c r="K40" s="124" t="s">
        <v>552</v>
      </c>
      <c r="L40" s="125" t="s">
        <v>638</v>
      </c>
      <c r="M40" s="125" t="s">
        <v>608</v>
      </c>
      <c r="N40" s="124" t="s">
        <v>639</v>
      </c>
    </row>
    <row r="41" customFormat="false" ht="15" hidden="false" customHeight="true" outlineLevel="0" collapsed="false">
      <c r="A41" s="126" t="s">
        <v>610</v>
      </c>
      <c r="B41" s="113" t="s">
        <v>640</v>
      </c>
      <c r="C41" s="114" t="n">
        <v>20495</v>
      </c>
      <c r="D41" s="114" t="n">
        <v>26100</v>
      </c>
      <c r="E41" s="114" t="n">
        <v>26118</v>
      </c>
      <c r="F41" s="114" t="n">
        <v>13295</v>
      </c>
      <c r="G41" s="114" t="n">
        <v>12343</v>
      </c>
      <c r="H41" s="114" t="n">
        <v>12343</v>
      </c>
      <c r="I41" s="114" t="n">
        <v>12343</v>
      </c>
      <c r="J41" s="114" t="n">
        <v>8126</v>
      </c>
      <c r="K41" s="114" t="n">
        <v>8131</v>
      </c>
      <c r="L41" s="127" t="n">
        <f aca="false">SUM(C41:K41)</f>
        <v>139294</v>
      </c>
      <c r="M41" s="128" t="n">
        <f aca="false">L41*E_Data!$B$7/1000</f>
        <v>114.22108</v>
      </c>
      <c r="N41" s="129" t="s">
        <v>641</v>
      </c>
    </row>
    <row r="42" customFormat="false" ht="15" hidden="false" customHeight="true" outlineLevel="0" collapsed="false">
      <c r="A42" s="126" t="s">
        <v>613</v>
      </c>
      <c r="B42" s="113" t="s">
        <v>640</v>
      </c>
      <c r="C42" s="114" t="n">
        <v>35751.88</v>
      </c>
      <c r="D42" s="114" t="n">
        <v>37731.52</v>
      </c>
      <c r="E42" s="114" t="n">
        <v>37625.99</v>
      </c>
      <c r="F42" s="114" t="n">
        <v>31990.94</v>
      </c>
      <c r="G42" s="114" t="n">
        <v>32243.53</v>
      </c>
      <c r="H42" s="114" t="n">
        <v>32243.53</v>
      </c>
      <c r="I42" s="114" t="n">
        <v>32524.52</v>
      </c>
      <c r="J42" s="114" t="n">
        <v>33991.51</v>
      </c>
      <c r="K42" s="114" t="n">
        <v>39024.17</v>
      </c>
      <c r="L42" s="127" t="n">
        <f aca="false">SUM(C42:K42)</f>
        <v>313127.59</v>
      </c>
      <c r="M42" s="128" t="n">
        <f aca="false">L42*E_Data!$B$7/1000</f>
        <v>256.7646238</v>
      </c>
      <c r="N42" s="129" t="s">
        <v>642</v>
      </c>
    </row>
    <row r="43" customFormat="false" ht="15" hidden="false" customHeight="true" outlineLevel="0" collapsed="false">
      <c r="A43" s="126" t="s">
        <v>614</v>
      </c>
      <c r="B43" s="113" t="s">
        <v>640</v>
      </c>
      <c r="C43" s="114" t="n">
        <v>73374</v>
      </c>
      <c r="D43" s="114" t="n">
        <v>74374</v>
      </c>
      <c r="E43" s="114" t="n">
        <v>74374</v>
      </c>
      <c r="F43" s="114" t="n">
        <v>67241</v>
      </c>
      <c r="G43" s="114" t="n">
        <v>68442</v>
      </c>
      <c r="H43" s="114" t="n">
        <v>65167</v>
      </c>
      <c r="I43" s="114" t="n">
        <v>51805</v>
      </c>
      <c r="J43" s="114" t="n">
        <v>119050</v>
      </c>
      <c r="K43" s="114" t="n">
        <v>75298</v>
      </c>
      <c r="L43" s="127" t="n">
        <f aca="false">SUM(C43:K43)</f>
        <v>669125</v>
      </c>
      <c r="M43" s="128" t="n">
        <f aca="false">L43*E_Data!$B$7/1000</f>
        <v>548.6825</v>
      </c>
      <c r="N43" s="129" t="s">
        <v>643</v>
      </c>
    </row>
    <row r="44" customFormat="false" ht="20.25" hidden="false" customHeight="true" outlineLevel="0" collapsed="false">
      <c r="A44" s="126" t="s">
        <v>615</v>
      </c>
      <c r="B44" s="113" t="s">
        <v>640</v>
      </c>
      <c r="C44" s="114" t="n">
        <v>147015</v>
      </c>
      <c r="D44" s="114" t="n">
        <v>152733</v>
      </c>
      <c r="E44" s="114" t="n">
        <v>143245</v>
      </c>
      <c r="F44" s="114" t="n">
        <v>137371</v>
      </c>
      <c r="G44" s="114" t="n">
        <v>126447</v>
      </c>
      <c r="H44" s="114" t="n">
        <v>165869</v>
      </c>
      <c r="I44" s="114" t="n">
        <v>149823</v>
      </c>
      <c r="J44" s="114" t="n">
        <v>138674</v>
      </c>
      <c r="K44" s="114" t="n">
        <v>137607</v>
      </c>
      <c r="L44" s="127" t="n">
        <f aca="false">SUM(C44:K44)</f>
        <v>1298784</v>
      </c>
      <c r="M44" s="128" t="n">
        <f aca="false">L44*E_Data!$B$7/1000</f>
        <v>1065.00288</v>
      </c>
      <c r="N44" s="129" t="s">
        <v>644</v>
      </c>
    </row>
    <row r="45" customFormat="false" ht="20.25" hidden="false" customHeight="true" outlineLevel="0" collapsed="false">
      <c r="A45" s="126" t="s">
        <v>616</v>
      </c>
      <c r="B45" s="113" t="s">
        <v>640</v>
      </c>
      <c r="C45" s="114" t="n">
        <v>12003</v>
      </c>
      <c r="D45" s="114" t="n">
        <v>13726.5</v>
      </c>
      <c r="E45" s="114" t="n">
        <v>13495.5</v>
      </c>
      <c r="F45" s="114" t="n">
        <v>13490</v>
      </c>
      <c r="G45" s="114" t="n">
        <v>16158.5</v>
      </c>
      <c r="H45" s="114" t="n">
        <v>14542.7</v>
      </c>
      <c r="I45" s="114" t="n">
        <v>15195</v>
      </c>
      <c r="J45" s="114" t="n">
        <v>15871</v>
      </c>
      <c r="K45" s="114" t="n">
        <v>54765.65</v>
      </c>
      <c r="L45" s="127" t="n">
        <f aca="false">SUM(C45:K45)</f>
        <v>169247.85</v>
      </c>
      <c r="M45" s="128" t="n">
        <f aca="false">L45*E_Data!$B$7/1000</f>
        <v>138.783237</v>
      </c>
      <c r="N45" s="129" t="s">
        <v>645</v>
      </c>
    </row>
    <row r="46" customFormat="false" ht="15" hidden="false" customHeight="true" outlineLevel="0" collapsed="false">
      <c r="A46" s="130" t="s">
        <v>646</v>
      </c>
      <c r="B46" s="130"/>
      <c r="C46" s="131" t="n">
        <f aca="false">C41+C42+C43+C44+C45</f>
        <v>288638.88</v>
      </c>
      <c r="D46" s="131" t="n">
        <f aca="false">D41+D42+D43+D44+D45</f>
        <v>304665.02</v>
      </c>
      <c r="E46" s="131" t="n">
        <f aca="false">E41+E42+E43+E44+E45</f>
        <v>294858.49</v>
      </c>
      <c r="F46" s="131" t="n">
        <f aca="false">F41+F42+F43+F44+F45</f>
        <v>263387.94</v>
      </c>
      <c r="G46" s="131" t="n">
        <f aca="false">G41+G42+G43+G44+G45</f>
        <v>255634.03</v>
      </c>
      <c r="H46" s="131" t="n">
        <f aca="false">H41+H42+H43+H44+H45</f>
        <v>290165.23</v>
      </c>
      <c r="I46" s="131" t="n">
        <f aca="false">I41+I42+I43+I44+I45</f>
        <v>261690.52</v>
      </c>
      <c r="J46" s="131" t="n">
        <f aca="false">J41+J42+J43+J44+J45</f>
        <v>315712.51</v>
      </c>
      <c r="K46" s="131" t="n">
        <f aca="false">K41+K42+K43+K44+K45</f>
        <v>314825.82</v>
      </c>
      <c r="L46" s="131" t="n">
        <f aca="false">L41+L42+L43+L44+L45</f>
        <v>2589578.44</v>
      </c>
      <c r="M46" s="132" t="n">
        <f aca="false">M41+M42+M43+M44+M45</f>
        <v>2123.4543208</v>
      </c>
    </row>
    <row r="48" customFormat="false" ht="13.5" hidden="false" customHeight="true" outlineLevel="0" collapsed="false">
      <c r="A48" s="133" t="s">
        <v>647</v>
      </c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</row>
    <row r="49" customFormat="false" ht="15" hidden="false" customHeight="true" outlineLevel="0" collapsed="false">
      <c r="A49" s="123" t="s">
        <v>648</v>
      </c>
      <c r="B49" s="123" t="s">
        <v>640</v>
      </c>
      <c r="C49" s="124" t="s">
        <v>544</v>
      </c>
      <c r="D49" s="124" t="s">
        <v>545</v>
      </c>
      <c r="E49" s="124" t="s">
        <v>546</v>
      </c>
      <c r="F49" s="124" t="s">
        <v>547</v>
      </c>
      <c r="G49" s="124" t="s">
        <v>548</v>
      </c>
      <c r="H49" s="124" t="s">
        <v>549</v>
      </c>
      <c r="I49" s="124" t="s">
        <v>550</v>
      </c>
      <c r="J49" s="124" t="s">
        <v>551</v>
      </c>
      <c r="K49" s="124" t="s">
        <v>552</v>
      </c>
      <c r="L49" s="125" t="s">
        <v>638</v>
      </c>
      <c r="M49" s="125" t="s">
        <v>649</v>
      </c>
    </row>
    <row r="50" customFormat="false" ht="15" hidden="false" customHeight="true" outlineLevel="0" collapsed="false">
      <c r="A50" s="134" t="s">
        <v>650</v>
      </c>
      <c r="B50" s="113" t="s">
        <v>640</v>
      </c>
      <c r="C50" s="114" t="n">
        <v>0</v>
      </c>
      <c r="D50" s="114" t="n">
        <v>0</v>
      </c>
      <c r="E50" s="114" t="n">
        <v>0</v>
      </c>
      <c r="F50" s="114" t="n">
        <v>0</v>
      </c>
      <c r="G50" s="114" t="n">
        <v>0</v>
      </c>
      <c r="H50" s="114" t="n">
        <v>0</v>
      </c>
      <c r="I50" s="114" t="n">
        <v>0</v>
      </c>
      <c r="J50" s="114" t="n">
        <v>0</v>
      </c>
      <c r="K50" s="114" t="n">
        <v>0</v>
      </c>
      <c r="L50" s="135" t="n">
        <f aca="false">SUM(C50:K50)</f>
        <v>0</v>
      </c>
      <c r="M50" s="136" t="n">
        <f aca="false">-L50*E_Data!$B$8/1000</f>
        <v>-0</v>
      </c>
    </row>
    <row r="51" customFormat="false" ht="15" hidden="false" customHeight="true" outlineLevel="0" collapsed="false">
      <c r="A51" s="134" t="s">
        <v>651</v>
      </c>
      <c r="B51" s="113" t="s">
        <v>640</v>
      </c>
      <c r="C51" s="114" t="n">
        <v>0</v>
      </c>
      <c r="D51" s="114" t="n">
        <v>0</v>
      </c>
      <c r="E51" s="114" t="n">
        <v>0</v>
      </c>
      <c r="F51" s="114" t="n">
        <v>0</v>
      </c>
      <c r="G51" s="114" t="n">
        <v>0</v>
      </c>
      <c r="H51" s="114" t="n">
        <v>0</v>
      </c>
      <c r="I51" s="114" t="n">
        <v>0</v>
      </c>
      <c r="J51" s="114" t="n">
        <v>0</v>
      </c>
      <c r="K51" s="114" t="n">
        <v>0</v>
      </c>
      <c r="L51" s="135" t="n">
        <f aca="false">SUM(C51:K51)</f>
        <v>0</v>
      </c>
      <c r="M51" s="136" t="n">
        <f aca="false">-L51*E_Data!$B$8/1000</f>
        <v>-0</v>
      </c>
    </row>
    <row r="52" customFormat="false" ht="15" hidden="false" customHeight="true" outlineLevel="0" collapsed="false">
      <c r="A52" s="134" t="s">
        <v>652</v>
      </c>
      <c r="B52" s="113" t="s">
        <v>640</v>
      </c>
      <c r="C52" s="114" t="n">
        <v>0</v>
      </c>
      <c r="D52" s="114" t="n">
        <v>0</v>
      </c>
      <c r="E52" s="114" t="n">
        <v>0</v>
      </c>
      <c r="F52" s="114" t="n">
        <v>0</v>
      </c>
      <c r="G52" s="114" t="n">
        <v>0</v>
      </c>
      <c r="H52" s="114" t="n">
        <v>0</v>
      </c>
      <c r="I52" s="114" t="n">
        <v>0</v>
      </c>
      <c r="J52" s="114" t="n">
        <v>0</v>
      </c>
      <c r="K52" s="114" t="n">
        <v>0</v>
      </c>
      <c r="L52" s="135" t="n">
        <f aca="false">SUM(C52:K52)</f>
        <v>0</v>
      </c>
      <c r="M52" s="136" t="n">
        <f aca="false">-L52*E_Data!$B$8/1000</f>
        <v>-0</v>
      </c>
    </row>
    <row r="53" customFormat="false" ht="15" hidden="false" customHeight="true" outlineLevel="0" collapsed="false">
      <c r="A53" s="134" t="s">
        <v>653</v>
      </c>
      <c r="B53" s="113" t="s">
        <v>640</v>
      </c>
      <c r="C53" s="114" t="n">
        <v>0</v>
      </c>
      <c r="D53" s="114" t="n">
        <v>0</v>
      </c>
      <c r="E53" s="114" t="n">
        <v>0</v>
      </c>
      <c r="F53" s="114" t="n">
        <v>0</v>
      </c>
      <c r="G53" s="114" t="n">
        <v>0</v>
      </c>
      <c r="H53" s="114" t="n">
        <v>0</v>
      </c>
      <c r="I53" s="114" t="n">
        <v>0</v>
      </c>
      <c r="J53" s="114" t="n">
        <v>0</v>
      </c>
      <c r="K53" s="114" t="n">
        <v>0</v>
      </c>
      <c r="L53" s="135" t="n">
        <f aca="false">SUM(C53:K53)</f>
        <v>0</v>
      </c>
      <c r="M53" s="136" t="n">
        <f aca="false">-L53*E_Data!$B$8/1000</f>
        <v>-0</v>
      </c>
    </row>
    <row r="54" customFormat="false" ht="15" hidden="false" customHeight="true" outlineLevel="0" collapsed="false">
      <c r="A54" s="134" t="s">
        <v>654</v>
      </c>
      <c r="B54" s="113" t="s">
        <v>640</v>
      </c>
      <c r="C54" s="114" t="n">
        <v>0</v>
      </c>
      <c r="D54" s="114" t="n">
        <v>0</v>
      </c>
      <c r="E54" s="114" t="n">
        <v>0</v>
      </c>
      <c r="F54" s="114" t="n">
        <v>0</v>
      </c>
      <c r="G54" s="114" t="n">
        <v>0</v>
      </c>
      <c r="H54" s="114" t="n">
        <v>0</v>
      </c>
      <c r="I54" s="114" t="n">
        <v>0</v>
      </c>
      <c r="J54" s="114" t="n">
        <v>0</v>
      </c>
      <c r="K54" s="114" t="n">
        <v>0</v>
      </c>
      <c r="L54" s="135" t="n">
        <f aca="false">SUM(C54:K54)</f>
        <v>0</v>
      </c>
      <c r="M54" s="136" t="n">
        <f aca="false">-L54*E_Data!$B$8/1000</f>
        <v>-0</v>
      </c>
    </row>
    <row r="56" customFormat="false" ht="13.5" hidden="false" customHeight="true" outlineLevel="0" collapsed="false">
      <c r="A56" s="137" t="s">
        <v>655</v>
      </c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</row>
    <row r="57" customFormat="false" ht="15" hidden="false" customHeight="true" outlineLevel="0" collapsed="false">
      <c r="A57" s="138" t="s">
        <v>619</v>
      </c>
      <c r="B57" s="138" t="s">
        <v>138</v>
      </c>
      <c r="C57" s="139" t="s">
        <v>544</v>
      </c>
      <c r="D57" s="139" t="s">
        <v>545</v>
      </c>
      <c r="E57" s="139" t="s">
        <v>546</v>
      </c>
      <c r="F57" s="139" t="s">
        <v>547</v>
      </c>
      <c r="G57" s="139" t="s">
        <v>548</v>
      </c>
      <c r="H57" s="139" t="s">
        <v>549</v>
      </c>
      <c r="I57" s="139" t="s">
        <v>550</v>
      </c>
      <c r="J57" s="139" t="s">
        <v>551</v>
      </c>
      <c r="K57" s="139" t="s">
        <v>552</v>
      </c>
      <c r="L57" s="140" t="s">
        <v>656</v>
      </c>
      <c r="M57" s="140" t="s">
        <v>608</v>
      </c>
    </row>
    <row r="58" customFormat="false" ht="15" hidden="false" customHeight="true" outlineLevel="0" collapsed="false">
      <c r="A58" s="126" t="s">
        <v>610</v>
      </c>
      <c r="B58" s="113" t="s">
        <v>657</v>
      </c>
      <c r="C58" s="141" t="n">
        <v>45.57</v>
      </c>
      <c r="D58" s="141" t="n">
        <v>45.57</v>
      </c>
      <c r="E58" s="141" t="n">
        <v>45.57</v>
      </c>
      <c r="F58" s="141" t="n">
        <v>35</v>
      </c>
      <c r="G58" s="141" t="n">
        <v>35</v>
      </c>
      <c r="H58" s="141" t="n">
        <v>35</v>
      </c>
      <c r="I58" s="141" t="n">
        <v>35</v>
      </c>
      <c r="J58" s="141" t="n">
        <v>67.95</v>
      </c>
      <c r="K58" s="141" t="n">
        <v>67.95</v>
      </c>
      <c r="L58" s="142" t="n">
        <f aca="false">SUM(C58:K58)</f>
        <v>412.61</v>
      </c>
      <c r="M58" s="143" t="n">
        <f aca="false">L58*E_Data!$B$9</f>
        <v>0.14193784</v>
      </c>
    </row>
    <row r="59" customFormat="false" ht="15" hidden="false" customHeight="true" outlineLevel="0" collapsed="false">
      <c r="A59" s="126" t="s">
        <v>613</v>
      </c>
      <c r="B59" s="113" t="s">
        <v>657</v>
      </c>
      <c r="C59" s="141" t="n">
        <v>0</v>
      </c>
      <c r="D59" s="141" t="n">
        <v>0</v>
      </c>
      <c r="E59" s="141" t="n">
        <v>0</v>
      </c>
      <c r="F59" s="141" t="n">
        <v>0</v>
      </c>
      <c r="G59" s="141" t="n">
        <v>50</v>
      </c>
      <c r="H59" s="141" t="n">
        <v>50</v>
      </c>
      <c r="I59" s="141" t="n">
        <v>0</v>
      </c>
      <c r="J59" s="141" t="n">
        <v>0</v>
      </c>
      <c r="K59" s="141" t="n">
        <v>0</v>
      </c>
      <c r="L59" s="142" t="n">
        <f aca="false">SUM(C59:K59)</f>
        <v>100</v>
      </c>
      <c r="M59" s="143" t="n">
        <f aca="false">L59*E_Data!$B$9</f>
        <v>0.0344</v>
      </c>
    </row>
    <row r="60" customFormat="false" ht="15" hidden="false" customHeight="true" outlineLevel="0" collapsed="false">
      <c r="A60" s="126" t="s">
        <v>614</v>
      </c>
      <c r="B60" s="113" t="s">
        <v>657</v>
      </c>
      <c r="C60" s="141" t="n">
        <v>47</v>
      </c>
      <c r="D60" s="141" t="n">
        <v>48</v>
      </c>
      <c r="E60" s="141" t="n">
        <v>48</v>
      </c>
      <c r="F60" s="141" t="n">
        <v>99.6</v>
      </c>
      <c r="G60" s="141" t="n">
        <v>108.1</v>
      </c>
      <c r="H60" s="141" t="n">
        <v>112.6</v>
      </c>
      <c r="I60" s="141" t="n">
        <v>135.2</v>
      </c>
      <c r="J60" s="141" t="n">
        <v>229.4</v>
      </c>
      <c r="K60" s="141" t="n">
        <v>117.78</v>
      </c>
      <c r="L60" s="142" t="n">
        <f aca="false">SUM(C60:K60)</f>
        <v>945.68</v>
      </c>
      <c r="M60" s="143" t="n">
        <f aca="false">L60*E_Data!$B$9</f>
        <v>0.32531392</v>
      </c>
    </row>
    <row r="61" customFormat="false" ht="15" hidden="false" customHeight="true" outlineLevel="0" collapsed="false">
      <c r="A61" s="126" t="s">
        <v>615</v>
      </c>
      <c r="B61" s="113" t="s">
        <v>657</v>
      </c>
      <c r="C61" s="141" t="n">
        <v>243</v>
      </c>
      <c r="D61" s="141" t="n">
        <v>256</v>
      </c>
      <c r="E61" s="141" t="n">
        <v>241</v>
      </c>
      <c r="F61" s="141" t="n">
        <v>241</v>
      </c>
      <c r="G61" s="141" t="n">
        <v>200</v>
      </c>
      <c r="H61" s="141" t="n">
        <v>227</v>
      </c>
      <c r="I61" s="141" t="n">
        <v>255</v>
      </c>
      <c r="J61" s="141" t="n">
        <v>211</v>
      </c>
      <c r="K61" s="141" t="n">
        <v>258</v>
      </c>
      <c r="L61" s="142" t="n">
        <f aca="false">SUM(C61:K61)</f>
        <v>2132</v>
      </c>
      <c r="M61" s="143" t="n">
        <f aca="false">L61*E_Data!$B$9</f>
        <v>0.733408</v>
      </c>
    </row>
    <row r="62" customFormat="false" ht="15" hidden="false" customHeight="true" outlineLevel="0" collapsed="false">
      <c r="A62" s="126" t="s">
        <v>616</v>
      </c>
      <c r="B62" s="113" t="s">
        <v>657</v>
      </c>
      <c r="C62" s="141" t="n">
        <v>73.84</v>
      </c>
      <c r="D62" s="141" t="n">
        <v>41.82</v>
      </c>
      <c r="E62" s="141" t="n">
        <v>46.15</v>
      </c>
      <c r="F62" s="141" t="n">
        <v>159.21</v>
      </c>
      <c r="G62" s="141" t="n">
        <v>83.26</v>
      </c>
      <c r="H62" s="141" t="n">
        <v>74.93</v>
      </c>
      <c r="I62" s="141" t="n">
        <v>107.81</v>
      </c>
      <c r="J62" s="141" t="n">
        <v>52.59</v>
      </c>
      <c r="K62" s="141" t="n">
        <v>126.51</v>
      </c>
      <c r="L62" s="142" t="n">
        <f aca="false">SUM(C62:K62)</f>
        <v>766.12</v>
      </c>
      <c r="M62" s="143" t="n">
        <f aca="false">L62*E_Data!$B$9</f>
        <v>0.26354528</v>
      </c>
    </row>
    <row r="63" customFormat="false" ht="15" hidden="false" customHeight="true" outlineLevel="0" collapsed="false">
      <c r="A63" s="144" t="s">
        <v>658</v>
      </c>
      <c r="B63" s="144"/>
      <c r="C63" s="145" t="n">
        <f aca="false">C58+C59+C60+C61+C62</f>
        <v>409.41</v>
      </c>
      <c r="D63" s="145" t="n">
        <f aca="false">D58+D59+D60+D61+D62</f>
        <v>391.39</v>
      </c>
      <c r="E63" s="145" t="n">
        <f aca="false">E58+E59+E60+E61+E62</f>
        <v>380.72</v>
      </c>
      <c r="F63" s="145" t="n">
        <f aca="false">F58+F59+F60+F61+F62</f>
        <v>534.81</v>
      </c>
      <c r="G63" s="145" t="n">
        <f aca="false">G58+G59+G60+G61+G62</f>
        <v>476.36</v>
      </c>
      <c r="H63" s="145" t="n">
        <f aca="false">H58+H59+H60+H61+H62</f>
        <v>499.53</v>
      </c>
      <c r="I63" s="145" t="n">
        <f aca="false">I58+I59+I60+I61+I62</f>
        <v>533.01</v>
      </c>
      <c r="J63" s="145" t="n">
        <f aca="false">J58+J59+J60+J61+J62</f>
        <v>560.94</v>
      </c>
      <c r="K63" s="145" t="n">
        <f aca="false">K58+K59+K60+K61+K62</f>
        <v>570.24</v>
      </c>
      <c r="L63" s="145" t="n">
        <f aca="false">L58+L59+L60+L61+L62</f>
        <v>4356.41</v>
      </c>
      <c r="M63" s="145" t="n">
        <f aca="false">M58+M59+M60+M61+M62</f>
        <v>1.49860504</v>
      </c>
    </row>
    <row r="65" customFormat="false" ht="13.5" hidden="false" customHeight="true" outlineLevel="0" collapsed="false">
      <c r="A65" s="146" t="s">
        <v>659</v>
      </c>
      <c r="B65" s="146"/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</row>
    <row r="66" customFormat="false" ht="15" hidden="false" customHeight="true" outlineLevel="0" collapsed="false">
      <c r="A66" s="147" t="s">
        <v>660</v>
      </c>
      <c r="B66" s="147" t="s">
        <v>138</v>
      </c>
      <c r="C66" s="148" t="s">
        <v>544</v>
      </c>
      <c r="D66" s="148" t="s">
        <v>545</v>
      </c>
      <c r="E66" s="148" t="s">
        <v>546</v>
      </c>
      <c r="F66" s="148" t="s">
        <v>547</v>
      </c>
      <c r="G66" s="148" t="s">
        <v>548</v>
      </c>
      <c r="H66" s="148" t="s">
        <v>549</v>
      </c>
      <c r="I66" s="148" t="s">
        <v>550</v>
      </c>
      <c r="J66" s="148" t="s">
        <v>551</v>
      </c>
      <c r="K66" s="148" t="s">
        <v>552</v>
      </c>
      <c r="L66" s="149" t="s">
        <v>661</v>
      </c>
      <c r="M66" s="149" t="s">
        <v>662</v>
      </c>
    </row>
    <row r="67" customFormat="false" ht="15" hidden="false" customHeight="true" outlineLevel="0" collapsed="false">
      <c r="A67" s="150" t="s">
        <v>663</v>
      </c>
      <c r="B67" s="113" t="s">
        <v>183</v>
      </c>
      <c r="C67" s="151" t="n">
        <v>10.65</v>
      </c>
      <c r="D67" s="151" t="n">
        <v>16.24</v>
      </c>
      <c r="E67" s="151" t="n">
        <v>11.06</v>
      </c>
      <c r="F67" s="151" t="n">
        <v>8.89</v>
      </c>
      <c r="G67" s="151" t="n">
        <v>26.42</v>
      </c>
      <c r="H67" s="151" t="n">
        <v>10.68</v>
      </c>
      <c r="I67" s="151" t="n">
        <v>4.6</v>
      </c>
      <c r="J67" s="151" t="n">
        <v>13.73</v>
      </c>
      <c r="K67" s="151" t="n">
        <v>9.56</v>
      </c>
      <c r="L67" s="152" t="n">
        <f aca="false">AVERAGE(C67:K67)</f>
        <v>12.4255555555556</v>
      </c>
      <c r="M67" s="153" t="s">
        <v>664</v>
      </c>
    </row>
    <row r="68" customFormat="false" ht="15" hidden="false" customHeight="true" outlineLevel="0" collapsed="false">
      <c r="A68" s="150" t="s">
        <v>665</v>
      </c>
      <c r="B68" s="113" t="s">
        <v>630</v>
      </c>
      <c r="C68" s="113" t="s">
        <v>279</v>
      </c>
      <c r="D68" s="113" t="s">
        <v>279</v>
      </c>
      <c r="E68" s="113" t="s">
        <v>279</v>
      </c>
      <c r="F68" s="113" t="s">
        <v>279</v>
      </c>
      <c r="G68" s="113" t="s">
        <v>279</v>
      </c>
      <c r="H68" s="113" t="s">
        <v>279</v>
      </c>
      <c r="I68" s="113" t="s">
        <v>279</v>
      </c>
      <c r="J68" s="113" t="s">
        <v>279</v>
      </c>
      <c r="K68" s="113" t="s">
        <v>279</v>
      </c>
      <c r="L68" s="154" t="n">
        <v>22470</v>
      </c>
      <c r="M68" s="153" t="s">
        <v>666</v>
      </c>
    </row>
    <row r="69" customFormat="false" ht="15" hidden="false" customHeight="true" outlineLevel="0" collapsed="false">
      <c r="A69" s="150" t="s">
        <v>667</v>
      </c>
      <c r="B69" s="113" t="s">
        <v>183</v>
      </c>
      <c r="C69" s="113" t="s">
        <v>279</v>
      </c>
      <c r="D69" s="113" t="s">
        <v>279</v>
      </c>
      <c r="E69" s="113" t="s">
        <v>279</v>
      </c>
      <c r="F69" s="113" t="s">
        <v>279</v>
      </c>
      <c r="G69" s="113" t="s">
        <v>279</v>
      </c>
      <c r="H69" s="113" t="s">
        <v>279</v>
      </c>
      <c r="I69" s="113" t="s">
        <v>279</v>
      </c>
      <c r="J69" s="113" t="s">
        <v>279</v>
      </c>
      <c r="K69" s="113" t="s">
        <v>279</v>
      </c>
      <c r="L69" s="151" t="n">
        <v>8.9</v>
      </c>
      <c r="M69" s="75" t="s">
        <v>668</v>
      </c>
    </row>
    <row r="70" customFormat="false" ht="21.75" hidden="false" customHeight="true" outlineLevel="0" collapsed="false">
      <c r="A70" s="150" t="s">
        <v>669</v>
      </c>
      <c r="B70" s="113" t="s">
        <v>183</v>
      </c>
      <c r="C70" s="113" t="s">
        <v>279</v>
      </c>
      <c r="D70" s="113" t="s">
        <v>279</v>
      </c>
      <c r="E70" s="113" t="s">
        <v>279</v>
      </c>
      <c r="F70" s="113" t="s">
        <v>279</v>
      </c>
      <c r="G70" s="113" t="s">
        <v>279</v>
      </c>
      <c r="H70" s="113" t="s">
        <v>279</v>
      </c>
      <c r="I70" s="113" t="s">
        <v>279</v>
      </c>
      <c r="J70" s="113" t="s">
        <v>279</v>
      </c>
      <c r="K70" s="113" t="s">
        <v>279</v>
      </c>
      <c r="L70" s="151" t="n">
        <v>91.1</v>
      </c>
      <c r="M70" s="155" t="s">
        <v>670</v>
      </c>
    </row>
    <row r="71" customFormat="false" ht="21.75" hidden="false" customHeight="true" outlineLevel="0" collapsed="false">
      <c r="A71" s="150" t="s">
        <v>671</v>
      </c>
      <c r="B71" s="113" t="s">
        <v>634</v>
      </c>
      <c r="C71" s="113" t="s">
        <v>279</v>
      </c>
      <c r="D71" s="113" t="s">
        <v>279</v>
      </c>
      <c r="E71" s="113" t="s">
        <v>279</v>
      </c>
      <c r="F71" s="113" t="s">
        <v>279</v>
      </c>
      <c r="G71" s="113" t="s">
        <v>279</v>
      </c>
      <c r="H71" s="113" t="s">
        <v>279</v>
      </c>
      <c r="I71" s="113" t="s">
        <v>279</v>
      </c>
      <c r="J71" s="113" t="s">
        <v>279</v>
      </c>
      <c r="K71" s="113" t="s">
        <v>279</v>
      </c>
      <c r="L71" s="156" t="n">
        <f aca="false">L68*L69/100*E_Data!$B$10/1000</f>
        <v>1.1599014</v>
      </c>
    </row>
    <row r="73" customFormat="false" ht="13.5" hidden="false" customHeight="true" outlineLevel="0" collapsed="false">
      <c r="A73" s="63" t="s">
        <v>672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</row>
    <row r="74" customFormat="false" ht="15" hidden="false" customHeight="true" outlineLevel="0" collapsed="false">
      <c r="A74" s="157" t="s">
        <v>673</v>
      </c>
      <c r="B74" s="157" t="s">
        <v>138</v>
      </c>
      <c r="C74" s="8" t="s">
        <v>544</v>
      </c>
      <c r="D74" s="8" t="s">
        <v>545</v>
      </c>
      <c r="E74" s="8" t="s">
        <v>546</v>
      </c>
      <c r="F74" s="8" t="s">
        <v>547</v>
      </c>
      <c r="G74" s="8" t="s">
        <v>548</v>
      </c>
      <c r="H74" s="8" t="s">
        <v>549</v>
      </c>
      <c r="I74" s="8" t="s">
        <v>550</v>
      </c>
      <c r="J74" s="8" t="s">
        <v>551</v>
      </c>
      <c r="K74" s="8" t="s">
        <v>552</v>
      </c>
      <c r="L74" s="157" t="s">
        <v>553</v>
      </c>
      <c r="M74" s="157" t="s">
        <v>674</v>
      </c>
    </row>
    <row r="75" customFormat="false" ht="15" hidden="false" customHeight="true" outlineLevel="0" collapsed="false">
      <c r="A75" s="67" t="s">
        <v>675</v>
      </c>
      <c r="B75" s="113" t="s">
        <v>634</v>
      </c>
      <c r="C75" s="116" t="n">
        <f aca="false">E_Data!C14+E_Data!C15+E_Data!C16+E_Data!C17+E_Data!C18</f>
        <v>79354.07</v>
      </c>
      <c r="D75" s="116" t="n">
        <f aca="false">E_Data!D14+E_Data!D15+E_Data!D16+E_Data!D17+E_Data!D18</f>
        <v>68178.89</v>
      </c>
      <c r="E75" s="116" t="n">
        <f aca="false">E_Data!E14+E_Data!E15+E_Data!E16+E_Data!E17+E_Data!E18</f>
        <v>65076.46</v>
      </c>
      <c r="F75" s="116" t="n">
        <f aca="false">E_Data!F14+E_Data!F15+E_Data!F16+E_Data!F17+E_Data!F18</f>
        <v>73386.91</v>
      </c>
      <c r="G75" s="116" t="n">
        <f aca="false">E_Data!G14+E_Data!G15+E_Data!G16+E_Data!G17+E_Data!G18</f>
        <v>67294.64</v>
      </c>
      <c r="H75" s="116" t="n">
        <f aca="false">E_Data!H14+E_Data!H15+E_Data!H16+E_Data!H17+E_Data!H18</f>
        <v>57589.35</v>
      </c>
      <c r="I75" s="116" t="n">
        <f aca="false">E_Data!I14+E_Data!I15+E_Data!I16+E_Data!I17+E_Data!I18</f>
        <v>48740.43</v>
      </c>
      <c r="J75" s="116" t="n">
        <f aca="false">E_Data!J14+E_Data!J15+E_Data!J16+E_Data!J17+E_Data!J18</f>
        <v>63979.73</v>
      </c>
      <c r="K75" s="116" t="n">
        <f aca="false">E_Data!K14+E_Data!K15+E_Data!K16+E_Data!K17+E_Data!K18</f>
        <v>65865.05</v>
      </c>
      <c r="L75" s="120" t="n">
        <f aca="false">SUM(C75:K75)</f>
        <v>589465.53</v>
      </c>
    </row>
    <row r="76" customFormat="false" ht="15" hidden="false" customHeight="true" outlineLevel="0" collapsed="false">
      <c r="A76" s="67" t="s">
        <v>676</v>
      </c>
      <c r="B76" s="113" t="s">
        <v>634</v>
      </c>
      <c r="C76" s="116" t="n">
        <f aca="false">E_Data!C23+E_Data!C24+E_Data!C25+E_Data!C26+E_Data!C27</f>
        <v>1289.14</v>
      </c>
      <c r="D76" s="116" t="n">
        <f aca="false">E_Data!D23+E_Data!D24+E_Data!D25+E_Data!D26+E_Data!D27</f>
        <v>0</v>
      </c>
      <c r="E76" s="116" t="n">
        <f aca="false">E_Data!E23+E_Data!E24+E_Data!E25+E_Data!E26+E_Data!E27</f>
        <v>0</v>
      </c>
      <c r="F76" s="116" t="n">
        <f aca="false">E_Data!F23+E_Data!F24+E_Data!F25+E_Data!F26+E_Data!F27</f>
        <v>0</v>
      </c>
      <c r="G76" s="116" t="n">
        <f aca="false">E_Data!G23+E_Data!G24+E_Data!G25+E_Data!G26+E_Data!G27</f>
        <v>0</v>
      </c>
      <c r="H76" s="116" t="n">
        <f aca="false">E_Data!H23+E_Data!H24+E_Data!H25+E_Data!H26+E_Data!H27</f>
        <v>295</v>
      </c>
      <c r="I76" s="116" t="n">
        <f aca="false">E_Data!I23+E_Data!I24+E_Data!I25+E_Data!I26+E_Data!I27</f>
        <v>0</v>
      </c>
      <c r="J76" s="116" t="n">
        <f aca="false">E_Data!J23+E_Data!J24+E_Data!J25+E_Data!J26+E_Data!J27</f>
        <v>0</v>
      </c>
      <c r="K76" s="116" t="n">
        <f aca="false">E_Data!K23+E_Data!K24+E_Data!K25+E_Data!K26+E_Data!K27</f>
        <v>597</v>
      </c>
      <c r="L76" s="120" t="n">
        <f aca="false">SUM(C76:K76)</f>
        <v>2181.14</v>
      </c>
    </row>
    <row r="77" customFormat="false" ht="21.75" hidden="false" customHeight="true" outlineLevel="0" collapsed="false">
      <c r="A77" s="67" t="s">
        <v>677</v>
      </c>
      <c r="B77" s="113" t="s">
        <v>634</v>
      </c>
      <c r="C77" s="116" t="n">
        <f aca="false">E_Data!C32</f>
        <v>0</v>
      </c>
      <c r="D77" s="116" t="n">
        <f aca="false">E_Data!D32</f>
        <v>570</v>
      </c>
      <c r="E77" s="116" t="n">
        <f aca="false">E_Data!E32</f>
        <v>190</v>
      </c>
      <c r="F77" s="116" t="n">
        <f aca="false">E_Data!F32</f>
        <v>190</v>
      </c>
      <c r="G77" s="116" t="n">
        <f aca="false">E_Data!G32</f>
        <v>380</v>
      </c>
      <c r="H77" s="116" t="n">
        <f aca="false">E_Data!H32</f>
        <v>570</v>
      </c>
      <c r="I77" s="116" t="n">
        <f aca="false">E_Data!I32</f>
        <v>380</v>
      </c>
      <c r="J77" s="116" t="n">
        <f aca="false">E_Data!J32</f>
        <v>0</v>
      </c>
      <c r="K77" s="116" t="n">
        <f aca="false">E_Data!K32</f>
        <v>0</v>
      </c>
      <c r="L77" s="120" t="n">
        <f aca="false">SUM(C77:K77)</f>
        <v>2280</v>
      </c>
    </row>
    <row r="78" customFormat="false" ht="15" hidden="false" customHeight="true" outlineLevel="0" collapsed="false">
      <c r="A78" s="67" t="s">
        <v>678</v>
      </c>
      <c r="B78" s="113" t="s">
        <v>634</v>
      </c>
      <c r="C78" s="116" t="n">
        <f aca="false">E_Data!C37</f>
        <v>139.81</v>
      </c>
      <c r="D78" s="116" t="n">
        <f aca="false">E_Data!D37</f>
        <v>142.25</v>
      </c>
      <c r="E78" s="116" t="n">
        <f aca="false">E_Data!E37</f>
        <v>93.22</v>
      </c>
      <c r="F78" s="116" t="n">
        <f aca="false">E_Data!F37</f>
        <v>109.49</v>
      </c>
      <c r="G78" s="116" t="n">
        <f aca="false">E_Data!G37</f>
        <v>143.81</v>
      </c>
      <c r="H78" s="116" t="n">
        <f aca="false">E_Data!H37</f>
        <v>74.68</v>
      </c>
      <c r="I78" s="116" t="n">
        <f aca="false">E_Data!I37</f>
        <v>109.59</v>
      </c>
      <c r="J78" s="116" t="n">
        <f aca="false">E_Data!J37</f>
        <v>98</v>
      </c>
      <c r="K78" s="116" t="n">
        <f aca="false">E_Data!K37</f>
        <v>142.97</v>
      </c>
      <c r="L78" s="120" t="n">
        <f aca="false">SUM(C78:K78)</f>
        <v>1053.82</v>
      </c>
    </row>
    <row r="79" customFormat="false" ht="15" hidden="false" customHeight="true" outlineLevel="0" collapsed="false">
      <c r="A79" s="118" t="s">
        <v>679</v>
      </c>
      <c r="B79" s="118"/>
      <c r="C79" s="120" t="n">
        <f aca="false">SUM(C75,C76,C77,C78)</f>
        <v>80783.02</v>
      </c>
      <c r="D79" s="120" t="n">
        <f aca="false">SUM(D75,D76,D77,D78)</f>
        <v>68891.14</v>
      </c>
      <c r="E79" s="120" t="n">
        <f aca="false">SUM(E75,E76,E77,E78)</f>
        <v>65359.68</v>
      </c>
      <c r="F79" s="120" t="n">
        <f aca="false">SUM(F75,F76,F77,F78)</f>
        <v>73686.4</v>
      </c>
      <c r="G79" s="120" t="n">
        <f aca="false">SUM(G75,G76,G77,G78)</f>
        <v>67818.45</v>
      </c>
      <c r="H79" s="120" t="n">
        <f aca="false">SUM(H75,H76,H77,H78)</f>
        <v>58529.03</v>
      </c>
      <c r="I79" s="120" t="n">
        <f aca="false">SUM(I75,I76,I77,I78)</f>
        <v>49230.02</v>
      </c>
      <c r="J79" s="120" t="n">
        <f aca="false">SUM(J75,J76,J77,J78)</f>
        <v>64077.73</v>
      </c>
      <c r="K79" s="120" t="n">
        <f aca="false">SUM(K75,K76,K77,K78)</f>
        <v>66605.02</v>
      </c>
      <c r="L79" s="120" t="n">
        <f aca="false">SUM(L75,L76,L77,L78)</f>
        <v>594980.49</v>
      </c>
    </row>
    <row r="80" customFormat="false" ht="21.75" hidden="false" customHeight="true" outlineLevel="0" collapsed="false">
      <c r="A80" s="158" t="s">
        <v>680</v>
      </c>
      <c r="B80" s="113" t="s">
        <v>634</v>
      </c>
      <c r="C80" s="128" t="n">
        <f aca="false">E_Data!C46</f>
        <v>288638.88</v>
      </c>
      <c r="D80" s="128" t="n">
        <f aca="false">E_Data!D46</f>
        <v>304665.02</v>
      </c>
      <c r="E80" s="128" t="n">
        <f aca="false">E_Data!E46</f>
        <v>294858.49</v>
      </c>
      <c r="F80" s="128" t="n">
        <f aca="false">E_Data!F46</f>
        <v>263387.94</v>
      </c>
      <c r="G80" s="128" t="n">
        <f aca="false">E_Data!G46</f>
        <v>255634.03</v>
      </c>
      <c r="H80" s="128" t="n">
        <f aca="false">E_Data!H46</f>
        <v>290165.23</v>
      </c>
      <c r="I80" s="128" t="n">
        <f aca="false">E_Data!I46</f>
        <v>261690.52</v>
      </c>
      <c r="J80" s="128" t="n">
        <f aca="false">E_Data!J46</f>
        <v>315712.51</v>
      </c>
      <c r="K80" s="128" t="n">
        <f aca="false">E_Data!K46</f>
        <v>314825.82</v>
      </c>
      <c r="L80" s="128" t="n">
        <f aca="false">E_Data!L46</f>
        <v>2589578.44</v>
      </c>
    </row>
    <row r="81" customFormat="false" ht="21.75" hidden="false" customHeight="true" outlineLevel="0" collapsed="false">
      <c r="A81" s="159" t="s">
        <v>681</v>
      </c>
      <c r="B81" s="113" t="s">
        <v>634</v>
      </c>
      <c r="C81" s="136" t="n">
        <f aca="false">SUM(E_Data!C50+E_Data!C51+E_Data!C52+E_Data!C53+E_Data!C54)</f>
        <v>0</v>
      </c>
      <c r="D81" s="136" t="n">
        <f aca="false">SUM(E_Data!D50+E_Data!D51+E_Data!D52+E_Data!D53+E_Data!D54)</f>
        <v>0</v>
      </c>
      <c r="E81" s="136" t="n">
        <f aca="false">SUM(E_Data!E50+E_Data!E51+E_Data!E52+E_Data!E53+E_Data!E54)</f>
        <v>0</v>
      </c>
      <c r="F81" s="136" t="n">
        <f aca="false">SUM(E_Data!F50+E_Data!F51+E_Data!F52+E_Data!F53+E_Data!F54)</f>
        <v>0</v>
      </c>
      <c r="G81" s="136" t="n">
        <f aca="false">SUM(E_Data!G50+E_Data!G51+E_Data!G52+E_Data!G53+E_Data!G54)</f>
        <v>0</v>
      </c>
      <c r="H81" s="136" t="n">
        <f aca="false">SUM(E_Data!H50+E_Data!H51+E_Data!H52+E_Data!H53+E_Data!H54)</f>
        <v>0</v>
      </c>
      <c r="I81" s="136" t="n">
        <f aca="false">SUM(E_Data!I50+E_Data!I51+E_Data!I52+E_Data!I53+E_Data!I54)</f>
        <v>0</v>
      </c>
      <c r="J81" s="136" t="n">
        <f aca="false">SUM(E_Data!J50+E_Data!J51+E_Data!J52+E_Data!J53+E_Data!J54)</f>
        <v>0</v>
      </c>
      <c r="K81" s="136" t="n">
        <f aca="false">SUM(E_Data!K50+E_Data!K51+E_Data!K52+E_Data!K53+E_Data!K54)</f>
        <v>0</v>
      </c>
      <c r="L81" s="136" t="n">
        <f aca="false">SUM(E_Data!L50+E_Data!L51+E_Data!L52+E_Data!L53+E_Data!L54)</f>
        <v>0</v>
      </c>
    </row>
    <row r="82" customFormat="false" ht="15" hidden="false" customHeight="true" outlineLevel="0" collapsed="false">
      <c r="A82" s="130" t="s">
        <v>682</v>
      </c>
      <c r="B82" s="130"/>
      <c r="C82" s="132" t="n">
        <f aca="false">C80+C81</f>
        <v>288638.88</v>
      </c>
      <c r="D82" s="132" t="n">
        <f aca="false">D80+D81</f>
        <v>304665.02</v>
      </c>
      <c r="E82" s="132" t="n">
        <f aca="false">E80+E81</f>
        <v>294858.49</v>
      </c>
      <c r="F82" s="132" t="n">
        <f aca="false">F80+F81</f>
        <v>263387.94</v>
      </c>
      <c r="G82" s="132" t="n">
        <f aca="false">G80+G81</f>
        <v>255634.03</v>
      </c>
      <c r="H82" s="132" t="n">
        <f aca="false">H80+H81</f>
        <v>290165.23</v>
      </c>
      <c r="I82" s="132" t="n">
        <f aca="false">I80+I81</f>
        <v>261690.52</v>
      </c>
      <c r="J82" s="132" t="n">
        <f aca="false">J80+J81</f>
        <v>315712.51</v>
      </c>
      <c r="K82" s="132" t="n">
        <f aca="false">K80+K81</f>
        <v>314825.82</v>
      </c>
      <c r="L82" s="132" t="n">
        <f aca="false">L80+L81</f>
        <v>2589578.44</v>
      </c>
    </row>
    <row r="83" customFormat="false" ht="21.75" hidden="false" customHeight="true" outlineLevel="0" collapsed="false">
      <c r="A83" s="126" t="s">
        <v>683</v>
      </c>
      <c r="B83" s="113" t="s">
        <v>634</v>
      </c>
      <c r="C83" s="160" t="n">
        <f aca="false">E_Data!C63</f>
        <v>409.41</v>
      </c>
      <c r="D83" s="160" t="n">
        <f aca="false">E_Data!D63</f>
        <v>391.39</v>
      </c>
      <c r="E83" s="160" t="n">
        <f aca="false">E_Data!E63</f>
        <v>380.72</v>
      </c>
      <c r="F83" s="160" t="n">
        <f aca="false">E_Data!F63</f>
        <v>534.81</v>
      </c>
      <c r="G83" s="160" t="n">
        <f aca="false">E_Data!G63</f>
        <v>476.36</v>
      </c>
      <c r="H83" s="160" t="n">
        <f aca="false">E_Data!H63</f>
        <v>499.53</v>
      </c>
      <c r="I83" s="160" t="n">
        <f aca="false">E_Data!I63</f>
        <v>533.01</v>
      </c>
      <c r="J83" s="160" t="n">
        <f aca="false">E_Data!J63</f>
        <v>560.94</v>
      </c>
      <c r="K83" s="160" t="n">
        <f aca="false">E_Data!K63</f>
        <v>570.24</v>
      </c>
      <c r="L83" s="160" t="n">
        <f aca="false">E_Data!L63</f>
        <v>4356.41</v>
      </c>
    </row>
    <row r="84" customFormat="false" ht="15.75" hidden="false" customHeight="true" outlineLevel="0" collapsed="false">
      <c r="A84" s="63" t="s">
        <v>684</v>
      </c>
      <c r="B84" s="63"/>
      <c r="C84" s="161" t="n">
        <f aca="false">C79+C82+C83</f>
        <v>369831.31</v>
      </c>
      <c r="D84" s="161" t="n">
        <f aca="false">D79+D82+D83</f>
        <v>373947.55</v>
      </c>
      <c r="E84" s="161" t="n">
        <f aca="false">E79+E82+E83</f>
        <v>360598.89</v>
      </c>
      <c r="F84" s="161" t="n">
        <f aca="false">F79+F82+F83</f>
        <v>337609.15</v>
      </c>
      <c r="G84" s="161" t="n">
        <f aca="false">G79+G82+G83</f>
        <v>323928.84</v>
      </c>
      <c r="H84" s="161" t="n">
        <f aca="false">H79+H82+H83</f>
        <v>349193.79</v>
      </c>
      <c r="I84" s="161" t="n">
        <f aca="false">I79+I82+I83</f>
        <v>311453.55</v>
      </c>
      <c r="J84" s="161" t="n">
        <f aca="false">J79+J82+J83</f>
        <v>380351.18</v>
      </c>
      <c r="K84" s="161" t="n">
        <f aca="false">K79+K82+K83</f>
        <v>382001.08</v>
      </c>
      <c r="L84" s="161" t="n">
        <f aca="false">L79+L82+L83</f>
        <v>3188915.34</v>
      </c>
    </row>
    <row r="85" customFormat="false" ht="15" hidden="false" customHeight="true" outlineLevel="0" collapsed="false">
      <c r="A85" s="162" t="s">
        <v>685</v>
      </c>
      <c r="B85" s="113" t="s">
        <v>183</v>
      </c>
      <c r="C85" s="163" t="n">
        <f aca="false">IFERROR(C79/C84,0)</f>
        <v>0.218432073801431</v>
      </c>
      <c r="D85" s="163" t="n">
        <f aca="false">IFERROR(D79/D84,0)</f>
        <v>0.184226745167872</v>
      </c>
      <c r="E85" s="163" t="n">
        <f aca="false">IFERROR(E79/E84,0)</f>
        <v>0.181253136968891</v>
      </c>
      <c r="F85" s="163" t="n">
        <f aca="false">IFERROR(F79/F84,0)</f>
        <v>0.218259487339132</v>
      </c>
      <c r="G85" s="163" t="n">
        <f aca="false">IFERROR(G79/G84,0)</f>
        <v>0.209362185843039</v>
      </c>
      <c r="H85" s="163" t="n">
        <f aca="false">IFERROR(H79/H84,0)</f>
        <v>0.167611886797872</v>
      </c>
      <c r="I85" s="163" t="n">
        <f aca="false">IFERROR(I79/I84,0)</f>
        <v>0.158065368013946</v>
      </c>
      <c r="J85" s="163" t="n">
        <f aca="false">IFERROR(J79/J84,0)</f>
        <v>0.168469912463529</v>
      </c>
      <c r="K85" s="163" t="n">
        <f aca="false">IFERROR(K79/K84,0)</f>
        <v>0.174358198149597</v>
      </c>
      <c r="L85" s="163" t="n">
        <f aca="false">IFERROR(L79/L84,0)</f>
        <v>0.186577700115425</v>
      </c>
    </row>
    <row r="86" customFormat="false" ht="15" hidden="false" customHeight="true" outlineLevel="0" collapsed="false">
      <c r="A86" s="164" t="s">
        <v>686</v>
      </c>
      <c r="B86" s="113" t="s">
        <v>183</v>
      </c>
      <c r="C86" s="165" t="n">
        <f aca="false">IFERROR(C82/C84,0)</f>
        <v>0.780460907974503</v>
      </c>
      <c r="D86" s="165" t="n">
        <f aca="false">IFERROR(D82/D84,0)</f>
        <v>0.814726610723884</v>
      </c>
      <c r="E86" s="165" t="n">
        <f aca="false">IFERROR(E82/E84,0)</f>
        <v>0.817691063885416</v>
      </c>
      <c r="F86" s="165" t="n">
        <f aca="false">IFERROR(F82/F84,0)</f>
        <v>0.780156402751525</v>
      </c>
      <c r="G86" s="165" t="n">
        <f aca="false">IFERROR(G82/G84,0)</f>
        <v>0.78916724426266</v>
      </c>
      <c r="H86" s="165" t="n">
        <f aca="false">IFERROR(H82/H84,0)</f>
        <v>0.830957589480615</v>
      </c>
      <c r="I86" s="165" t="n">
        <f aca="false">IFERROR(I82/I84,0)</f>
        <v>0.840223269248336</v>
      </c>
      <c r="J86" s="165" t="n">
        <f aca="false">IFERROR(J82/J84,0)</f>
        <v>0.830055292585131</v>
      </c>
      <c r="K86" s="165" t="n">
        <f aca="false">IFERROR(K82/K84,0)</f>
        <v>0.824149031201692</v>
      </c>
      <c r="L86" s="165" t="n">
        <f aca="false">IFERROR(L82/L84,0)</f>
        <v>0.812056189613363</v>
      </c>
    </row>
    <row r="88" customFormat="false" ht="13.5" hidden="false" customHeight="true" outlineLevel="0" collapsed="false">
      <c r="A88" s="166" t="s">
        <v>687</v>
      </c>
      <c r="B88" s="166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</row>
    <row r="89" customFormat="false" ht="21.75" hidden="false" customHeight="true" outlineLevel="0" collapsed="false">
      <c r="A89" s="157" t="s">
        <v>662</v>
      </c>
      <c r="B89" s="157" t="s">
        <v>688</v>
      </c>
      <c r="C89" s="157" t="s">
        <v>689</v>
      </c>
      <c r="D89" s="157" t="s">
        <v>690</v>
      </c>
      <c r="E89" s="157" t="s">
        <v>691</v>
      </c>
      <c r="F89" s="157" t="s">
        <v>692</v>
      </c>
      <c r="G89" s="157" t="s">
        <v>693</v>
      </c>
    </row>
    <row r="90" customFormat="false" ht="15" hidden="false" customHeight="true" outlineLevel="0" collapsed="false">
      <c r="A90" s="67" t="s">
        <v>694</v>
      </c>
      <c r="B90" s="141" t="n">
        <v>0</v>
      </c>
      <c r="C90" s="116" t="n">
        <f aca="false">B90*0.5</f>
        <v>0</v>
      </c>
      <c r="D90" s="116" t="n">
        <f aca="false">B90*0.1</f>
        <v>0</v>
      </c>
      <c r="E90" s="167" t="s">
        <v>695</v>
      </c>
      <c r="F90" s="116" t="n">
        <f aca="false">L79+L82</f>
        <v>3184558.93</v>
      </c>
      <c r="G90" s="168" t="str">
        <f aca="false">IF(B90=0,"Set baseline",IF(F90&lt;=C90,"✓ On Track","⚠ Gap"))</f>
        <v>Set baseline</v>
      </c>
    </row>
  </sheetData>
  <mergeCells count="27">
    <mergeCell ref="A1:N1"/>
    <mergeCell ref="A3:N3"/>
    <mergeCell ref="D4:N4"/>
    <mergeCell ref="D5:N5"/>
    <mergeCell ref="D6:N6"/>
    <mergeCell ref="D7:N7"/>
    <mergeCell ref="D8:N8"/>
    <mergeCell ref="D9:N9"/>
    <mergeCell ref="D10:N10"/>
    <mergeCell ref="A12:N12"/>
    <mergeCell ref="A19:B19"/>
    <mergeCell ref="A21:N21"/>
    <mergeCell ref="A28:B28"/>
    <mergeCell ref="A30:N30"/>
    <mergeCell ref="A33:N33"/>
    <mergeCell ref="A35:N35"/>
    <mergeCell ref="A39:N39"/>
    <mergeCell ref="A46:B46"/>
    <mergeCell ref="A48:N48"/>
    <mergeCell ref="A56:N56"/>
    <mergeCell ref="A63:B63"/>
    <mergeCell ref="A65:N65"/>
    <mergeCell ref="A73:N73"/>
    <mergeCell ref="A79:B79"/>
    <mergeCell ref="A82:B82"/>
    <mergeCell ref="A84:B84"/>
    <mergeCell ref="A88:N88"/>
  </mergeCells>
  <dataValidations count="1">
    <dataValidation allowBlank="true" errorStyle="stop" operator="between" showDropDown="false" showErrorMessage="false" showInputMessage="false" sqref="B90" type="list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12" min="4" style="1" width="10"/>
    <col collapsed="false" customWidth="true" hidden="false" outlineLevel="0" max="15" min="13" style="1" width="14"/>
  </cols>
  <sheetData>
    <row r="1" customFormat="false" ht="21.75" hidden="false" customHeight="true" outlineLevel="0" collapsed="false">
      <c r="A1" s="102" t="s">
        <v>696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3" customFormat="false" ht="13.5" hidden="false" customHeight="true" outlineLevel="0" collapsed="false">
      <c r="A3" s="112" t="s">
        <v>697</v>
      </c>
      <c r="B3" s="112" t="s">
        <v>619</v>
      </c>
      <c r="C3" s="112" t="s">
        <v>698</v>
      </c>
      <c r="D3" s="112" t="s">
        <v>699</v>
      </c>
      <c r="E3" s="112" t="s">
        <v>700</v>
      </c>
      <c r="F3" s="112" t="s">
        <v>701</v>
      </c>
      <c r="G3" s="112" t="s">
        <v>702</v>
      </c>
      <c r="H3" s="112" t="s">
        <v>703</v>
      </c>
      <c r="I3" s="112" t="s">
        <v>704</v>
      </c>
      <c r="J3" s="112" t="s">
        <v>705</v>
      </c>
      <c r="K3" s="112" t="s">
        <v>706</v>
      </c>
      <c r="L3" s="112" t="s">
        <v>707</v>
      </c>
      <c r="M3" s="112" t="s">
        <v>708</v>
      </c>
      <c r="N3" s="112" t="s">
        <v>709</v>
      </c>
      <c r="O3" s="112" t="s">
        <v>710</v>
      </c>
    </row>
    <row r="4" customFormat="false" ht="12.75" hidden="false" customHeight="true" outlineLevel="0" collapsed="false">
      <c r="A4" s="67" t="s">
        <v>711</v>
      </c>
      <c r="B4" s="113" t="s">
        <v>712</v>
      </c>
      <c r="C4" s="169" t="s">
        <v>713</v>
      </c>
      <c r="D4" s="113" t="n">
        <v>3445</v>
      </c>
      <c r="E4" s="113" t="n">
        <v>2395</v>
      </c>
      <c r="F4" s="113" t="n">
        <v>1050</v>
      </c>
      <c r="G4" s="113" t="n">
        <v>100</v>
      </c>
      <c r="H4" s="113" t="s">
        <v>714</v>
      </c>
      <c r="I4" s="114" t="n">
        <v>0</v>
      </c>
      <c r="J4" s="114" t="n">
        <v>0</v>
      </c>
      <c r="K4" s="115" t="n">
        <f aca="false">IFERROR(J4/I4*100,0)</f>
        <v>0</v>
      </c>
      <c r="L4" s="170" t="n">
        <v>30</v>
      </c>
      <c r="M4" s="171" t="n">
        <f aca="false">J4*E_Data!$B$4/1000</f>
        <v>0</v>
      </c>
      <c r="N4" s="172" t="str">
        <f aca="false">IF(L4=0,"N/A",IF(K4=0,"No data",IF(K4&lt;=L4*1.05,"✓ Good",IF(K4&lt;=L4*1.15,"⚠ Alert","🔴 High"))))</f>
        <v>No data</v>
      </c>
      <c r="O4" s="173"/>
    </row>
    <row r="5" customFormat="false" ht="12.75" hidden="false" customHeight="true" outlineLevel="0" collapsed="false">
      <c r="A5" s="67" t="s">
        <v>715</v>
      </c>
      <c r="B5" s="113" t="s">
        <v>712</v>
      </c>
      <c r="C5" s="169" t="s">
        <v>716</v>
      </c>
      <c r="D5" s="113" t="n">
        <v>16000</v>
      </c>
      <c r="E5" s="113" t="n">
        <v>8180</v>
      </c>
      <c r="F5" s="113" t="n">
        <v>7820</v>
      </c>
      <c r="G5" s="113" t="n">
        <v>390</v>
      </c>
      <c r="H5" s="113" t="s">
        <v>714</v>
      </c>
      <c r="I5" s="114" t="n">
        <v>0</v>
      </c>
      <c r="J5" s="114" t="n">
        <v>0</v>
      </c>
      <c r="K5" s="115" t="n">
        <f aca="false">IFERROR(J5/I5*100,0)</f>
        <v>0</v>
      </c>
      <c r="L5" s="170" t="n">
        <v>26.5</v>
      </c>
      <c r="M5" s="171" t="n">
        <f aca="false">J5*E_Data!$B$4/1000</f>
        <v>0</v>
      </c>
      <c r="N5" s="172" t="str">
        <f aca="false">IF(L5=0,"N/A",IF(K5=0,"No data",IF(K5&lt;=L5*1.05,"✓ Good",IF(K5&lt;=L5*1.15,"⚠ Alert","🔴 High"))))</f>
        <v>No data</v>
      </c>
      <c r="O5" s="173"/>
    </row>
    <row r="6" customFormat="false" ht="12.75" hidden="false" customHeight="true" outlineLevel="0" collapsed="false">
      <c r="A6" s="67" t="s">
        <v>717</v>
      </c>
      <c r="B6" s="113" t="s">
        <v>718</v>
      </c>
      <c r="C6" s="169" t="s">
        <v>719</v>
      </c>
      <c r="D6" s="113" t="n">
        <v>5500</v>
      </c>
      <c r="E6" s="113" t="n">
        <v>3220</v>
      </c>
      <c r="F6" s="113" t="n">
        <v>2280</v>
      </c>
      <c r="G6" s="113" t="n">
        <v>100</v>
      </c>
      <c r="H6" s="113" t="s">
        <v>714</v>
      </c>
      <c r="I6" s="114" t="n">
        <v>0</v>
      </c>
      <c r="J6" s="114" t="n">
        <v>0</v>
      </c>
      <c r="K6" s="115" t="n">
        <f aca="false">IFERROR(J6/I6*100,0)</f>
        <v>0</v>
      </c>
      <c r="L6" s="170" t="n">
        <v>18</v>
      </c>
      <c r="M6" s="171" t="n">
        <f aca="false">J6*E_Data!$B$4/1000</f>
        <v>0</v>
      </c>
      <c r="N6" s="172" t="str">
        <f aca="false">IF(L6=0,"N/A",IF(K6=0,"No data",IF(K6&lt;=L6*1.05,"✓ Good",IF(K6&lt;=L6*1.15,"⚠ Alert","🔴 High"))))</f>
        <v>No data</v>
      </c>
      <c r="O6" s="173"/>
    </row>
    <row r="7" customFormat="false" ht="12.75" hidden="false" customHeight="true" outlineLevel="0" collapsed="false">
      <c r="A7" s="67" t="s">
        <v>720</v>
      </c>
      <c r="B7" s="113" t="s">
        <v>712</v>
      </c>
      <c r="C7" s="169" t="s">
        <v>721</v>
      </c>
      <c r="D7" s="113" t="n">
        <v>8000</v>
      </c>
      <c r="E7" s="113" t="n">
        <v>4180</v>
      </c>
      <c r="F7" s="113" t="n">
        <v>3820</v>
      </c>
      <c r="G7" s="113" t="n">
        <v>200</v>
      </c>
      <c r="H7" s="113" t="s">
        <v>714</v>
      </c>
      <c r="I7" s="114" t="n">
        <v>0</v>
      </c>
      <c r="J7" s="114" t="n">
        <v>0</v>
      </c>
      <c r="K7" s="115" t="n">
        <f aca="false">IFERROR(J7/I7*100,0)</f>
        <v>0</v>
      </c>
      <c r="L7" s="170" t="n">
        <v>22</v>
      </c>
      <c r="M7" s="171" t="n">
        <f aca="false">J7*E_Data!$B$4/1000</f>
        <v>0</v>
      </c>
      <c r="N7" s="172" t="str">
        <f aca="false">IF(L7=0,"N/A",IF(K7=0,"No data",IF(K7&lt;=L7*1.05,"✓ Good",IF(K7&lt;=L7*1.15,"⚠ Alert","🔴 High"))))</f>
        <v>No data</v>
      </c>
      <c r="O7" s="173"/>
    </row>
    <row r="8" customFormat="false" ht="12.75" hidden="false" customHeight="true" outlineLevel="0" collapsed="false">
      <c r="A8" s="67" t="s">
        <v>722</v>
      </c>
      <c r="B8" s="113" t="s">
        <v>712</v>
      </c>
      <c r="C8" s="169" t="s">
        <v>721</v>
      </c>
      <c r="D8" s="113" t="n">
        <v>8000</v>
      </c>
      <c r="E8" s="113" t="n">
        <v>4180</v>
      </c>
      <c r="F8" s="113" t="n">
        <v>3820</v>
      </c>
      <c r="G8" s="113" t="n">
        <v>200</v>
      </c>
      <c r="H8" s="113" t="s">
        <v>714</v>
      </c>
      <c r="I8" s="114" t="n">
        <v>0</v>
      </c>
      <c r="J8" s="114" t="n">
        <v>0</v>
      </c>
      <c r="K8" s="115" t="n">
        <f aca="false">IFERROR(J8/I8*100,0)</f>
        <v>0</v>
      </c>
      <c r="L8" s="170" t="n">
        <v>22</v>
      </c>
      <c r="M8" s="171" t="n">
        <f aca="false">J8*E_Data!$B$4/1000</f>
        <v>0</v>
      </c>
      <c r="N8" s="172" t="str">
        <f aca="false">IF(L8=0,"N/A",IF(K8=0,"No data",IF(K8&lt;=L8*1.05,"✓ Good",IF(K8&lt;=L8*1.15,"⚠ Alert","🔴 High"))))</f>
        <v>No data</v>
      </c>
      <c r="O8" s="173"/>
    </row>
    <row r="9" customFormat="false" ht="12.75" hidden="false" customHeight="true" outlineLevel="0" collapsed="false">
      <c r="A9" s="67" t="s">
        <v>723</v>
      </c>
      <c r="B9" s="113" t="s">
        <v>718</v>
      </c>
      <c r="C9" s="169" t="s">
        <v>724</v>
      </c>
      <c r="D9" s="113" t="n">
        <v>16000</v>
      </c>
      <c r="E9" s="113" t="n">
        <v>8180</v>
      </c>
      <c r="F9" s="113" t="n">
        <v>7820</v>
      </c>
      <c r="G9" s="113" t="n">
        <v>390</v>
      </c>
      <c r="H9" s="113" t="s">
        <v>714</v>
      </c>
      <c r="I9" s="114" t="n">
        <v>0</v>
      </c>
      <c r="J9" s="114" t="n">
        <v>0</v>
      </c>
      <c r="K9" s="115" t="n">
        <f aca="false">IFERROR(J9/I9*100,0)</f>
        <v>0</v>
      </c>
      <c r="L9" s="170" t="n">
        <v>26.5</v>
      </c>
      <c r="M9" s="171" t="n">
        <f aca="false">J9*E_Data!$B$4/1000</f>
        <v>0</v>
      </c>
      <c r="N9" s="172" t="str">
        <f aca="false">IF(L9=0,"N/A",IF(K9=0,"No data",IF(K9&lt;=L9*1.05,"✓ Good",IF(K9&lt;=L9*1.15,"⚠ Alert","🔴 High"))))</f>
        <v>No data</v>
      </c>
      <c r="O9" s="173"/>
    </row>
    <row r="10" customFormat="false" ht="12.75" hidden="false" customHeight="true" outlineLevel="0" collapsed="false">
      <c r="A10" s="67" t="s">
        <v>725</v>
      </c>
      <c r="B10" s="113" t="s">
        <v>718</v>
      </c>
      <c r="C10" s="169" t="s">
        <v>724</v>
      </c>
      <c r="D10" s="113" t="n">
        <v>16000</v>
      </c>
      <c r="E10" s="113" t="n">
        <v>8180</v>
      </c>
      <c r="F10" s="113" t="n">
        <v>7820</v>
      </c>
      <c r="G10" s="113" t="n">
        <v>390</v>
      </c>
      <c r="H10" s="113" t="s">
        <v>714</v>
      </c>
      <c r="I10" s="114" t="n">
        <v>0</v>
      </c>
      <c r="J10" s="114" t="n">
        <v>0</v>
      </c>
      <c r="K10" s="115" t="n">
        <f aca="false">IFERROR(J10/I10*100,0)</f>
        <v>0</v>
      </c>
      <c r="L10" s="170" t="n">
        <v>26.5</v>
      </c>
      <c r="M10" s="171" t="n">
        <f aca="false">J10*E_Data!$B$4/1000</f>
        <v>0</v>
      </c>
      <c r="N10" s="172" t="str">
        <f aca="false">IF(L10=0,"N/A",IF(K10=0,"No data",IF(K10&lt;=L10*1.05,"✓ Good",IF(K10&lt;=L10*1.15,"⚠ Alert","🔴 High"))))</f>
        <v>No data</v>
      </c>
      <c r="O10" s="173"/>
    </row>
    <row r="11" customFormat="false" ht="12.75" hidden="false" customHeight="true" outlineLevel="0" collapsed="false">
      <c r="A11" s="67" t="s">
        <v>726</v>
      </c>
      <c r="B11" s="113" t="s">
        <v>712</v>
      </c>
      <c r="C11" s="169" t="s">
        <v>716</v>
      </c>
      <c r="D11" s="113" t="n">
        <v>16000</v>
      </c>
      <c r="E11" s="113" t="n">
        <v>8180</v>
      </c>
      <c r="F11" s="113" t="n">
        <v>7820</v>
      </c>
      <c r="G11" s="113" t="n">
        <v>390</v>
      </c>
      <c r="H11" s="113" t="s">
        <v>714</v>
      </c>
      <c r="I11" s="114" t="n">
        <v>0</v>
      </c>
      <c r="J11" s="114" t="n">
        <v>0</v>
      </c>
      <c r="K11" s="115" t="n">
        <f aca="false">IFERROR(J11/I11*100,0)</f>
        <v>0</v>
      </c>
      <c r="L11" s="170" t="n">
        <v>26.5</v>
      </c>
      <c r="M11" s="171" t="n">
        <f aca="false">J11*E_Data!$B$4/1000</f>
        <v>0</v>
      </c>
      <c r="N11" s="172" t="str">
        <f aca="false">IF(L11=0,"N/A",IF(K11=0,"No data",IF(K11&lt;=L11*1.05,"✓ Good",IF(K11&lt;=L11*1.15,"⚠ Alert","🔴 High"))))</f>
        <v>No data</v>
      </c>
      <c r="O11" s="173"/>
    </row>
    <row r="12" customFormat="false" ht="12.75" hidden="false" customHeight="true" outlineLevel="0" collapsed="false">
      <c r="A12" s="67" t="s">
        <v>727</v>
      </c>
      <c r="B12" s="113" t="s">
        <v>718</v>
      </c>
      <c r="C12" s="169" t="s">
        <v>728</v>
      </c>
      <c r="D12" s="113" t="n">
        <v>25380</v>
      </c>
      <c r="E12" s="113" t="n">
        <v>9360</v>
      </c>
      <c r="F12" s="113" t="n">
        <v>16020</v>
      </c>
      <c r="G12" s="113" t="n">
        <v>390</v>
      </c>
      <c r="H12" s="113" t="s">
        <v>714</v>
      </c>
      <c r="I12" s="114" t="n">
        <v>0</v>
      </c>
      <c r="J12" s="114" t="n">
        <v>0</v>
      </c>
      <c r="K12" s="115" t="n">
        <f aca="false">IFERROR(J12/I12*100,0)</f>
        <v>0</v>
      </c>
      <c r="L12" s="170" t="n">
        <v>26.5</v>
      </c>
      <c r="M12" s="171" t="n">
        <f aca="false">J12*E_Data!$B$4/1000</f>
        <v>0</v>
      </c>
      <c r="N12" s="172" t="str">
        <f aca="false">IF(L12=0,"N/A",IF(K12=0,"No data",IF(K12&lt;=L12*1.05,"✓ Good",IF(K12&lt;=L12*1.15,"⚠ Alert","🔴 High"))))</f>
        <v>No data</v>
      </c>
      <c r="O12" s="173"/>
    </row>
    <row r="13" customFormat="false" ht="12.75" hidden="false" customHeight="true" outlineLevel="0" collapsed="false">
      <c r="A13" s="67" t="s">
        <v>729</v>
      </c>
      <c r="B13" s="113" t="s">
        <v>718</v>
      </c>
      <c r="C13" s="169" t="s">
        <v>730</v>
      </c>
      <c r="D13" s="113" t="n">
        <v>25380</v>
      </c>
      <c r="E13" s="113" t="n">
        <v>9360</v>
      </c>
      <c r="F13" s="113" t="n">
        <v>16020</v>
      </c>
      <c r="G13" s="113" t="n">
        <v>390</v>
      </c>
      <c r="H13" s="113" t="s">
        <v>714</v>
      </c>
      <c r="I13" s="114" t="n">
        <v>0</v>
      </c>
      <c r="J13" s="114" t="n">
        <v>0</v>
      </c>
      <c r="K13" s="115" t="n">
        <f aca="false">IFERROR(J13/I13*100,0)</f>
        <v>0</v>
      </c>
      <c r="L13" s="170" t="n">
        <v>26.5</v>
      </c>
      <c r="M13" s="171" t="n">
        <f aca="false">J13*E_Data!$B$4/1000</f>
        <v>0</v>
      </c>
      <c r="N13" s="172" t="str">
        <f aca="false">IF(L13=0,"N/A",IF(K13=0,"No data",IF(K13&lt;=L13*1.05,"✓ Good",IF(K13&lt;=L13*1.15,"⚠ Alert","🔴 High"))))</f>
        <v>No data</v>
      </c>
      <c r="O13" s="173"/>
    </row>
    <row r="14" customFormat="false" ht="12.75" hidden="false" customHeight="true" outlineLevel="0" collapsed="false">
      <c r="A14" s="67" t="s">
        <v>731</v>
      </c>
      <c r="B14" s="113" t="s">
        <v>718</v>
      </c>
      <c r="C14" s="169" t="s">
        <v>732</v>
      </c>
      <c r="D14" s="113" t="n">
        <v>25380</v>
      </c>
      <c r="E14" s="113" t="n">
        <v>9340</v>
      </c>
      <c r="F14" s="113" t="n">
        <v>16040</v>
      </c>
      <c r="G14" s="113" t="n">
        <v>390</v>
      </c>
      <c r="H14" s="113" t="s">
        <v>714</v>
      </c>
      <c r="I14" s="114" t="n">
        <v>0</v>
      </c>
      <c r="J14" s="114" t="n">
        <v>0</v>
      </c>
      <c r="K14" s="115" t="n">
        <f aca="false">IFERROR(J14/I14*100,0)</f>
        <v>0</v>
      </c>
      <c r="L14" s="170" t="n">
        <v>26.5</v>
      </c>
      <c r="M14" s="171" t="n">
        <f aca="false">J14*E_Data!$B$4/1000</f>
        <v>0</v>
      </c>
      <c r="N14" s="172" t="str">
        <f aca="false">IF(L14=0,"N/A",IF(K14=0,"No data",IF(K14&lt;=L14*1.05,"✓ Good",IF(K14&lt;=L14*1.15,"⚠ Alert","🔴 High"))))</f>
        <v>No data</v>
      </c>
      <c r="O14" s="173"/>
    </row>
    <row r="15" customFormat="false" ht="12.75" hidden="false" customHeight="true" outlineLevel="0" collapsed="false">
      <c r="A15" s="67" t="s">
        <v>733</v>
      </c>
      <c r="B15" s="113" t="s">
        <v>712</v>
      </c>
      <c r="C15" s="169" t="s">
        <v>734</v>
      </c>
      <c r="D15" s="113" t="n">
        <v>42000</v>
      </c>
      <c r="E15" s="113" t="n">
        <v>9060</v>
      </c>
      <c r="F15" s="113" t="n">
        <v>32940</v>
      </c>
      <c r="G15" s="113" t="n">
        <v>1000</v>
      </c>
      <c r="H15" s="113" t="s">
        <v>714</v>
      </c>
      <c r="I15" s="114" t="n">
        <v>0</v>
      </c>
      <c r="J15" s="114" t="n">
        <v>0</v>
      </c>
      <c r="K15" s="115" t="n">
        <f aca="false">IFERROR(J15/I15*100,0)</f>
        <v>0</v>
      </c>
      <c r="L15" s="170" t="n">
        <v>55</v>
      </c>
      <c r="M15" s="171" t="n">
        <f aca="false">J15*E_Data!$B$4/1000</f>
        <v>0</v>
      </c>
      <c r="N15" s="172" t="str">
        <f aca="false">IF(L15=0,"N/A",IF(K15=0,"No data",IF(K15&lt;=L15*1.05,"✓ Good",IF(K15&lt;=L15*1.15,"⚠ Alert","🔴 High"))))</f>
        <v>No data</v>
      </c>
      <c r="O15" s="173"/>
    </row>
    <row r="16" customFormat="false" ht="12.75" hidden="false" customHeight="true" outlineLevel="0" collapsed="false">
      <c r="A16" s="67" t="s">
        <v>735</v>
      </c>
      <c r="B16" s="113" t="s">
        <v>712</v>
      </c>
      <c r="C16" s="169" t="s">
        <v>736</v>
      </c>
      <c r="D16" s="113" t="n">
        <v>42000</v>
      </c>
      <c r="E16" s="113" t="n">
        <v>9060</v>
      </c>
      <c r="F16" s="113" t="n">
        <v>32940</v>
      </c>
      <c r="G16" s="113" t="n">
        <v>1000</v>
      </c>
      <c r="H16" s="113" t="s">
        <v>714</v>
      </c>
      <c r="I16" s="114" t="n">
        <v>0</v>
      </c>
      <c r="J16" s="114" t="n">
        <v>0</v>
      </c>
      <c r="K16" s="115" t="n">
        <f aca="false">IFERROR(J16/I16*100,0)</f>
        <v>0</v>
      </c>
      <c r="L16" s="170" t="n">
        <v>55</v>
      </c>
      <c r="M16" s="171" t="n">
        <f aca="false">J16*E_Data!$B$4/1000</f>
        <v>0</v>
      </c>
      <c r="N16" s="172" t="str">
        <f aca="false">IF(L16=0,"N/A",IF(K16=0,"No data",IF(K16&lt;=L16*1.05,"✓ Good",IF(K16&lt;=L16*1.15,"⚠ Alert","🔴 High"))))</f>
        <v>No data</v>
      </c>
      <c r="O16" s="173"/>
    </row>
    <row r="17" customFormat="false" ht="12.75" hidden="false" customHeight="true" outlineLevel="0" collapsed="false">
      <c r="A17" s="67" t="s">
        <v>737</v>
      </c>
      <c r="B17" s="113" t="s">
        <v>712</v>
      </c>
      <c r="C17" s="169" t="s">
        <v>738</v>
      </c>
      <c r="D17" s="113" t="n">
        <v>42000</v>
      </c>
      <c r="E17" s="113" t="n">
        <v>10500</v>
      </c>
      <c r="F17" s="113" t="n">
        <v>31500</v>
      </c>
      <c r="G17" s="113" t="n">
        <v>0</v>
      </c>
      <c r="H17" s="113" t="s">
        <v>714</v>
      </c>
      <c r="I17" s="114" t="n">
        <v>0</v>
      </c>
      <c r="J17" s="114" t="n">
        <v>0</v>
      </c>
      <c r="K17" s="115" t="n">
        <f aca="false">IFERROR(J17/I17*100,0)</f>
        <v>0</v>
      </c>
      <c r="L17" s="170" t="n">
        <v>0</v>
      </c>
      <c r="M17" s="171" t="n">
        <f aca="false">J17*E_Data!$B$4/1000</f>
        <v>0</v>
      </c>
      <c r="N17" s="172" t="str">
        <f aca="false">IF(L17=0,"N/A",IF(K17=0,"No data",IF(K17&lt;=L17*1.05,"✓ Good",IF(K17&lt;=L17*1.15,"⚠ Alert","🔴 High"))))</f>
        <v>N/A</v>
      </c>
      <c r="O17" s="173"/>
    </row>
    <row r="18" customFormat="false" ht="12.75" hidden="false" customHeight="true" outlineLevel="0" collapsed="false">
      <c r="A18" s="67" t="s">
        <v>739</v>
      </c>
      <c r="B18" s="113" t="s">
        <v>740</v>
      </c>
      <c r="C18" s="169" t="s">
        <v>736</v>
      </c>
      <c r="D18" s="113" t="n">
        <v>42000</v>
      </c>
      <c r="E18" s="113" t="n">
        <v>9060</v>
      </c>
      <c r="F18" s="113" t="n">
        <v>32940</v>
      </c>
      <c r="G18" s="113" t="n">
        <v>1000</v>
      </c>
      <c r="H18" s="113" t="s">
        <v>714</v>
      </c>
      <c r="I18" s="114" t="n">
        <v>0</v>
      </c>
      <c r="J18" s="114" t="n">
        <v>0</v>
      </c>
      <c r="K18" s="115" t="n">
        <f aca="false">IFERROR(J18/I18*100,0)</f>
        <v>0</v>
      </c>
      <c r="L18" s="170" t="n">
        <v>55</v>
      </c>
      <c r="M18" s="171" t="n">
        <f aca="false">J18*E_Data!$B$4/1000</f>
        <v>0</v>
      </c>
      <c r="N18" s="172" t="str">
        <f aca="false">IF(L18=0,"N/A",IF(K18=0,"No data",IF(K18&lt;=L18*1.05,"✓ Good",IF(K18&lt;=L18*1.15,"⚠ Alert","🔴 High"))))</f>
        <v>No data</v>
      </c>
      <c r="O18" s="173"/>
    </row>
    <row r="19" customFormat="false" ht="12.75" hidden="false" customHeight="true" outlineLevel="0" collapsed="false">
      <c r="A19" s="67" t="s">
        <v>741</v>
      </c>
      <c r="B19" s="113" t="s">
        <v>742</v>
      </c>
      <c r="C19" s="169" t="s">
        <v>730</v>
      </c>
      <c r="D19" s="113" t="n">
        <v>25380</v>
      </c>
      <c r="E19" s="113" t="n">
        <v>9320</v>
      </c>
      <c r="F19" s="113" t="n">
        <v>16060</v>
      </c>
      <c r="G19" s="113" t="n">
        <v>390</v>
      </c>
      <c r="H19" s="113" t="s">
        <v>714</v>
      </c>
      <c r="I19" s="114" t="n">
        <v>0</v>
      </c>
      <c r="J19" s="114" t="n">
        <v>0</v>
      </c>
      <c r="K19" s="115" t="n">
        <f aca="false">IFERROR(J19/I19*100,0)</f>
        <v>0</v>
      </c>
      <c r="L19" s="170" t="n">
        <v>26.5</v>
      </c>
      <c r="M19" s="171" t="n">
        <f aca="false">J19*E_Data!$B$4/1000</f>
        <v>0</v>
      </c>
      <c r="N19" s="172" t="str">
        <f aca="false">IF(L19=0,"N/A",IF(K19=0,"No data",IF(K19&lt;=L19*1.05,"✓ Good",IF(K19&lt;=L19*1.15,"⚠ Alert","🔴 High"))))</f>
        <v>No data</v>
      </c>
      <c r="O19" s="173"/>
    </row>
    <row r="21" customFormat="false" ht="15" hidden="false" customHeight="true" outlineLevel="0" collapsed="false">
      <c r="A21" s="118" t="s">
        <v>743</v>
      </c>
      <c r="B21" s="118"/>
      <c r="C21" s="118"/>
      <c r="D21" s="118"/>
      <c r="E21" s="118"/>
      <c r="F21" s="118"/>
      <c r="G21" s="118"/>
      <c r="H21" s="118"/>
    </row>
    <row r="22" customFormat="false" ht="21.75" hidden="false" customHeight="true" outlineLevel="0" collapsed="false">
      <c r="A22" s="111" t="s">
        <v>619</v>
      </c>
      <c r="B22" s="111" t="s">
        <v>744</v>
      </c>
      <c r="C22" s="111" t="s">
        <v>745</v>
      </c>
      <c r="D22" s="111" t="s">
        <v>746</v>
      </c>
      <c r="E22" s="111" t="s">
        <v>747</v>
      </c>
      <c r="F22" s="111" t="s">
        <v>748</v>
      </c>
      <c r="G22" s="111" t="s">
        <v>749</v>
      </c>
      <c r="H22" s="111" t="s">
        <v>750</v>
      </c>
    </row>
    <row r="23" customFormat="false" ht="12.75" hidden="false" customHeight="true" outlineLevel="0" collapsed="false">
      <c r="A23" s="174" t="s">
        <v>718</v>
      </c>
      <c r="B23" s="174" t="s">
        <v>751</v>
      </c>
      <c r="C23" s="174" t="s">
        <v>752</v>
      </c>
      <c r="D23" s="174" t="s">
        <v>753</v>
      </c>
      <c r="E23" s="174" t="s">
        <v>752</v>
      </c>
      <c r="F23" s="174" t="s">
        <v>754</v>
      </c>
      <c r="G23" s="174" t="s">
        <v>755</v>
      </c>
      <c r="H23" s="174" t="s">
        <v>754</v>
      </c>
    </row>
    <row r="24" customFormat="false" ht="12.75" hidden="false" customHeight="true" outlineLevel="0" collapsed="false">
      <c r="A24" s="174" t="s">
        <v>740</v>
      </c>
      <c r="B24" s="174" t="s">
        <v>756</v>
      </c>
      <c r="C24" s="174" t="s">
        <v>752</v>
      </c>
      <c r="D24" s="174" t="s">
        <v>752</v>
      </c>
      <c r="E24" s="174" t="s">
        <v>757</v>
      </c>
      <c r="F24" s="174" t="s">
        <v>757</v>
      </c>
      <c r="G24" s="174" t="s">
        <v>755</v>
      </c>
      <c r="H24" s="174" t="s">
        <v>754</v>
      </c>
    </row>
    <row r="25" customFormat="false" ht="12.75" hidden="false" customHeight="true" outlineLevel="0" collapsed="false">
      <c r="A25" s="174" t="s">
        <v>758</v>
      </c>
      <c r="B25" s="174" t="s">
        <v>759</v>
      </c>
      <c r="C25" s="174" t="s">
        <v>757</v>
      </c>
      <c r="D25" s="174" t="s">
        <v>760</v>
      </c>
      <c r="E25" s="174" t="s">
        <v>757</v>
      </c>
      <c r="F25" s="174" t="s">
        <v>754</v>
      </c>
      <c r="G25" s="174" t="s">
        <v>755</v>
      </c>
      <c r="H25" s="174" t="s">
        <v>754</v>
      </c>
    </row>
    <row r="26" customFormat="false" ht="12.75" hidden="false" customHeight="true" outlineLevel="0" collapsed="false">
      <c r="A26" s="174" t="s">
        <v>742</v>
      </c>
      <c r="B26" s="174" t="s">
        <v>761</v>
      </c>
      <c r="C26" s="174" t="s">
        <v>754</v>
      </c>
      <c r="D26" s="174" t="s">
        <v>762</v>
      </c>
      <c r="E26" s="174" t="s">
        <v>757</v>
      </c>
      <c r="F26" s="174" t="s">
        <v>752</v>
      </c>
      <c r="G26" s="174" t="s">
        <v>754</v>
      </c>
      <c r="H26" s="174" t="s">
        <v>754</v>
      </c>
    </row>
    <row r="27" customFormat="false" ht="12.75" hidden="false" customHeight="true" outlineLevel="0" collapsed="false">
      <c r="A27" s="174" t="s">
        <v>712</v>
      </c>
      <c r="B27" s="174" t="s">
        <v>763</v>
      </c>
      <c r="C27" s="174" t="s">
        <v>764</v>
      </c>
      <c r="D27" s="174" t="s">
        <v>753</v>
      </c>
      <c r="E27" s="174" t="s">
        <v>765</v>
      </c>
      <c r="F27" s="174" t="s">
        <v>760</v>
      </c>
      <c r="G27" s="174" t="s">
        <v>766</v>
      </c>
      <c r="H27" s="174" t="s">
        <v>754</v>
      </c>
    </row>
    <row r="28" customFormat="false" ht="12.75" hidden="false" customHeight="true" outlineLevel="0" collapsed="false">
      <c r="A28" s="175" t="s">
        <v>384</v>
      </c>
      <c r="B28" s="175" t="s">
        <v>767</v>
      </c>
      <c r="C28" s="175" t="s">
        <v>759</v>
      </c>
      <c r="D28" s="175" t="s">
        <v>768</v>
      </c>
      <c r="E28" s="175" t="s">
        <v>769</v>
      </c>
      <c r="F28" s="175" t="s">
        <v>770</v>
      </c>
      <c r="G28" s="175" t="s">
        <v>771</v>
      </c>
      <c r="H28" s="175" t="s">
        <v>754</v>
      </c>
    </row>
    <row r="30" customFormat="false" ht="15" hidden="false" customHeight="true" outlineLevel="0" collapsed="false">
      <c r="A30" s="176" t="s">
        <v>772</v>
      </c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</row>
    <row r="31" customFormat="false" ht="21.75" hidden="false" customHeight="true" outlineLevel="0" collapsed="false">
      <c r="A31" s="123" t="s">
        <v>773</v>
      </c>
      <c r="B31" s="123" t="s">
        <v>774</v>
      </c>
      <c r="C31" s="123" t="s">
        <v>775</v>
      </c>
      <c r="D31" s="123" t="s">
        <v>776</v>
      </c>
      <c r="E31" s="123" t="s">
        <v>777</v>
      </c>
      <c r="F31" s="123" t="s">
        <v>778</v>
      </c>
      <c r="G31" s="123" t="s">
        <v>779</v>
      </c>
    </row>
    <row r="32" customFormat="false" ht="12.75" hidden="false" customHeight="true" outlineLevel="0" collapsed="false">
      <c r="A32" s="177" t="s">
        <v>780</v>
      </c>
      <c r="B32" s="99" t="s">
        <v>781</v>
      </c>
      <c r="C32" s="99" t="s">
        <v>782</v>
      </c>
      <c r="D32" s="154" t="n">
        <v>35</v>
      </c>
      <c r="E32" s="178" t="n">
        <f aca="false">E_Data!$B$7*35/330/1000</f>
        <v>8.6969696969697E-005</v>
      </c>
      <c r="F32" s="179" t="n">
        <f aca="false">IFERROR(D32*0.0001,0)</f>
        <v>0.0035</v>
      </c>
      <c r="G32" s="180" t="s">
        <v>783</v>
      </c>
    </row>
    <row r="33" customFormat="false" ht="12.75" hidden="false" customHeight="true" outlineLevel="0" collapsed="false">
      <c r="A33" s="177" t="s">
        <v>784</v>
      </c>
      <c r="B33" s="99" t="s">
        <v>785</v>
      </c>
      <c r="C33" s="99" t="s">
        <v>786</v>
      </c>
      <c r="D33" s="154" t="n">
        <v>42</v>
      </c>
      <c r="E33" s="178" t="n">
        <f aca="false">E_Data!$B$7*42/320/1000</f>
        <v>0.000107625</v>
      </c>
      <c r="F33" s="179" t="n">
        <f aca="false">IFERROR(D33*0.0001,0)</f>
        <v>0.0042</v>
      </c>
      <c r="G33" s="180" t="s">
        <v>787</v>
      </c>
    </row>
  </sheetData>
  <mergeCells count="3">
    <mergeCell ref="A1:O1"/>
    <mergeCell ref="A21:H21"/>
    <mergeCell ref="A30:O30"/>
  </mergeCells>
  <conditionalFormatting sqref="K4">
    <cfRule type="cellIs" priority="2" operator="greaterThan" aboveAverage="0" equalAverage="0" bottom="0" percent="0" rank="0" text="" dxfId="3">
      <formula>L4*1.15</formula>
    </cfRule>
    <cfRule type="cellIs" priority="3" operator="between" aboveAverage="0" equalAverage="0" bottom="0" percent="0" rank="0" text="" dxfId="4">
      <formula>L4*1.05</formula>
      <formula>L4*1.15</formula>
    </cfRule>
  </conditionalFormatting>
  <conditionalFormatting sqref="K5">
    <cfRule type="cellIs" priority="4" operator="greaterThan" aboveAverage="0" equalAverage="0" bottom="0" percent="0" rank="0" text="" dxfId="3">
      <formula>L5*1.15</formula>
    </cfRule>
    <cfRule type="cellIs" priority="5" operator="between" aboveAverage="0" equalAverage="0" bottom="0" percent="0" rank="0" text="" dxfId="4">
      <formula>L5*1.05</formula>
      <formula>L5*1.15</formula>
    </cfRule>
  </conditionalFormatting>
  <conditionalFormatting sqref="K6">
    <cfRule type="cellIs" priority="6" operator="greaterThan" aboveAverage="0" equalAverage="0" bottom="0" percent="0" rank="0" text="" dxfId="3">
      <formula>L6*1.15</formula>
    </cfRule>
    <cfRule type="cellIs" priority="7" operator="between" aboveAverage="0" equalAverage="0" bottom="0" percent="0" rank="0" text="" dxfId="4">
      <formula>L6*1.05</formula>
      <formula>L6*1.15</formula>
    </cfRule>
  </conditionalFormatting>
  <conditionalFormatting sqref="K7">
    <cfRule type="cellIs" priority="8" operator="greaterThan" aboveAverage="0" equalAverage="0" bottom="0" percent="0" rank="0" text="" dxfId="3">
      <formula>L7*1.15</formula>
    </cfRule>
    <cfRule type="cellIs" priority="9" operator="between" aboveAverage="0" equalAverage="0" bottom="0" percent="0" rank="0" text="" dxfId="4">
      <formula>L7*1.05</formula>
      <formula>L7*1.15</formula>
    </cfRule>
  </conditionalFormatting>
  <conditionalFormatting sqref="K8">
    <cfRule type="cellIs" priority="10" operator="greaterThan" aboveAverage="0" equalAverage="0" bottom="0" percent="0" rank="0" text="" dxfId="3">
      <formula>L8*1.15</formula>
    </cfRule>
    <cfRule type="cellIs" priority="11" operator="between" aboveAverage="0" equalAverage="0" bottom="0" percent="0" rank="0" text="" dxfId="4">
      <formula>L8*1.05</formula>
      <formula>L8*1.15</formula>
    </cfRule>
  </conditionalFormatting>
  <conditionalFormatting sqref="K9">
    <cfRule type="cellIs" priority="12" operator="greaterThan" aboveAverage="0" equalAverage="0" bottom="0" percent="0" rank="0" text="" dxfId="3">
      <formula>L9*1.15</formula>
    </cfRule>
    <cfRule type="cellIs" priority="13" operator="between" aboveAverage="0" equalAverage="0" bottom="0" percent="0" rank="0" text="" dxfId="4">
      <formula>L9*1.05</formula>
      <formula>L9*1.15</formula>
    </cfRule>
  </conditionalFormatting>
  <conditionalFormatting sqref="K10">
    <cfRule type="cellIs" priority="14" operator="greaterThan" aboveAverage="0" equalAverage="0" bottom="0" percent="0" rank="0" text="" dxfId="3">
      <formula>L10*1.15</formula>
    </cfRule>
    <cfRule type="cellIs" priority="15" operator="between" aboveAverage="0" equalAverage="0" bottom="0" percent="0" rank="0" text="" dxfId="4">
      <formula>L10*1.05</formula>
      <formula>L10*1.15</formula>
    </cfRule>
  </conditionalFormatting>
  <conditionalFormatting sqref="K11">
    <cfRule type="cellIs" priority="16" operator="greaterThan" aboveAverage="0" equalAverage="0" bottom="0" percent="0" rank="0" text="" dxfId="3">
      <formula>L11*1.15</formula>
    </cfRule>
    <cfRule type="cellIs" priority="17" operator="between" aboveAverage="0" equalAverage="0" bottom="0" percent="0" rank="0" text="" dxfId="4">
      <formula>L11*1.05</formula>
      <formula>L11*1.15</formula>
    </cfRule>
  </conditionalFormatting>
  <conditionalFormatting sqref="K12">
    <cfRule type="cellIs" priority="18" operator="greaterThan" aboveAverage="0" equalAverage="0" bottom="0" percent="0" rank="0" text="" dxfId="3">
      <formula>L12*1.15</formula>
    </cfRule>
    <cfRule type="cellIs" priority="19" operator="between" aboveAverage="0" equalAverage="0" bottom="0" percent="0" rank="0" text="" dxfId="4">
      <formula>L12*1.05</formula>
      <formula>L12*1.15</formula>
    </cfRule>
  </conditionalFormatting>
  <conditionalFormatting sqref="K13">
    <cfRule type="cellIs" priority="20" operator="greaterThan" aboveAverage="0" equalAverage="0" bottom="0" percent="0" rank="0" text="" dxfId="3">
      <formula>L13*1.15</formula>
    </cfRule>
    <cfRule type="cellIs" priority="21" operator="between" aboveAverage="0" equalAverage="0" bottom="0" percent="0" rank="0" text="" dxfId="4">
      <formula>L13*1.05</formula>
      <formula>L13*1.15</formula>
    </cfRule>
  </conditionalFormatting>
  <conditionalFormatting sqref="K14">
    <cfRule type="cellIs" priority="22" operator="greaterThan" aboveAverage="0" equalAverage="0" bottom="0" percent="0" rank="0" text="" dxfId="3">
      <formula>L14*1.15</formula>
    </cfRule>
    <cfRule type="cellIs" priority="23" operator="between" aboveAverage="0" equalAverage="0" bottom="0" percent="0" rank="0" text="" dxfId="4">
      <formula>L14*1.05</formula>
      <formula>L14*1.15</formula>
    </cfRule>
  </conditionalFormatting>
  <conditionalFormatting sqref="K15">
    <cfRule type="cellIs" priority="24" operator="greaterThan" aboveAverage="0" equalAverage="0" bottom="0" percent="0" rank="0" text="" dxfId="3">
      <formula>L15*1.15</formula>
    </cfRule>
    <cfRule type="cellIs" priority="25" operator="between" aboveAverage="0" equalAverage="0" bottom="0" percent="0" rank="0" text="" dxfId="4">
      <formula>L15*1.05</formula>
      <formula>L15*1.15</formula>
    </cfRule>
  </conditionalFormatting>
  <conditionalFormatting sqref="K16">
    <cfRule type="cellIs" priority="26" operator="greaterThan" aboveAverage="0" equalAverage="0" bottom="0" percent="0" rank="0" text="" dxfId="3">
      <formula>L16*1.15</formula>
    </cfRule>
    <cfRule type="cellIs" priority="27" operator="between" aboveAverage="0" equalAverage="0" bottom="0" percent="0" rank="0" text="" dxfId="4">
      <formula>L16*1.05</formula>
      <formula>L16*1.15</formula>
    </cfRule>
  </conditionalFormatting>
  <conditionalFormatting sqref="K17">
    <cfRule type="cellIs" priority="28" operator="greaterThan" aboveAverage="0" equalAverage="0" bottom="0" percent="0" rank="0" text="" dxfId="3">
      <formula>L17*1.15</formula>
    </cfRule>
    <cfRule type="cellIs" priority="29" operator="between" aboveAverage="0" equalAverage="0" bottom="0" percent="0" rank="0" text="" dxfId="4">
      <formula>L17*1.05</formula>
      <formula>L17*1.15</formula>
    </cfRule>
  </conditionalFormatting>
  <conditionalFormatting sqref="K18">
    <cfRule type="cellIs" priority="30" operator="greaterThan" aboveAverage="0" equalAverage="0" bottom="0" percent="0" rank="0" text="" dxfId="3">
      <formula>L18*1.15</formula>
    </cfRule>
    <cfRule type="cellIs" priority="31" operator="between" aboveAverage="0" equalAverage="0" bottom="0" percent="0" rank="0" text="" dxfId="4">
      <formula>L18*1.05</formula>
      <formula>L18*1.15</formula>
    </cfRule>
  </conditionalFormatting>
  <conditionalFormatting sqref="K19">
    <cfRule type="cellIs" priority="32" operator="greaterThan" aboveAverage="0" equalAverage="0" bottom="0" percent="0" rank="0" text="" dxfId="3">
      <formula>L19*1.15</formula>
    </cfRule>
    <cfRule type="cellIs" priority="33" operator="between" aboveAverage="0" equalAverage="0" bottom="0" percent="0" rank="0" text="" dxfId="4">
      <formula>L19*1.05</formula>
      <formula>L19*1.15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1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4" min="3" style="1" width="14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10" min="9" style="1" width="14"/>
    <col collapsed="false" customWidth="true" hidden="false" outlineLevel="0" max="12" min="11" style="1" width="16"/>
    <col collapsed="false" customWidth="true" hidden="false" outlineLevel="0" max="13" min="13" style="1" width="18"/>
    <col collapsed="false" customWidth="true" hidden="false" outlineLevel="0" max="14" min="14" style="1" width="14"/>
    <col collapsed="false" customWidth="true" hidden="false" outlineLevel="0" max="15" min="15" style="1" width="16"/>
  </cols>
  <sheetData>
    <row r="1" customFormat="false" ht="27.75" hidden="false" customHeight="true" outlineLevel="0" collapsed="false">
      <c r="A1" s="24" t="s">
        <v>788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customFormat="false" ht="27.75" hidden="false" customHeight="true" outlineLevel="0" collapsed="false">
      <c r="A2" s="22" t="s">
        <v>789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customFormat="false" ht="15" hidden="false" customHeight="true" outlineLevel="0" collapsed="false">
      <c r="A4" s="181" t="s">
        <v>790</v>
      </c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</row>
    <row r="5" customFormat="false" ht="37.5" hidden="false" customHeight="true" outlineLevel="0" collapsed="false">
      <c r="A5" s="182" t="s">
        <v>791</v>
      </c>
      <c r="B5" s="182" t="s">
        <v>420</v>
      </c>
      <c r="C5" s="182" t="s">
        <v>619</v>
      </c>
      <c r="D5" s="182" t="s">
        <v>792</v>
      </c>
      <c r="E5" s="182" t="s">
        <v>793</v>
      </c>
      <c r="F5" s="182" t="s">
        <v>794</v>
      </c>
      <c r="G5" s="182" t="s">
        <v>795</v>
      </c>
      <c r="H5" s="182" t="s">
        <v>796</v>
      </c>
      <c r="I5" s="182" t="s">
        <v>797</v>
      </c>
      <c r="J5" s="182" t="s">
        <v>798</v>
      </c>
      <c r="K5" s="182" t="s">
        <v>799</v>
      </c>
      <c r="L5" s="182" t="s">
        <v>800</v>
      </c>
      <c r="M5" s="182" t="s">
        <v>801</v>
      </c>
      <c r="N5" s="182" t="s">
        <v>802</v>
      </c>
      <c r="O5" s="182" t="s">
        <v>803</v>
      </c>
    </row>
    <row r="6" customFormat="false" ht="15" hidden="false" customHeight="true" outlineLevel="0" collapsed="false">
      <c r="A6" s="183" t="s">
        <v>804</v>
      </c>
      <c r="B6" s="184" t="s">
        <v>443</v>
      </c>
      <c r="C6" s="184" t="s">
        <v>742</v>
      </c>
      <c r="D6" s="184" t="s">
        <v>805</v>
      </c>
      <c r="E6" s="185" t="s">
        <v>806</v>
      </c>
      <c r="F6" s="184" t="s">
        <v>807</v>
      </c>
      <c r="G6" s="184" t="s">
        <v>808</v>
      </c>
      <c r="H6" s="184" t="s">
        <v>809</v>
      </c>
      <c r="I6" s="186" t="n">
        <v>2</v>
      </c>
      <c r="J6" s="187" t="n">
        <v>0.5</v>
      </c>
      <c r="K6" s="188" t="n">
        <f aca="false">IFERROR(I6*J6,0)</f>
        <v>1</v>
      </c>
      <c r="L6" s="184" t="s">
        <v>810</v>
      </c>
      <c r="M6" s="184" t="s">
        <v>811</v>
      </c>
      <c r="N6" s="184" t="s">
        <v>812</v>
      </c>
    </row>
    <row r="7" customFormat="false" ht="15" hidden="false" customHeight="true" outlineLevel="0" collapsed="false">
      <c r="A7" s="183" t="s">
        <v>813</v>
      </c>
      <c r="B7" s="184" t="s">
        <v>443</v>
      </c>
      <c r="C7" s="184" t="s">
        <v>742</v>
      </c>
      <c r="D7" s="184" t="s">
        <v>741</v>
      </c>
      <c r="E7" s="185" t="s">
        <v>814</v>
      </c>
      <c r="F7" s="184" t="s">
        <v>807</v>
      </c>
      <c r="G7" s="184" t="s">
        <v>815</v>
      </c>
      <c r="H7" s="184" t="s">
        <v>809</v>
      </c>
      <c r="I7" s="186" t="n">
        <v>1</v>
      </c>
      <c r="J7" s="187" t="n">
        <v>8</v>
      </c>
      <c r="K7" s="188" t="n">
        <f aca="false">IFERROR(I7*J7,0)</f>
        <v>8</v>
      </c>
      <c r="L7" s="184" t="s">
        <v>810</v>
      </c>
      <c r="M7" s="184" t="s">
        <v>811</v>
      </c>
      <c r="N7" s="184" t="s">
        <v>812</v>
      </c>
    </row>
    <row r="8" customFormat="false" ht="15" hidden="false" customHeight="true" outlineLevel="0" collapsed="false">
      <c r="A8" s="183" t="s">
        <v>816</v>
      </c>
      <c r="B8" s="184" t="s">
        <v>443</v>
      </c>
      <c r="C8" s="184" t="s">
        <v>742</v>
      </c>
      <c r="D8" s="184" t="s">
        <v>805</v>
      </c>
      <c r="E8" s="185" t="s">
        <v>817</v>
      </c>
      <c r="F8" s="184" t="s">
        <v>807</v>
      </c>
      <c r="G8" s="184" t="s">
        <v>808</v>
      </c>
      <c r="H8" s="184" t="s">
        <v>809</v>
      </c>
      <c r="I8" s="186" t="n">
        <v>37</v>
      </c>
      <c r="J8" s="187" t="n">
        <v>1.2</v>
      </c>
      <c r="K8" s="188" t="n">
        <f aca="false">IFERROR(I8*J8,0)</f>
        <v>44.4</v>
      </c>
      <c r="L8" s="184" t="s">
        <v>818</v>
      </c>
      <c r="M8" s="184" t="s">
        <v>811</v>
      </c>
      <c r="N8" s="184" t="s">
        <v>812</v>
      </c>
    </row>
    <row r="9" customFormat="false" ht="15" hidden="false" customHeight="true" outlineLevel="0" collapsed="false">
      <c r="A9" s="183" t="s">
        <v>819</v>
      </c>
      <c r="B9" s="184" t="s">
        <v>443</v>
      </c>
      <c r="C9" s="184" t="s">
        <v>742</v>
      </c>
      <c r="D9" s="184" t="s">
        <v>820</v>
      </c>
      <c r="E9" s="185" t="s">
        <v>821</v>
      </c>
      <c r="F9" s="184" t="s">
        <v>807</v>
      </c>
      <c r="G9" s="184" t="s">
        <v>822</v>
      </c>
      <c r="H9" s="184" t="s">
        <v>809</v>
      </c>
      <c r="I9" s="186" t="n">
        <v>55</v>
      </c>
      <c r="J9" s="187" t="n">
        <v>3.8</v>
      </c>
      <c r="K9" s="188" t="n">
        <f aca="false">IFERROR(I9*J9,0)</f>
        <v>209</v>
      </c>
      <c r="L9" s="184" t="s">
        <v>818</v>
      </c>
      <c r="M9" s="184" t="s">
        <v>811</v>
      </c>
      <c r="N9" s="184" t="s">
        <v>812</v>
      </c>
    </row>
    <row r="10" customFormat="false" ht="15" hidden="false" customHeight="true" outlineLevel="0" collapsed="false">
      <c r="A10" s="183" t="s">
        <v>823</v>
      </c>
      <c r="B10" s="184" t="s">
        <v>443</v>
      </c>
      <c r="C10" s="184" t="s">
        <v>718</v>
      </c>
      <c r="D10" s="184" t="s">
        <v>727</v>
      </c>
      <c r="E10" s="185" t="s">
        <v>824</v>
      </c>
      <c r="F10" s="184" t="s">
        <v>807</v>
      </c>
      <c r="G10" s="184" t="s">
        <v>815</v>
      </c>
      <c r="H10" s="184" t="s">
        <v>809</v>
      </c>
      <c r="I10" s="186" t="n">
        <v>449</v>
      </c>
      <c r="J10" s="187" t="n">
        <v>16</v>
      </c>
      <c r="K10" s="188" t="n">
        <f aca="false">IFERROR(I10*J10,0)</f>
        <v>7184</v>
      </c>
      <c r="L10" s="184" t="s">
        <v>825</v>
      </c>
      <c r="M10" s="184" t="s">
        <v>811</v>
      </c>
      <c r="N10" s="184" t="s">
        <v>812</v>
      </c>
    </row>
    <row r="11" customFormat="false" ht="15" hidden="false" customHeight="true" outlineLevel="0" collapsed="false">
      <c r="A11" s="183" t="s">
        <v>826</v>
      </c>
      <c r="B11" s="184" t="s">
        <v>443</v>
      </c>
      <c r="C11" s="184" t="s">
        <v>718</v>
      </c>
      <c r="D11" s="184" t="s">
        <v>727</v>
      </c>
      <c r="E11" s="185" t="s">
        <v>827</v>
      </c>
      <c r="F11" s="184" t="s">
        <v>807</v>
      </c>
      <c r="G11" s="184" t="s">
        <v>815</v>
      </c>
      <c r="H11" s="184" t="s">
        <v>809</v>
      </c>
      <c r="I11" s="186" t="n">
        <v>28</v>
      </c>
      <c r="J11" s="187" t="n">
        <v>12.5</v>
      </c>
      <c r="K11" s="188" t="n">
        <f aca="false">IFERROR(I11*J11,0)</f>
        <v>350</v>
      </c>
      <c r="L11" s="184" t="s">
        <v>825</v>
      </c>
      <c r="M11" s="184" t="s">
        <v>811</v>
      </c>
      <c r="N11" s="184" t="s">
        <v>812</v>
      </c>
    </row>
    <row r="12" customFormat="false" ht="15" hidden="false" customHeight="true" outlineLevel="0" collapsed="false">
      <c r="A12" s="183" t="s">
        <v>828</v>
      </c>
      <c r="B12" s="184" t="s">
        <v>443</v>
      </c>
      <c r="C12" s="184" t="s">
        <v>712</v>
      </c>
      <c r="D12" s="184" t="s">
        <v>726</v>
      </c>
      <c r="E12" s="185" t="s">
        <v>829</v>
      </c>
      <c r="F12" s="184" t="s">
        <v>807</v>
      </c>
      <c r="G12" s="184" t="s">
        <v>815</v>
      </c>
      <c r="H12" s="184" t="s">
        <v>809</v>
      </c>
      <c r="I12" s="186" t="n">
        <v>972</v>
      </c>
      <c r="J12" s="187" t="n">
        <v>8</v>
      </c>
      <c r="K12" s="188" t="n">
        <f aca="false">IFERROR(I12*J12,0)</f>
        <v>7776</v>
      </c>
      <c r="L12" s="184" t="s">
        <v>830</v>
      </c>
      <c r="M12" s="184" t="s">
        <v>811</v>
      </c>
      <c r="N12" s="184" t="s">
        <v>812</v>
      </c>
    </row>
    <row r="13" customFormat="false" ht="15" hidden="false" customHeight="true" outlineLevel="0" collapsed="false">
      <c r="K13" s="188" t="n">
        <f aca="false">IFERROR(I13*J13,0)</f>
        <v>0</v>
      </c>
    </row>
    <row r="14" customFormat="false" ht="15" hidden="false" customHeight="true" outlineLevel="0" collapsed="false">
      <c r="K14" s="188" t="n">
        <f aca="false">IFERROR(I14*J14,0)</f>
        <v>0</v>
      </c>
    </row>
    <row r="15" customFormat="false" ht="15" hidden="false" customHeight="true" outlineLevel="0" collapsed="false">
      <c r="K15" s="188" t="n">
        <f aca="false">IFERROR(I15*J15,0)</f>
        <v>0</v>
      </c>
    </row>
    <row r="16" customFormat="false" ht="15" hidden="false" customHeight="true" outlineLevel="0" collapsed="false">
      <c r="K16" s="188" t="n">
        <f aca="false">IFERROR(I16*J16,0)</f>
        <v>0</v>
      </c>
    </row>
    <row r="17" customFormat="false" ht="15" hidden="false" customHeight="true" outlineLevel="0" collapsed="false">
      <c r="K17" s="188" t="n">
        <f aca="false">IFERROR(I17*J17,0)</f>
        <v>0</v>
      </c>
    </row>
    <row r="18" customFormat="false" ht="15" hidden="false" customHeight="true" outlineLevel="0" collapsed="false">
      <c r="K18" s="188" t="n">
        <f aca="false">IFERROR(I18*J18,0)</f>
        <v>0</v>
      </c>
    </row>
    <row r="19" customFormat="false" ht="15" hidden="false" customHeight="true" outlineLevel="0" collapsed="false">
      <c r="K19" s="188" t="n">
        <f aca="false">IFERROR(I19*J19,0)</f>
        <v>0</v>
      </c>
    </row>
    <row r="20" customFormat="false" ht="15" hidden="false" customHeight="true" outlineLevel="0" collapsed="false">
      <c r="K20" s="188" t="n">
        <f aca="false">IFERROR(I20*J20,0)</f>
        <v>0</v>
      </c>
    </row>
    <row r="21" customFormat="false" ht="15" hidden="false" customHeight="true" outlineLevel="0" collapsed="false">
      <c r="K21" s="188" t="n">
        <f aca="false">IFERROR(I21*J21,0)</f>
        <v>0</v>
      </c>
    </row>
    <row r="22" customFormat="false" ht="15" hidden="false" customHeight="true" outlineLevel="0" collapsed="false">
      <c r="K22" s="188" t="n">
        <f aca="false">IFERROR(I22*J22,0)</f>
        <v>0</v>
      </c>
    </row>
    <row r="23" customFormat="false" ht="15" hidden="false" customHeight="true" outlineLevel="0" collapsed="false">
      <c r="K23" s="188" t="n">
        <f aca="false">IFERROR(I23*J23,0)</f>
        <v>0</v>
      </c>
    </row>
    <row r="24" customFormat="false" ht="15" hidden="false" customHeight="true" outlineLevel="0" collapsed="false">
      <c r="K24" s="188" t="n">
        <f aca="false">IFERROR(I24*J24,0)</f>
        <v>0</v>
      </c>
    </row>
    <row r="25" customFormat="false" ht="15" hidden="false" customHeight="true" outlineLevel="0" collapsed="false">
      <c r="K25" s="188" t="n">
        <f aca="false">IFERROR(I25*J25,0)</f>
        <v>0</v>
      </c>
    </row>
    <row r="26" customFormat="false" ht="15" hidden="false" customHeight="true" outlineLevel="0" collapsed="false">
      <c r="A26" s="189" t="s">
        <v>384</v>
      </c>
      <c r="I26" s="190" t="n">
        <f aca="false">SUM(I6:I25)</f>
        <v>1544</v>
      </c>
      <c r="J26" s="190" t="n">
        <f aca="false">SUM(J6:J25)</f>
        <v>50</v>
      </c>
      <c r="K26" s="190" t="n">
        <f aca="false">SUM(K6:K25)</f>
        <v>15572.4</v>
      </c>
      <c r="O26" s="190" t="n">
        <f aca="false">SUM(O6:O25)</f>
        <v>0</v>
      </c>
    </row>
    <row r="28" customFormat="false" ht="15" hidden="false" customHeight="true" outlineLevel="0" collapsed="false">
      <c r="A28" s="181" t="s">
        <v>831</v>
      </c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</row>
    <row r="29" customFormat="false" ht="37.5" hidden="false" customHeight="true" outlineLevel="0" collapsed="false">
      <c r="A29" s="182" t="s">
        <v>791</v>
      </c>
      <c r="B29" s="182" t="s">
        <v>832</v>
      </c>
      <c r="C29" s="182" t="s">
        <v>833</v>
      </c>
      <c r="D29" s="182" t="s">
        <v>834</v>
      </c>
      <c r="E29" s="182" t="s">
        <v>835</v>
      </c>
      <c r="F29" s="182" t="s">
        <v>836</v>
      </c>
      <c r="G29" s="182" t="s">
        <v>837</v>
      </c>
      <c r="H29" s="182" t="s">
        <v>800</v>
      </c>
      <c r="I29" s="182" t="s">
        <v>838</v>
      </c>
      <c r="J29" s="182" t="s">
        <v>839</v>
      </c>
      <c r="K29" s="182" t="s">
        <v>840</v>
      </c>
    </row>
    <row r="30" customFormat="false" ht="15" hidden="false" customHeight="true" outlineLevel="0" collapsed="false">
      <c r="A30" s="183" t="str">
        <f aca="false">IF(A6="","",A6)</f>
        <v>T-26040001</v>
      </c>
      <c r="B30" s="191" t="str">
        <f aca="false">IF(A6="","",IF(O6&gt;0,"Fuel-based","Distance-based"))</f>
        <v>Distance-based</v>
      </c>
      <c r="C30" s="188" t="str">
        <f aca="false">IFERROR(IF(O6&gt;0,IF(H6="Diesel",O6*Assumptions!$B$30,IF(H6="Petrol",O6*Assumptions!$B$31,IF(H6="LPG",O6*Assumptions!$B$32,IF(H6="Electric",I6*0.35*Assumptions!$B$33,O6*Assumptions!$B$30)))),""),"")</f>
        <v/>
      </c>
      <c r="D30" s="188" t="n">
        <f aca="false">IFERROR(I6*IF(G6="Light",18,IF(G6="Medium",22,IF(G6="Heavy",26.5,IF(G6="Articulated",35,22))))/100*Assumptions!$B$30,0)</f>
        <v>0.9648</v>
      </c>
      <c r="E30" s="192" t="n">
        <f aca="false">IFERROR(IF(A6="","",IF(O6&gt;0,C30,D30)/1000),0)</f>
        <v>0.0009648</v>
      </c>
      <c r="F30" s="193" t="n">
        <f aca="false">IFERROR(E30*1000000/I6,0)</f>
        <v>482.4</v>
      </c>
      <c r="G30" s="194" t="n">
        <f aca="false">IFERROR(E30*1000000/K6,0)</f>
        <v>964.8</v>
      </c>
      <c r="H30" s="185" t="str">
        <f aca="false">IF(L6="","",L6)</f>
        <v>Engen Express</v>
      </c>
      <c r="I30" s="192" t="n">
        <f aca="false">IFERROR(IF(L6="","",IF(ISNUMBER(SEARCH("Shared",L6)),E30/3,E30)),"")</f>
        <v>0.0009648</v>
      </c>
      <c r="J30" s="185" t="str">
        <f aca="false">IF(A6="","",IF(N6="No","⚠ Backhaul",""))</f>
        <v/>
      </c>
      <c r="K30" s="185" t="str">
        <f aca="false">IF(A6="","",IF(G30&lt;=80,"✓ Best",IF(G30&lt;=150,"○ Good",IF(G30&lt;=300,"⚠ Avg","✗ High"))))</f>
        <v>✗ High</v>
      </c>
    </row>
    <row r="31" customFormat="false" ht="15" hidden="false" customHeight="true" outlineLevel="0" collapsed="false">
      <c r="A31" s="183" t="str">
        <f aca="false">IF(A7="","",A7)</f>
        <v>T-26040002</v>
      </c>
      <c r="B31" s="191" t="str">
        <f aca="false">IF(A7="","",IF(O7&gt;0,"Fuel-based","Distance-based"))</f>
        <v>Distance-based</v>
      </c>
      <c r="C31" s="188" t="str">
        <f aca="false">IFERROR(IF(O7&gt;0,IF(H7="Diesel",O7*Assumptions!$B$30,IF(H7="Petrol",O7*Assumptions!$B$31,IF(H7="LPG",O7*Assumptions!$B$32,IF(H7="Electric",I7*0.35*Assumptions!$B$33,O7*Assumptions!$B$30)))),""),"")</f>
        <v/>
      </c>
      <c r="D31" s="188" t="n">
        <f aca="false">IFERROR(I7*IF(G7="Light",18,IF(G7="Medium",22,IF(G7="Heavy",26.5,IF(G7="Articulated",35,22))))/100*Assumptions!$B$30,0)</f>
        <v>0.7102</v>
      </c>
      <c r="E31" s="192" t="n">
        <f aca="false">IFERROR(IF(A7="","",IF(O7&gt;0,C31,D31)/1000),0)</f>
        <v>0.0007102</v>
      </c>
      <c r="F31" s="193" t="n">
        <f aca="false">IFERROR(E31*1000000/I7,0)</f>
        <v>710.2</v>
      </c>
      <c r="G31" s="194" t="n">
        <f aca="false">IFERROR(E31*1000000/K7,0)</f>
        <v>88.775</v>
      </c>
      <c r="H31" s="185" t="str">
        <f aca="false">IF(L7="","",L7)</f>
        <v>Engen Express</v>
      </c>
      <c r="I31" s="192" t="n">
        <f aca="false">IFERROR(IF(L7="","",IF(ISNUMBER(SEARCH("Shared",L7)),E31/3,E31)),"")</f>
        <v>0.0007102</v>
      </c>
      <c r="J31" s="185" t="str">
        <f aca="false">IF(A7="","",IF(N7="No","⚠ Backhaul",""))</f>
        <v/>
      </c>
      <c r="K31" s="185" t="str">
        <f aca="false">IF(A7="","",IF(G31&lt;=80,"✓ Best",IF(G31&lt;=150,"○ Good",IF(G31&lt;=300,"⚠ Avg","✗ High"))))</f>
        <v>○ Good</v>
      </c>
    </row>
    <row r="32" customFormat="false" ht="15" hidden="false" customHeight="true" outlineLevel="0" collapsed="false">
      <c r="A32" s="183" t="str">
        <f aca="false">IF(A8="","",A8)</f>
        <v>T-26040003</v>
      </c>
      <c r="B32" s="191" t="str">
        <f aca="false">IF(A8="","",IF(O8&gt;0,"Fuel-based","Distance-based"))</f>
        <v>Distance-based</v>
      </c>
      <c r="C32" s="188" t="str">
        <f aca="false">IFERROR(IF(O8&gt;0,IF(H8="Diesel",O8*Assumptions!$B$30,IF(H8="Petrol",O8*Assumptions!$B$31,IF(H8="LPG",O8*Assumptions!$B$32,IF(H8="Electric",I8*0.35*Assumptions!$B$33,O8*Assumptions!$B$30)))),""),"")</f>
        <v/>
      </c>
      <c r="D32" s="188" t="n">
        <f aca="false">IFERROR(I8*IF(G8="Light",18,IF(G8="Medium",22,IF(G8="Heavy",26.5,IF(G8="Articulated",35,22))))/100*Assumptions!$B$30,0)</f>
        <v>17.8488</v>
      </c>
      <c r="E32" s="192" t="n">
        <f aca="false">IFERROR(IF(A8="","",IF(O8&gt;0,C32,D32)/1000),0)</f>
        <v>0.0178488</v>
      </c>
      <c r="F32" s="193" t="n">
        <f aca="false">IFERROR(E32*1000000/I8,0)</f>
        <v>482.4</v>
      </c>
      <c r="G32" s="194" t="n">
        <f aca="false">IFERROR(E32*1000000/K8,0)</f>
        <v>402</v>
      </c>
      <c r="H32" s="185" t="str">
        <f aca="false">IF(L8="","",L8)</f>
        <v>Engen Logistics</v>
      </c>
      <c r="I32" s="192" t="n">
        <f aca="false">IFERROR(IF(L8="","",IF(ISNUMBER(SEARCH("Shared",L8)),E32/3,E32)),"")</f>
        <v>0.0178488</v>
      </c>
      <c r="J32" s="185" t="str">
        <f aca="false">IF(A8="","",IF(N8="No","⚠ Backhaul",""))</f>
        <v/>
      </c>
      <c r="K32" s="185" t="str">
        <f aca="false">IF(A8="","",IF(G32&lt;=80,"✓ Best",IF(G32&lt;=150,"○ Good",IF(G32&lt;=300,"⚠ Avg","✗ High"))))</f>
        <v>✗ High</v>
      </c>
    </row>
    <row r="33" customFormat="false" ht="15" hidden="false" customHeight="true" outlineLevel="0" collapsed="false">
      <c r="A33" s="183" t="str">
        <f aca="false">IF(A9="","",A9)</f>
        <v>T-26040004</v>
      </c>
      <c r="B33" s="191" t="str">
        <f aca="false">IF(A9="","",IF(O9&gt;0,"Fuel-based","Distance-based"))</f>
        <v>Distance-based</v>
      </c>
      <c r="C33" s="188" t="str">
        <f aca="false">IFERROR(IF(O9&gt;0,IF(H9="Diesel",O9*Assumptions!$B$30,IF(H9="Petrol",O9*Assumptions!$B$31,IF(H9="LPG",O9*Assumptions!$B$32,IF(H9="Electric",I9*0.35*Assumptions!$B$33,O9*Assumptions!$B$30)))),""),"")</f>
        <v/>
      </c>
      <c r="D33" s="188" t="n">
        <f aca="false">IFERROR(I9*IF(G9="Light",18,IF(G9="Medium",22,IF(G9="Heavy",26.5,IF(G9="Articulated",35,22))))/100*Assumptions!$B$30,0)</f>
        <v>32.428</v>
      </c>
      <c r="E33" s="192" t="n">
        <f aca="false">IFERROR(IF(A9="","",IF(O9&gt;0,C33,D33)/1000),0)</f>
        <v>0.032428</v>
      </c>
      <c r="F33" s="193" t="n">
        <f aca="false">IFERROR(E33*1000000/I9,0)</f>
        <v>589.6</v>
      </c>
      <c r="G33" s="194" t="n">
        <f aca="false">IFERROR(E33*1000000/K9,0)</f>
        <v>155.157894736842</v>
      </c>
      <c r="H33" s="185" t="str">
        <f aca="false">IF(L9="","",L9)</f>
        <v>Engen Logistics</v>
      </c>
      <c r="I33" s="192" t="n">
        <f aca="false">IFERROR(IF(L9="","",IF(ISNUMBER(SEARCH("Shared",L9)),E33/3,E33)),"")</f>
        <v>0.032428</v>
      </c>
      <c r="J33" s="185" t="str">
        <f aca="false">IF(A9="","",IF(N9="No","⚠ Backhaul",""))</f>
        <v/>
      </c>
      <c r="K33" s="185" t="str">
        <f aca="false">IF(A9="","",IF(G33&lt;=80,"✓ Best",IF(G33&lt;=150,"○ Good",IF(G33&lt;=300,"⚠ Avg","✗ High"))))</f>
        <v>⚠ Avg</v>
      </c>
    </row>
    <row r="34" customFormat="false" ht="15" hidden="false" customHeight="true" outlineLevel="0" collapsed="false">
      <c r="A34" s="183" t="str">
        <f aca="false">IF(A10="","",A10)</f>
        <v>T-26040005</v>
      </c>
      <c r="B34" s="191" t="str">
        <f aca="false">IF(A10="","",IF(O10&gt;0,"Fuel-based","Distance-based"))</f>
        <v>Distance-based</v>
      </c>
      <c r="C34" s="188" t="str">
        <f aca="false">IFERROR(IF(O10&gt;0,IF(H10="Diesel",O10*Assumptions!$B$30,IF(H10="Petrol",O10*Assumptions!$B$31,IF(H10="LPG",O10*Assumptions!$B$32,IF(H10="Electric",I10*0.35*Assumptions!$B$33,O10*Assumptions!$B$30)))),""),"")</f>
        <v/>
      </c>
      <c r="D34" s="188" t="n">
        <f aca="false">IFERROR(I10*IF(G10="Light",18,IF(G10="Medium",22,IF(G10="Heavy",26.5,IF(G10="Articulated",35,22))))/100*Assumptions!$B$30,0)</f>
        <v>318.8798</v>
      </c>
      <c r="E34" s="192" t="n">
        <f aca="false">IFERROR(IF(A10="","",IF(O10&gt;0,C34,D34)/1000),0)</f>
        <v>0.3188798</v>
      </c>
      <c r="F34" s="193" t="n">
        <f aca="false">IFERROR(E34*1000000/I10,0)</f>
        <v>710.2</v>
      </c>
      <c r="G34" s="194" t="n">
        <f aca="false">IFERROR(E34*1000000/K10,0)</f>
        <v>44.3875</v>
      </c>
      <c r="H34" s="185" t="str">
        <f aca="false">IF(L10="","",L10)</f>
        <v>Famous Brands</v>
      </c>
      <c r="I34" s="192" t="n">
        <f aca="false">IFERROR(IF(L10="","",IF(ISNUMBER(SEARCH("Shared",L10)),E34/3,E34)),"")</f>
        <v>0.3188798</v>
      </c>
      <c r="J34" s="185" t="str">
        <f aca="false">IF(A10="","",IF(N10="No","⚠ Backhaul",""))</f>
        <v/>
      </c>
      <c r="K34" s="185" t="str">
        <f aca="false">IF(A10="","",IF(G34&lt;=80,"✓ Best",IF(G34&lt;=150,"○ Good",IF(G34&lt;=300,"⚠ Avg","✗ High"))))</f>
        <v>✓ Best</v>
      </c>
    </row>
    <row r="35" customFormat="false" ht="15" hidden="false" customHeight="true" outlineLevel="0" collapsed="false">
      <c r="A35" s="183" t="str">
        <f aca="false">IF(A11="","",A11)</f>
        <v>T-26040006</v>
      </c>
      <c r="B35" s="191" t="str">
        <f aca="false">IF(A11="","",IF(O11&gt;0,"Fuel-based","Distance-based"))</f>
        <v>Distance-based</v>
      </c>
      <c r="C35" s="188" t="str">
        <f aca="false">IFERROR(IF(O11&gt;0,IF(H11="Diesel",O11*Assumptions!$B$30,IF(H11="Petrol",O11*Assumptions!$B$31,IF(H11="LPG",O11*Assumptions!$B$32,IF(H11="Electric",I11*0.35*Assumptions!$B$33,O11*Assumptions!$B$30)))),""),"")</f>
        <v/>
      </c>
      <c r="D35" s="188" t="n">
        <f aca="false">IFERROR(I11*IF(G11="Light",18,IF(G11="Medium",22,IF(G11="Heavy",26.5,IF(G11="Articulated",35,22))))/100*Assumptions!$B$30,0)</f>
        <v>19.8856</v>
      </c>
      <c r="E35" s="192" t="n">
        <f aca="false">IFERROR(IF(A11="","",IF(O11&gt;0,C35,D35)/1000),0)</f>
        <v>0.0198856</v>
      </c>
      <c r="F35" s="193" t="n">
        <f aca="false">IFERROR(E35*1000000/I11,0)</f>
        <v>710.2</v>
      </c>
      <c r="G35" s="194" t="n">
        <f aca="false">IFERROR(E35*1000000/K11,0)</f>
        <v>56.816</v>
      </c>
      <c r="H35" s="185" t="str">
        <f aca="false">IF(L11="","",L11)</f>
        <v>Famous Brands</v>
      </c>
      <c r="I35" s="192" t="n">
        <f aca="false">IFERROR(IF(L11="","",IF(ISNUMBER(SEARCH("Shared",L11)),E35/3,E35)),"")</f>
        <v>0.0198856</v>
      </c>
      <c r="J35" s="185" t="str">
        <f aca="false">IF(A11="","",IF(N11="No","⚠ Backhaul",""))</f>
        <v/>
      </c>
      <c r="K35" s="185" t="str">
        <f aca="false">IF(A11="","",IF(G35&lt;=80,"✓ Best",IF(G35&lt;=150,"○ Good",IF(G35&lt;=300,"⚠ Avg","✗ High"))))</f>
        <v>✓ Best</v>
      </c>
    </row>
    <row r="36" customFormat="false" ht="15" hidden="false" customHeight="true" outlineLevel="0" collapsed="false">
      <c r="A36" s="183" t="str">
        <f aca="false">IF(A12="","",A12)</f>
        <v>T-26040007</v>
      </c>
      <c r="B36" s="191" t="str">
        <f aca="false">IF(A12="","",IF(O12&gt;0,"Fuel-based","Distance-based"))</f>
        <v>Distance-based</v>
      </c>
      <c r="C36" s="188" t="str">
        <f aca="false">IFERROR(IF(O12&gt;0,IF(H12="Diesel",O12*Assumptions!$B$30,IF(H12="Petrol",O12*Assumptions!$B$31,IF(H12="LPG",O12*Assumptions!$B$32,IF(H12="Electric",I12*0.35*Assumptions!$B$33,O12*Assumptions!$B$30)))),""),"")</f>
        <v/>
      </c>
      <c r="D36" s="188" t="n">
        <f aca="false">IFERROR(I12*IF(G12="Light",18,IF(G12="Medium",22,IF(G12="Heavy",26.5,IF(G12="Articulated",35,22))))/100*Assumptions!$B$30,0)</f>
        <v>690.3144</v>
      </c>
      <c r="E36" s="192" t="n">
        <f aca="false">IFERROR(IF(A12="","",IF(O12&gt;0,C36,D36)/1000),0)</f>
        <v>0.6903144</v>
      </c>
      <c r="F36" s="193" t="n">
        <f aca="false">IFERROR(E36*1000000/I12,0)</f>
        <v>710.2</v>
      </c>
      <c r="G36" s="194" t="n">
        <f aca="false">IFERROR(E36*1000000/K12,0)</f>
        <v>88.775</v>
      </c>
      <c r="H36" s="185" t="str">
        <f aca="false">IF(L12="","",L12)</f>
        <v>Shared (3 customers)</v>
      </c>
      <c r="I36" s="192" t="n">
        <f aca="false">IFERROR(IF(L12="","",IF(ISNUMBER(SEARCH("Shared",L12)),E36/3,E36)),"")</f>
        <v>0.2301048</v>
      </c>
      <c r="J36" s="185" t="str">
        <f aca="false">IF(A12="","",IF(N12="No","⚠ Backhaul",""))</f>
        <v/>
      </c>
      <c r="K36" s="185" t="str">
        <f aca="false">IF(A12="","",IF(G36&lt;=80,"✓ Best",IF(G36&lt;=150,"○ Good",IF(G36&lt;=300,"⚠ Avg","✗ High"))))</f>
        <v>○ Good</v>
      </c>
    </row>
    <row r="37" customFormat="false" ht="15" hidden="false" customHeight="true" outlineLevel="0" collapsed="false">
      <c r="A37" s="183" t="str">
        <f aca="false">IF(A13="","",A13)</f>
        <v/>
      </c>
      <c r="B37" s="191" t="str">
        <f aca="false">IF(A13="","",IF(O13&gt;0,"Fuel-based","Distance-based"))</f>
        <v/>
      </c>
      <c r="C37" s="188" t="str">
        <f aca="false">IFERROR(IF(O13&gt;0,IF(H13="Diesel",O13*Assumptions!$B$30,IF(H13="Petrol",O13*Assumptions!$B$31,IF(H13="LPG",O13*Assumptions!$B$32,IF(H13="Electric",I13*0.35*Assumptions!$B$33,O13*Assumptions!$B$30)))),""),"")</f>
        <v/>
      </c>
      <c r="D37" s="188" t="n">
        <f aca="false">IFERROR(I13*IF(G13="Light",18,IF(G13="Medium",22,IF(G13="Heavy",26.5,IF(G13="Articulated",35,22))))/100*Assumptions!$B$30,0)</f>
        <v>0</v>
      </c>
      <c r="E37" s="192" t="str">
        <f aca="false">IFERROR(IF(A13="","",IF(O13&gt;0,C37,D37)/1000),0)</f>
        <v/>
      </c>
      <c r="F37" s="193" t="n">
        <f aca="false">IFERROR(E37*1000000/I13,0)</f>
        <v>0</v>
      </c>
      <c r="G37" s="194" t="n">
        <f aca="false">IFERROR(E37*1000000/K13,0)</f>
        <v>0</v>
      </c>
      <c r="H37" s="185" t="str">
        <f aca="false">IF(L13="","",L13)</f>
        <v/>
      </c>
      <c r="I37" s="192" t="str">
        <f aca="false">IFERROR(IF(L13="","",IF(ISNUMBER(SEARCH("Shared",L13)),E37/3,E37)),"")</f>
        <v/>
      </c>
      <c r="J37" s="185" t="str">
        <f aca="false">IF(A13="","",IF(N13="No","⚠ Backhaul",""))</f>
        <v/>
      </c>
      <c r="K37" s="185" t="str">
        <f aca="false">IF(A13="","",IF(G37&lt;=80,"✓ Best",IF(G37&lt;=150,"○ Good",IF(G37&lt;=300,"⚠ Avg","✗ High"))))</f>
        <v/>
      </c>
    </row>
    <row r="38" customFormat="false" ht="15" hidden="false" customHeight="true" outlineLevel="0" collapsed="false">
      <c r="A38" s="183" t="str">
        <f aca="false">IF(A14="","",A14)</f>
        <v/>
      </c>
      <c r="B38" s="191" t="str">
        <f aca="false">IF(A14="","",IF(O14&gt;0,"Fuel-based","Distance-based"))</f>
        <v/>
      </c>
      <c r="C38" s="188" t="str">
        <f aca="false">IFERROR(IF(O14&gt;0,IF(H14="Diesel",O14*Assumptions!$B$30,IF(H14="Petrol",O14*Assumptions!$B$31,IF(H14="LPG",O14*Assumptions!$B$32,IF(H14="Electric",I14*0.35*Assumptions!$B$33,O14*Assumptions!$B$30)))),""),"")</f>
        <v/>
      </c>
      <c r="D38" s="188" t="n">
        <f aca="false">IFERROR(I14*IF(G14="Light",18,IF(G14="Medium",22,IF(G14="Heavy",26.5,IF(G14="Articulated",35,22))))/100*Assumptions!$B$30,0)</f>
        <v>0</v>
      </c>
      <c r="E38" s="192" t="str">
        <f aca="false">IFERROR(IF(A14="","",IF(O14&gt;0,C38,D38)/1000),0)</f>
        <v/>
      </c>
      <c r="F38" s="193" t="n">
        <f aca="false">IFERROR(E38*1000000/I14,0)</f>
        <v>0</v>
      </c>
      <c r="G38" s="194" t="n">
        <f aca="false">IFERROR(E38*1000000/K14,0)</f>
        <v>0</v>
      </c>
      <c r="H38" s="185" t="str">
        <f aca="false">IF(L14="","",L14)</f>
        <v/>
      </c>
      <c r="I38" s="192" t="str">
        <f aca="false">IFERROR(IF(L14="","",IF(ISNUMBER(SEARCH("Shared",L14)),E38/3,E38)),"")</f>
        <v/>
      </c>
      <c r="J38" s="185" t="str">
        <f aca="false">IF(A14="","",IF(N14="No","⚠ Backhaul",""))</f>
        <v/>
      </c>
      <c r="K38" s="185" t="str">
        <f aca="false">IF(A14="","",IF(G38&lt;=80,"✓ Best",IF(G38&lt;=150,"○ Good",IF(G38&lt;=300,"⚠ Avg","✗ High"))))</f>
        <v/>
      </c>
    </row>
    <row r="39" customFormat="false" ht="15" hidden="false" customHeight="true" outlineLevel="0" collapsed="false">
      <c r="A39" s="183" t="str">
        <f aca="false">IF(A15="","",A15)</f>
        <v/>
      </c>
      <c r="B39" s="191" t="str">
        <f aca="false">IF(A15="","",IF(O15&gt;0,"Fuel-based","Distance-based"))</f>
        <v/>
      </c>
      <c r="C39" s="188" t="str">
        <f aca="false">IFERROR(IF(O15&gt;0,IF(H15="Diesel",O15*Assumptions!$B$30,IF(H15="Petrol",O15*Assumptions!$B$31,IF(H15="LPG",O15*Assumptions!$B$32,IF(H15="Electric",I15*0.35*Assumptions!$B$33,O15*Assumptions!$B$30)))),""),"")</f>
        <v/>
      </c>
      <c r="D39" s="188" t="n">
        <f aca="false">IFERROR(I15*IF(G15="Light",18,IF(G15="Medium",22,IF(G15="Heavy",26.5,IF(G15="Articulated",35,22))))/100*Assumptions!$B$30,0)</f>
        <v>0</v>
      </c>
      <c r="E39" s="192" t="str">
        <f aca="false">IFERROR(IF(A15="","",IF(O15&gt;0,C39,D39)/1000),0)</f>
        <v/>
      </c>
      <c r="F39" s="193" t="n">
        <f aca="false">IFERROR(E39*1000000/I15,0)</f>
        <v>0</v>
      </c>
      <c r="G39" s="194" t="n">
        <f aca="false">IFERROR(E39*1000000/K15,0)</f>
        <v>0</v>
      </c>
      <c r="H39" s="185" t="str">
        <f aca="false">IF(L15="","",L15)</f>
        <v/>
      </c>
      <c r="I39" s="192" t="str">
        <f aca="false">IFERROR(IF(L15="","",IF(ISNUMBER(SEARCH("Shared",L15)),E39/3,E39)),"")</f>
        <v/>
      </c>
      <c r="J39" s="185" t="str">
        <f aca="false">IF(A15="","",IF(N15="No","⚠ Backhaul",""))</f>
        <v/>
      </c>
      <c r="K39" s="185" t="str">
        <f aca="false">IF(A15="","",IF(G39&lt;=80,"✓ Best",IF(G39&lt;=150,"○ Good",IF(G39&lt;=300,"⚠ Avg","✗ High"))))</f>
        <v/>
      </c>
    </row>
    <row r="40" customFormat="false" ht="15" hidden="false" customHeight="true" outlineLevel="0" collapsed="false">
      <c r="A40" s="183" t="str">
        <f aca="false">IF(A16="","",A16)</f>
        <v/>
      </c>
      <c r="B40" s="191" t="str">
        <f aca="false">IF(A16="","",IF(O16&gt;0,"Fuel-based","Distance-based"))</f>
        <v/>
      </c>
      <c r="C40" s="188" t="str">
        <f aca="false">IFERROR(IF(O16&gt;0,IF(H16="Diesel",O16*Assumptions!$B$30,IF(H16="Petrol",O16*Assumptions!$B$31,IF(H16="LPG",O16*Assumptions!$B$32,IF(H16="Electric",I16*0.35*Assumptions!$B$33,O16*Assumptions!$B$30)))),""),"")</f>
        <v/>
      </c>
      <c r="D40" s="188" t="n">
        <f aca="false">IFERROR(I16*IF(G16="Light",18,IF(G16="Medium",22,IF(G16="Heavy",26.5,IF(G16="Articulated",35,22))))/100*Assumptions!$B$30,0)</f>
        <v>0</v>
      </c>
      <c r="E40" s="192" t="str">
        <f aca="false">IFERROR(IF(A16="","",IF(O16&gt;0,C40,D40)/1000),0)</f>
        <v/>
      </c>
      <c r="F40" s="193" t="n">
        <f aca="false">IFERROR(E40*1000000/I16,0)</f>
        <v>0</v>
      </c>
      <c r="G40" s="194" t="n">
        <f aca="false">IFERROR(E40*1000000/K16,0)</f>
        <v>0</v>
      </c>
      <c r="H40" s="185" t="str">
        <f aca="false">IF(L16="","",L16)</f>
        <v/>
      </c>
      <c r="I40" s="192" t="str">
        <f aca="false">IFERROR(IF(L16="","",IF(ISNUMBER(SEARCH("Shared",L16)),E40/3,E40)),"")</f>
        <v/>
      </c>
      <c r="J40" s="185" t="str">
        <f aca="false">IF(A16="","",IF(N16="No","⚠ Backhaul",""))</f>
        <v/>
      </c>
      <c r="K40" s="185" t="str">
        <f aca="false">IF(A16="","",IF(G40&lt;=80,"✓ Best",IF(G40&lt;=150,"○ Good",IF(G40&lt;=300,"⚠ Avg","✗ High"))))</f>
        <v/>
      </c>
    </row>
    <row r="41" customFormat="false" ht="15" hidden="false" customHeight="true" outlineLevel="0" collapsed="false">
      <c r="A41" s="183" t="str">
        <f aca="false">IF(A17="","",A17)</f>
        <v/>
      </c>
      <c r="B41" s="191" t="str">
        <f aca="false">IF(A17="","",IF(O17&gt;0,"Fuel-based","Distance-based"))</f>
        <v/>
      </c>
      <c r="C41" s="188" t="str">
        <f aca="false">IFERROR(IF(O17&gt;0,IF(H17="Diesel",O17*Assumptions!$B$30,IF(H17="Petrol",O17*Assumptions!$B$31,IF(H17="LPG",O17*Assumptions!$B$32,IF(H17="Electric",I17*0.35*Assumptions!$B$33,O17*Assumptions!$B$30)))),""),"")</f>
        <v/>
      </c>
      <c r="D41" s="188" t="n">
        <f aca="false">IFERROR(I17*IF(G17="Light",18,IF(G17="Medium",22,IF(G17="Heavy",26.5,IF(G17="Articulated",35,22))))/100*Assumptions!$B$30,0)</f>
        <v>0</v>
      </c>
      <c r="E41" s="192" t="str">
        <f aca="false">IFERROR(IF(A17="","",IF(O17&gt;0,C41,D41)/1000),0)</f>
        <v/>
      </c>
      <c r="F41" s="193" t="n">
        <f aca="false">IFERROR(E41*1000000/I17,0)</f>
        <v>0</v>
      </c>
      <c r="G41" s="194" t="n">
        <f aca="false">IFERROR(E41*1000000/K17,0)</f>
        <v>0</v>
      </c>
      <c r="H41" s="185" t="str">
        <f aca="false">IF(L17="","",L17)</f>
        <v/>
      </c>
      <c r="I41" s="192" t="str">
        <f aca="false">IFERROR(IF(L17="","",IF(ISNUMBER(SEARCH("Shared",L17)),E41/3,E41)),"")</f>
        <v/>
      </c>
      <c r="J41" s="185" t="str">
        <f aca="false">IF(A17="","",IF(N17="No","⚠ Backhaul",""))</f>
        <v/>
      </c>
      <c r="K41" s="185" t="str">
        <f aca="false">IF(A17="","",IF(G41&lt;=80,"✓ Best",IF(G41&lt;=150,"○ Good",IF(G41&lt;=300,"⚠ Avg","✗ High"))))</f>
        <v/>
      </c>
    </row>
    <row r="42" customFormat="false" ht="15" hidden="false" customHeight="true" outlineLevel="0" collapsed="false">
      <c r="A42" s="183" t="str">
        <f aca="false">IF(A18="","",A18)</f>
        <v/>
      </c>
      <c r="B42" s="191" t="str">
        <f aca="false">IF(A18="","",IF(O18&gt;0,"Fuel-based","Distance-based"))</f>
        <v/>
      </c>
      <c r="C42" s="188" t="str">
        <f aca="false">IFERROR(IF(O18&gt;0,IF(H18="Diesel",O18*Assumptions!$B$30,IF(H18="Petrol",O18*Assumptions!$B$31,IF(H18="LPG",O18*Assumptions!$B$32,IF(H18="Electric",I18*0.35*Assumptions!$B$33,O18*Assumptions!$B$30)))),""),"")</f>
        <v/>
      </c>
      <c r="D42" s="188" t="n">
        <f aca="false">IFERROR(I18*IF(G18="Light",18,IF(G18="Medium",22,IF(G18="Heavy",26.5,IF(G18="Articulated",35,22))))/100*Assumptions!$B$30,0)</f>
        <v>0</v>
      </c>
      <c r="E42" s="192" t="str">
        <f aca="false">IFERROR(IF(A18="","",IF(O18&gt;0,C42,D42)/1000),0)</f>
        <v/>
      </c>
      <c r="F42" s="193" t="n">
        <f aca="false">IFERROR(E42*1000000/I18,0)</f>
        <v>0</v>
      </c>
      <c r="G42" s="194" t="n">
        <f aca="false">IFERROR(E42*1000000/K18,0)</f>
        <v>0</v>
      </c>
      <c r="H42" s="185" t="str">
        <f aca="false">IF(L18="","",L18)</f>
        <v/>
      </c>
      <c r="I42" s="192" t="str">
        <f aca="false">IFERROR(IF(L18="","",IF(ISNUMBER(SEARCH("Shared",L18)),E42/3,E42)),"")</f>
        <v/>
      </c>
      <c r="J42" s="185" t="str">
        <f aca="false">IF(A18="","",IF(N18="No","⚠ Backhaul",""))</f>
        <v/>
      </c>
      <c r="K42" s="185" t="str">
        <f aca="false">IF(A18="","",IF(G42&lt;=80,"✓ Best",IF(G42&lt;=150,"○ Good",IF(G42&lt;=300,"⚠ Avg","✗ High"))))</f>
        <v/>
      </c>
    </row>
    <row r="43" customFormat="false" ht="15" hidden="false" customHeight="true" outlineLevel="0" collapsed="false">
      <c r="A43" s="183" t="str">
        <f aca="false">IF(A19="","",A19)</f>
        <v/>
      </c>
      <c r="B43" s="191" t="str">
        <f aca="false">IF(A19="","",IF(O19&gt;0,"Fuel-based","Distance-based"))</f>
        <v/>
      </c>
      <c r="C43" s="188" t="str">
        <f aca="false">IFERROR(IF(O19&gt;0,IF(H19="Diesel",O19*Assumptions!$B$30,IF(H19="Petrol",O19*Assumptions!$B$31,IF(H19="LPG",O19*Assumptions!$B$32,IF(H19="Electric",I19*0.35*Assumptions!$B$33,O19*Assumptions!$B$30)))),""),"")</f>
        <v/>
      </c>
      <c r="D43" s="188" t="n">
        <f aca="false">IFERROR(I19*IF(G19="Light",18,IF(G19="Medium",22,IF(G19="Heavy",26.5,IF(G19="Articulated",35,22))))/100*Assumptions!$B$30,0)</f>
        <v>0</v>
      </c>
      <c r="E43" s="192" t="str">
        <f aca="false">IFERROR(IF(A19="","",IF(O19&gt;0,C43,D43)/1000),0)</f>
        <v/>
      </c>
      <c r="F43" s="193" t="n">
        <f aca="false">IFERROR(E43*1000000/I19,0)</f>
        <v>0</v>
      </c>
      <c r="G43" s="194" t="n">
        <f aca="false">IFERROR(E43*1000000/K19,0)</f>
        <v>0</v>
      </c>
      <c r="H43" s="185" t="str">
        <f aca="false">IF(L19="","",L19)</f>
        <v/>
      </c>
      <c r="I43" s="192" t="str">
        <f aca="false">IFERROR(IF(L19="","",IF(ISNUMBER(SEARCH("Shared",L19)),E43/3,E43)),"")</f>
        <v/>
      </c>
      <c r="J43" s="185" t="str">
        <f aca="false">IF(A19="","",IF(N19="No","⚠ Backhaul",""))</f>
        <v/>
      </c>
      <c r="K43" s="185" t="str">
        <f aca="false">IF(A19="","",IF(G43&lt;=80,"✓ Best",IF(G43&lt;=150,"○ Good",IF(G43&lt;=300,"⚠ Avg","✗ High"))))</f>
        <v/>
      </c>
    </row>
    <row r="44" customFormat="false" ht="15" hidden="false" customHeight="true" outlineLevel="0" collapsed="false">
      <c r="A44" s="183" t="str">
        <f aca="false">IF(A20="","",A20)</f>
        <v/>
      </c>
      <c r="B44" s="191" t="str">
        <f aca="false">IF(A20="","",IF(O20&gt;0,"Fuel-based","Distance-based"))</f>
        <v/>
      </c>
      <c r="C44" s="188" t="str">
        <f aca="false">IFERROR(IF(O20&gt;0,IF(H20="Diesel",O20*Assumptions!$B$30,IF(H20="Petrol",O20*Assumptions!$B$31,IF(H20="LPG",O20*Assumptions!$B$32,IF(H20="Electric",I20*0.35*Assumptions!$B$33,O20*Assumptions!$B$30)))),""),"")</f>
        <v/>
      </c>
      <c r="D44" s="188" t="n">
        <f aca="false">IFERROR(I20*IF(G20="Light",18,IF(G20="Medium",22,IF(G20="Heavy",26.5,IF(G20="Articulated",35,22))))/100*Assumptions!$B$30,0)</f>
        <v>0</v>
      </c>
      <c r="E44" s="192" t="str">
        <f aca="false">IFERROR(IF(A20="","",IF(O20&gt;0,C44,D44)/1000),0)</f>
        <v/>
      </c>
      <c r="F44" s="193" t="n">
        <f aca="false">IFERROR(E44*1000000/I20,0)</f>
        <v>0</v>
      </c>
      <c r="G44" s="194" t="n">
        <f aca="false">IFERROR(E44*1000000/K20,0)</f>
        <v>0</v>
      </c>
      <c r="H44" s="185" t="str">
        <f aca="false">IF(L20="","",L20)</f>
        <v/>
      </c>
      <c r="I44" s="192" t="str">
        <f aca="false">IFERROR(IF(L20="","",IF(ISNUMBER(SEARCH("Shared",L20)),E44/3,E44)),"")</f>
        <v/>
      </c>
      <c r="J44" s="185" t="str">
        <f aca="false">IF(A20="","",IF(N20="No","⚠ Backhaul",""))</f>
        <v/>
      </c>
      <c r="K44" s="185" t="str">
        <f aca="false">IF(A20="","",IF(G44&lt;=80,"✓ Best",IF(G44&lt;=150,"○ Good",IF(G44&lt;=300,"⚠ Avg","✗ High"))))</f>
        <v/>
      </c>
    </row>
    <row r="45" customFormat="false" ht="15" hidden="false" customHeight="true" outlineLevel="0" collapsed="false">
      <c r="A45" s="183" t="str">
        <f aca="false">IF(A21="","",A21)</f>
        <v/>
      </c>
      <c r="B45" s="191" t="str">
        <f aca="false">IF(A21="","",IF(O21&gt;0,"Fuel-based","Distance-based"))</f>
        <v/>
      </c>
      <c r="C45" s="188" t="str">
        <f aca="false">IFERROR(IF(O21&gt;0,IF(H21="Diesel",O21*Assumptions!$B$30,IF(H21="Petrol",O21*Assumptions!$B$31,IF(H21="LPG",O21*Assumptions!$B$32,IF(H21="Electric",I21*0.35*Assumptions!$B$33,O21*Assumptions!$B$30)))),""),"")</f>
        <v/>
      </c>
      <c r="D45" s="188" t="n">
        <f aca="false">IFERROR(I21*IF(G21="Light",18,IF(G21="Medium",22,IF(G21="Heavy",26.5,IF(G21="Articulated",35,22))))/100*Assumptions!$B$30,0)</f>
        <v>0</v>
      </c>
      <c r="E45" s="192" t="str">
        <f aca="false">IFERROR(IF(A21="","",IF(O21&gt;0,C45,D45)/1000),0)</f>
        <v/>
      </c>
      <c r="F45" s="193" t="n">
        <f aca="false">IFERROR(E45*1000000/I21,0)</f>
        <v>0</v>
      </c>
      <c r="G45" s="194" t="n">
        <f aca="false">IFERROR(E45*1000000/K21,0)</f>
        <v>0</v>
      </c>
      <c r="H45" s="185" t="str">
        <f aca="false">IF(L21="","",L21)</f>
        <v/>
      </c>
      <c r="I45" s="192" t="str">
        <f aca="false">IFERROR(IF(L21="","",IF(ISNUMBER(SEARCH("Shared",L21)),E45/3,E45)),"")</f>
        <v/>
      </c>
      <c r="J45" s="185" t="str">
        <f aca="false">IF(A21="","",IF(N21="No","⚠ Backhaul",""))</f>
        <v/>
      </c>
      <c r="K45" s="185" t="str">
        <f aca="false">IF(A21="","",IF(G45&lt;=80,"✓ Best",IF(G45&lt;=150,"○ Good",IF(G45&lt;=300,"⚠ Avg","✗ High"))))</f>
        <v/>
      </c>
    </row>
    <row r="46" customFormat="false" ht="15" hidden="false" customHeight="true" outlineLevel="0" collapsed="false">
      <c r="A46" s="183" t="str">
        <f aca="false">IF(A22="","",A22)</f>
        <v/>
      </c>
      <c r="B46" s="191" t="str">
        <f aca="false">IF(A22="","",IF(O22&gt;0,"Fuel-based","Distance-based"))</f>
        <v/>
      </c>
      <c r="C46" s="188" t="str">
        <f aca="false">IFERROR(IF(O22&gt;0,IF(H22="Diesel",O22*Assumptions!$B$30,IF(H22="Petrol",O22*Assumptions!$B$31,IF(H22="LPG",O22*Assumptions!$B$32,IF(H22="Electric",I22*0.35*Assumptions!$B$33,O22*Assumptions!$B$30)))),""),"")</f>
        <v/>
      </c>
      <c r="D46" s="188" t="n">
        <f aca="false">IFERROR(I22*IF(G22="Light",18,IF(G22="Medium",22,IF(G22="Heavy",26.5,IF(G22="Articulated",35,22))))/100*Assumptions!$B$30,0)</f>
        <v>0</v>
      </c>
      <c r="E46" s="192" t="str">
        <f aca="false">IFERROR(IF(A22="","",IF(O22&gt;0,C46,D46)/1000),0)</f>
        <v/>
      </c>
      <c r="F46" s="193" t="n">
        <f aca="false">IFERROR(E46*1000000/I22,0)</f>
        <v>0</v>
      </c>
      <c r="G46" s="194" t="n">
        <f aca="false">IFERROR(E46*1000000/K22,0)</f>
        <v>0</v>
      </c>
      <c r="H46" s="185" t="str">
        <f aca="false">IF(L22="","",L22)</f>
        <v/>
      </c>
      <c r="I46" s="192" t="str">
        <f aca="false">IFERROR(IF(L22="","",IF(ISNUMBER(SEARCH("Shared",L22)),E46/3,E46)),"")</f>
        <v/>
      </c>
      <c r="J46" s="185" t="str">
        <f aca="false">IF(A22="","",IF(N22="No","⚠ Backhaul",""))</f>
        <v/>
      </c>
      <c r="K46" s="185" t="str">
        <f aca="false">IF(A22="","",IF(G46&lt;=80,"✓ Best",IF(G46&lt;=150,"○ Good",IF(G46&lt;=300,"⚠ Avg","✗ High"))))</f>
        <v/>
      </c>
    </row>
    <row r="47" customFormat="false" ht="15" hidden="false" customHeight="true" outlineLevel="0" collapsed="false">
      <c r="A47" s="183" t="str">
        <f aca="false">IF(A23="","",A23)</f>
        <v/>
      </c>
      <c r="B47" s="191" t="str">
        <f aca="false">IF(A23="","",IF(O23&gt;0,"Fuel-based","Distance-based"))</f>
        <v/>
      </c>
      <c r="C47" s="188" t="str">
        <f aca="false">IFERROR(IF(O23&gt;0,IF(H23="Diesel",O23*Assumptions!$B$30,IF(H23="Petrol",O23*Assumptions!$B$31,IF(H23="LPG",O23*Assumptions!$B$32,IF(H23="Electric",I23*0.35*Assumptions!$B$33,O23*Assumptions!$B$30)))),""),"")</f>
        <v/>
      </c>
      <c r="D47" s="188" t="n">
        <f aca="false">IFERROR(I23*IF(G23="Light",18,IF(G23="Medium",22,IF(G23="Heavy",26.5,IF(G23="Articulated",35,22))))/100*Assumptions!$B$30,0)</f>
        <v>0</v>
      </c>
      <c r="E47" s="192" t="str">
        <f aca="false">IFERROR(IF(A23="","",IF(O23&gt;0,C47,D47)/1000),0)</f>
        <v/>
      </c>
      <c r="F47" s="193" t="n">
        <f aca="false">IFERROR(E47*1000000/I23,0)</f>
        <v>0</v>
      </c>
      <c r="G47" s="194" t="n">
        <f aca="false">IFERROR(E47*1000000/K23,0)</f>
        <v>0</v>
      </c>
      <c r="H47" s="185" t="str">
        <f aca="false">IF(L23="","",L23)</f>
        <v/>
      </c>
      <c r="I47" s="192" t="str">
        <f aca="false">IFERROR(IF(L23="","",IF(ISNUMBER(SEARCH("Shared",L23)),E47/3,E47)),"")</f>
        <v/>
      </c>
      <c r="J47" s="185" t="str">
        <f aca="false">IF(A23="","",IF(N23="No","⚠ Backhaul",""))</f>
        <v/>
      </c>
      <c r="K47" s="185" t="str">
        <f aca="false">IF(A23="","",IF(G47&lt;=80,"✓ Best",IF(G47&lt;=150,"○ Good",IF(G47&lt;=300,"⚠ Avg","✗ High"))))</f>
        <v/>
      </c>
    </row>
    <row r="48" customFormat="false" ht="15" hidden="false" customHeight="true" outlineLevel="0" collapsed="false">
      <c r="A48" s="183" t="str">
        <f aca="false">IF(A24="","",A24)</f>
        <v/>
      </c>
      <c r="B48" s="191" t="str">
        <f aca="false">IF(A24="","",IF(O24&gt;0,"Fuel-based","Distance-based"))</f>
        <v/>
      </c>
      <c r="C48" s="188" t="str">
        <f aca="false">IFERROR(IF(O24&gt;0,IF(H24="Diesel",O24*Assumptions!$B$30,IF(H24="Petrol",O24*Assumptions!$B$31,IF(H24="LPG",O24*Assumptions!$B$32,IF(H24="Electric",I24*0.35*Assumptions!$B$33,O24*Assumptions!$B$30)))),""),"")</f>
        <v/>
      </c>
      <c r="D48" s="188" t="n">
        <f aca="false">IFERROR(I24*IF(G24="Light",18,IF(G24="Medium",22,IF(G24="Heavy",26.5,IF(G24="Articulated",35,22))))/100*Assumptions!$B$30,0)</f>
        <v>0</v>
      </c>
      <c r="E48" s="192" t="str">
        <f aca="false">IFERROR(IF(A24="","",IF(O24&gt;0,C48,D48)/1000),0)</f>
        <v/>
      </c>
      <c r="F48" s="193" t="n">
        <f aca="false">IFERROR(E48*1000000/I24,0)</f>
        <v>0</v>
      </c>
      <c r="G48" s="194" t="n">
        <f aca="false">IFERROR(E48*1000000/K24,0)</f>
        <v>0</v>
      </c>
      <c r="H48" s="185" t="str">
        <f aca="false">IF(L24="","",L24)</f>
        <v/>
      </c>
      <c r="I48" s="192" t="str">
        <f aca="false">IFERROR(IF(L24="","",IF(ISNUMBER(SEARCH("Shared",L24)),E48/3,E48)),"")</f>
        <v/>
      </c>
      <c r="J48" s="185" t="str">
        <f aca="false">IF(A24="","",IF(N24="No","⚠ Backhaul",""))</f>
        <v/>
      </c>
      <c r="K48" s="185" t="str">
        <f aca="false">IF(A24="","",IF(G48&lt;=80,"✓ Best",IF(G48&lt;=150,"○ Good",IF(G48&lt;=300,"⚠ Avg","✗ High"))))</f>
        <v/>
      </c>
    </row>
    <row r="49" customFormat="false" ht="15" hidden="false" customHeight="true" outlineLevel="0" collapsed="false">
      <c r="A49" s="183" t="str">
        <f aca="false">IF(A25="","",A25)</f>
        <v/>
      </c>
      <c r="B49" s="191" t="str">
        <f aca="false">IF(A25="","",IF(O25&gt;0,"Fuel-based","Distance-based"))</f>
        <v/>
      </c>
      <c r="C49" s="188" t="str">
        <f aca="false">IFERROR(IF(O25&gt;0,IF(H25="Diesel",O25*Assumptions!$B$30,IF(H25="Petrol",O25*Assumptions!$B$31,IF(H25="LPG",O25*Assumptions!$B$32,IF(H25="Electric",I25*0.35*Assumptions!$B$33,O25*Assumptions!$B$30)))),""),"")</f>
        <v/>
      </c>
      <c r="D49" s="188" t="n">
        <f aca="false">IFERROR(I25*IF(G25="Light",18,IF(G25="Medium",22,IF(G25="Heavy",26.5,IF(G25="Articulated",35,22))))/100*Assumptions!$B$30,0)</f>
        <v>0</v>
      </c>
      <c r="E49" s="192" t="str">
        <f aca="false">IFERROR(IF(A25="","",IF(O25&gt;0,C49,D49)/1000),0)</f>
        <v/>
      </c>
      <c r="F49" s="193" t="n">
        <f aca="false">IFERROR(E49*1000000/I25,0)</f>
        <v>0</v>
      </c>
      <c r="G49" s="194" t="n">
        <f aca="false">IFERROR(E49*1000000/K25,0)</f>
        <v>0</v>
      </c>
      <c r="H49" s="185" t="str">
        <f aca="false">IF(L25="","",L25)</f>
        <v/>
      </c>
      <c r="I49" s="192" t="str">
        <f aca="false">IFERROR(IF(L25="","",IF(ISNUMBER(SEARCH("Shared",L25)),E49/3,E49)),"")</f>
        <v/>
      </c>
      <c r="J49" s="185" t="str">
        <f aca="false">IF(A25="","",IF(N25="No","⚠ Backhaul",""))</f>
        <v/>
      </c>
      <c r="K49" s="185" t="str">
        <f aca="false">IF(A25="","",IF(G49&lt;=80,"✓ Best",IF(G49&lt;=150,"○ Good",IF(G49&lt;=300,"⚠ Avg","✗ High"))))</f>
        <v/>
      </c>
    </row>
    <row r="50" customFormat="false" ht="15" hidden="false" customHeight="true" outlineLevel="0" collapsed="false">
      <c r="A50" s="189" t="s">
        <v>384</v>
      </c>
      <c r="E50" s="195" t="n">
        <f aca="false">SUM(E30:E49)</f>
        <v>1.0810316</v>
      </c>
      <c r="G50" s="196" t="n">
        <f aca="false">IFERROR(AVERAGEIF(G30:G49,"&gt;0"),0)</f>
        <v>257.244484962406</v>
      </c>
      <c r="I50" s="195" t="n">
        <f aca="false">SUM(I30:I49)</f>
        <v>0.620822</v>
      </c>
    </row>
    <row r="52" customFormat="false" ht="15" hidden="false" customHeight="true" outlineLevel="0" collapsed="false">
      <c r="A52" s="181" t="s">
        <v>841</v>
      </c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</row>
    <row r="53" customFormat="false" ht="31.5" hidden="false" customHeight="true" outlineLevel="0" collapsed="false">
      <c r="A53" s="182" t="s">
        <v>660</v>
      </c>
      <c r="B53" s="182" t="s">
        <v>137</v>
      </c>
      <c r="C53" s="182" t="s">
        <v>138</v>
      </c>
      <c r="D53" s="182" t="s">
        <v>566</v>
      </c>
      <c r="E53" s="182" t="s">
        <v>842</v>
      </c>
      <c r="F53" s="197" t="s">
        <v>843</v>
      </c>
      <c r="G53" s="197"/>
      <c r="H53" s="197"/>
      <c r="I53" s="197"/>
      <c r="J53" s="197"/>
      <c r="K53" s="197"/>
      <c r="L53" s="197"/>
      <c r="M53" s="197"/>
      <c r="N53" s="197"/>
      <c r="O53" s="197"/>
    </row>
    <row r="54" customFormat="false" ht="34.5" hidden="false" customHeight="true" outlineLevel="0" collapsed="false">
      <c r="A54" s="198" t="s">
        <v>844</v>
      </c>
      <c r="B54" s="188" t="n">
        <f aca="false">COUNTIF(A6:A25,"T-*")</f>
        <v>7</v>
      </c>
      <c r="C54" s="185" t="s">
        <v>260</v>
      </c>
      <c r="D54" s="185" t="s">
        <v>845</v>
      </c>
      <c r="F54" s="25"/>
      <c r="G54" s="25"/>
      <c r="H54" s="25"/>
      <c r="I54" s="25"/>
      <c r="J54" s="25"/>
      <c r="K54" s="25"/>
      <c r="L54" s="25"/>
      <c r="M54" s="25"/>
      <c r="N54" s="25"/>
      <c r="O54" s="25"/>
    </row>
    <row r="55" customFormat="false" ht="34.5" hidden="false" customHeight="true" outlineLevel="0" collapsed="false">
      <c r="A55" s="198" t="s">
        <v>846</v>
      </c>
      <c r="B55" s="188" t="n">
        <f aca="false">SUM(I6:I25)</f>
        <v>1544</v>
      </c>
      <c r="C55" s="185" t="s">
        <v>847</v>
      </c>
      <c r="D55" s="185" t="s">
        <v>845</v>
      </c>
      <c r="F55" s="25"/>
      <c r="G55" s="25"/>
      <c r="H55" s="25"/>
      <c r="I55" s="25"/>
      <c r="J55" s="25"/>
      <c r="K55" s="25"/>
      <c r="L55" s="25"/>
      <c r="M55" s="25"/>
      <c r="N55" s="25"/>
      <c r="O55" s="25"/>
    </row>
    <row r="56" customFormat="false" ht="45.75" hidden="false" customHeight="true" outlineLevel="0" collapsed="false">
      <c r="A56" s="198" t="s">
        <v>848</v>
      </c>
      <c r="B56" s="188" t="n">
        <f aca="false">SUM(J6:J25)</f>
        <v>50</v>
      </c>
      <c r="C56" s="185" t="s">
        <v>849</v>
      </c>
      <c r="D56" s="185" t="s">
        <v>845</v>
      </c>
      <c r="F56" s="25"/>
      <c r="G56" s="25"/>
      <c r="H56" s="25"/>
      <c r="I56" s="25"/>
      <c r="J56" s="25"/>
      <c r="K56" s="25"/>
      <c r="L56" s="25"/>
      <c r="M56" s="25"/>
      <c r="N56" s="25"/>
      <c r="O56" s="25"/>
    </row>
    <row r="57" customFormat="false" ht="45.75" hidden="false" customHeight="true" outlineLevel="0" collapsed="false">
      <c r="A57" s="198" t="s">
        <v>850</v>
      </c>
      <c r="B57" s="188" t="n">
        <f aca="false">SUM(K6:K25)</f>
        <v>15572.4</v>
      </c>
      <c r="C57" s="185" t="s">
        <v>851</v>
      </c>
      <c r="D57" s="185" t="s">
        <v>845</v>
      </c>
      <c r="F57" s="25" t="s">
        <v>852</v>
      </c>
      <c r="G57" s="25"/>
      <c r="H57" s="25"/>
      <c r="I57" s="25"/>
      <c r="J57" s="25"/>
      <c r="K57" s="25"/>
      <c r="L57" s="25"/>
      <c r="M57" s="25"/>
      <c r="N57" s="25"/>
      <c r="O57" s="25"/>
    </row>
    <row r="58" customFormat="false" ht="45.75" hidden="false" customHeight="true" outlineLevel="0" collapsed="false">
      <c r="A58" s="198" t="s">
        <v>853</v>
      </c>
      <c r="B58" s="199" t="n">
        <f aca="false">SUM(E30:E49)</f>
        <v>1.0810316</v>
      </c>
      <c r="C58" s="185" t="s">
        <v>634</v>
      </c>
      <c r="D58" s="185" t="s">
        <v>845</v>
      </c>
      <c r="F58" s="25"/>
      <c r="G58" s="25"/>
      <c r="H58" s="25"/>
      <c r="I58" s="25"/>
      <c r="J58" s="25"/>
      <c r="K58" s="25"/>
      <c r="L58" s="25"/>
      <c r="M58" s="25"/>
      <c r="N58" s="25"/>
      <c r="O58" s="25"/>
    </row>
    <row r="59" customFormat="false" ht="57" hidden="false" customHeight="true" outlineLevel="0" collapsed="false">
      <c r="A59" s="198" t="s">
        <v>854</v>
      </c>
      <c r="B59" s="188" t="n">
        <f aca="false">IFERROR(SUM(E30:E49)*1000000/SUM(K6:K25),0)</f>
        <v>69.4197169350903</v>
      </c>
      <c r="C59" s="185" t="s">
        <v>837</v>
      </c>
      <c r="D59" s="185" t="n">
        <v>80</v>
      </c>
      <c r="E59" s="185" t="str">
        <f aca="false">IF(B59&lt;=D59,"✓ Met",IF(B59&lt;=D59*1.5,"⚠ Partial","✗ Gap"))</f>
        <v>✓ Met</v>
      </c>
      <c r="F59" s="25" t="s">
        <v>855</v>
      </c>
      <c r="G59" s="25"/>
      <c r="H59" s="25"/>
      <c r="I59" s="25"/>
      <c r="J59" s="25"/>
      <c r="K59" s="25"/>
      <c r="L59" s="25"/>
      <c r="M59" s="25"/>
      <c r="N59" s="25"/>
      <c r="O59" s="25"/>
    </row>
    <row r="60" customFormat="false" ht="57" hidden="false" customHeight="true" outlineLevel="0" collapsed="false">
      <c r="A60" s="198" t="s">
        <v>856</v>
      </c>
      <c r="B60" s="188" t="n">
        <f aca="false">IFERROR(SUM(E30:E49)*1000000/SUM(I6:I25),0)</f>
        <v>700.15</v>
      </c>
      <c r="C60" s="185" t="s">
        <v>836</v>
      </c>
      <c r="D60" s="185" t="n">
        <v>900</v>
      </c>
      <c r="E60" s="185" t="str">
        <f aca="false">IF(B60&lt;=D60,"✓ Met",IF(B60&lt;=D60*1.5,"⚠ Partial","✗ Gap"))</f>
        <v>✓ Met</v>
      </c>
      <c r="F60" s="25" t="s">
        <v>857</v>
      </c>
      <c r="G60" s="25"/>
      <c r="H60" s="25"/>
      <c r="I60" s="25"/>
      <c r="J60" s="25"/>
      <c r="K60" s="25"/>
      <c r="L60" s="25"/>
      <c r="M60" s="25"/>
      <c r="N60" s="25"/>
      <c r="O60" s="25"/>
    </row>
    <row r="61" customFormat="false" ht="57" hidden="false" customHeight="true" outlineLevel="0" collapsed="false">
      <c r="A61" s="198" t="s">
        <v>858</v>
      </c>
      <c r="B61" s="199" t="n">
        <f aca="false">IFERROR(SUM(E30:E49)/COUNTIF(A6:A25,"T-*"),0)</f>
        <v>0.154433085714286</v>
      </c>
      <c r="C61" s="185" t="s">
        <v>859</v>
      </c>
      <c r="D61" s="185" t="s">
        <v>279</v>
      </c>
      <c r="F61" s="25"/>
      <c r="G61" s="25"/>
      <c r="H61" s="25"/>
      <c r="I61" s="25"/>
      <c r="J61" s="25"/>
      <c r="K61" s="25"/>
      <c r="L61" s="25"/>
      <c r="M61" s="25"/>
      <c r="N61" s="25"/>
      <c r="O61" s="25"/>
    </row>
    <row r="62" customFormat="false" ht="34.5" hidden="false" customHeight="true" outlineLevel="0" collapsed="false">
      <c r="A62" s="198" t="s">
        <v>860</v>
      </c>
      <c r="B62" s="200" t="n">
        <f aca="false">IFERROR(COUNTIF(N6:N25,"No")/COUNTIF(A6:A25,"T-*"),0)</f>
        <v>0</v>
      </c>
      <c r="C62" s="185" t="s">
        <v>183</v>
      </c>
      <c r="D62" s="185" t="n">
        <v>0.15</v>
      </c>
      <c r="E62" s="185" t="str">
        <f aca="false">IF(B62&lt;=D62,"✓ Met",IF(B62&lt;=D62*1.5,"⚠ Partial","✗ Gap"))</f>
        <v>✓ Met</v>
      </c>
      <c r="F62" s="25" t="s">
        <v>861</v>
      </c>
      <c r="G62" s="25"/>
      <c r="H62" s="25"/>
      <c r="I62" s="25"/>
      <c r="J62" s="25"/>
      <c r="K62" s="25"/>
      <c r="L62" s="25"/>
      <c r="M62" s="25"/>
      <c r="N62" s="25"/>
      <c r="O62" s="25"/>
    </row>
    <row r="63" customFormat="false" ht="23.25" hidden="false" customHeight="true" outlineLevel="0" collapsed="false">
      <c r="A63" s="198" t="s">
        <v>862</v>
      </c>
      <c r="B63" s="200" t="n">
        <f aca="false">IFERROR(COUNTIF(N6:N25,"Yes")/COUNTIF(A6:A25,"T-*"),0)</f>
        <v>1</v>
      </c>
      <c r="C63" s="185" t="s">
        <v>183</v>
      </c>
      <c r="D63" s="185" t="n">
        <v>0.85</v>
      </c>
      <c r="E63" s="185" t="str">
        <f aca="false">IF(B63&gt;=D63,"✓ Met",IF(B63&gt;=D63*0.7,"⚠ Partial","✗ Gap"))</f>
        <v>✓ Met</v>
      </c>
      <c r="F63" s="25" t="s">
        <v>863</v>
      </c>
      <c r="G63" s="25"/>
      <c r="H63" s="25"/>
      <c r="I63" s="25"/>
      <c r="J63" s="25"/>
      <c r="K63" s="25"/>
      <c r="L63" s="25"/>
      <c r="M63" s="25"/>
      <c r="N63" s="25"/>
      <c r="O63" s="25"/>
    </row>
    <row r="65" customFormat="false" ht="15" hidden="false" customHeight="true" outlineLevel="0" collapsed="false">
      <c r="A65" s="181" t="s">
        <v>864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</row>
    <row r="66" customFormat="false" ht="31.5" hidden="false" customHeight="true" outlineLevel="0" collapsed="false">
      <c r="A66" s="182" t="s">
        <v>800</v>
      </c>
      <c r="B66" s="182" t="s">
        <v>865</v>
      </c>
      <c r="C66" s="182" t="s">
        <v>797</v>
      </c>
      <c r="D66" s="182" t="s">
        <v>866</v>
      </c>
      <c r="E66" s="182" t="s">
        <v>867</v>
      </c>
      <c r="F66" s="182" t="s">
        <v>868</v>
      </c>
      <c r="G66" s="182" t="s">
        <v>674</v>
      </c>
      <c r="H66" s="182" t="s">
        <v>869</v>
      </c>
    </row>
    <row r="67" customFormat="false" ht="23.25" hidden="false" customHeight="true" outlineLevel="0" collapsed="false">
      <c r="A67" s="198" t="s">
        <v>810</v>
      </c>
      <c r="B67" s="201" t="n">
        <f aca="false">COUNTIF(L$6:L$25,"Engen Express")</f>
        <v>2</v>
      </c>
      <c r="C67" s="188" t="n">
        <f aca="false">SUMIF(L$6:L$25,"Engen Express",I$6:I$25)</f>
        <v>3</v>
      </c>
      <c r="D67" s="188" t="n">
        <f aca="false">SUMIF(L$6:L$25,"Engen Express",K$6:K$25)</f>
        <v>9</v>
      </c>
      <c r="E67" s="192" t="n">
        <f aca="false">SUMIF(H$30:H$49,"Engen Express",I$30:I$49)</f>
        <v>0.001675</v>
      </c>
      <c r="F67" s="193" t="n">
        <f aca="false">IFERROR(E67*1000000/D67,0)</f>
        <v>186.111111111111</v>
      </c>
      <c r="G67" s="200" t="n">
        <f aca="false">IFERROR(E67/SUM(E$67:E$70),0)</f>
        <v>0.00269803582991582</v>
      </c>
      <c r="H67" s="185" t="str">
        <f aca="false">IF(AND(B67&gt;0,E67&gt;0),"📋 Client-ready","○ No data")</f>
        <v>📋 Client-ready</v>
      </c>
    </row>
    <row r="68" customFormat="false" ht="34.5" hidden="false" customHeight="true" outlineLevel="0" collapsed="false">
      <c r="A68" s="198" t="s">
        <v>818</v>
      </c>
      <c r="B68" s="201" t="n">
        <f aca="false">COUNTIF(L$6:L$25,"Engen Logistics")</f>
        <v>2</v>
      </c>
      <c r="C68" s="188" t="n">
        <f aca="false">SUMIF(L$6:L$25,"Engen Logistics",I$6:I$25)</f>
        <v>92</v>
      </c>
      <c r="D68" s="188" t="n">
        <f aca="false">SUMIF(L$6:L$25,"Engen Logistics",K$6:K$25)</f>
        <v>253.4</v>
      </c>
      <c r="E68" s="192" t="n">
        <f aca="false">SUMIF(H$30:H$49,"Engen Logistics",I$30:I$49)</f>
        <v>0.0502768</v>
      </c>
      <c r="F68" s="193" t="n">
        <f aca="false">IFERROR(E68*1000000/D68,0)</f>
        <v>198.408839779006</v>
      </c>
      <c r="G68" s="200" t="n">
        <f aca="false">IFERROR(E68/SUM(E$67:E$70),0)</f>
        <v>0.0809842434707533</v>
      </c>
      <c r="H68" s="185" t="str">
        <f aca="false">IF(AND(B68&gt;0,E68&gt;0),"📋 Client-ready","○ No data")</f>
        <v>📋 Client-ready</v>
      </c>
    </row>
    <row r="69" customFormat="false" ht="23.25" hidden="false" customHeight="true" outlineLevel="0" collapsed="false">
      <c r="A69" s="198" t="s">
        <v>825</v>
      </c>
      <c r="B69" s="201" t="n">
        <f aca="false">COUNTIF(L$6:L$25,"Famous Brands")</f>
        <v>2</v>
      </c>
      <c r="C69" s="188" t="n">
        <f aca="false">SUMIF(L$6:L$25,"Famous Brands",I$6:I$25)</f>
        <v>477</v>
      </c>
      <c r="D69" s="188" t="n">
        <f aca="false">SUMIF(L$6:L$25,"Famous Brands",K$6:K$25)</f>
        <v>7534</v>
      </c>
      <c r="E69" s="192" t="n">
        <f aca="false">SUMIF(H$30:H$49,"Famous Brands",I$30:I$49)</f>
        <v>0.3387654</v>
      </c>
      <c r="F69" s="193" t="n">
        <f aca="false">IFERROR(E69*1000000/D69,0)</f>
        <v>44.9648792142288</v>
      </c>
      <c r="G69" s="200" t="n">
        <f aca="false">IFERROR(E69/SUM(E$67:E$70),0)</f>
        <v>0.545672350528815</v>
      </c>
      <c r="H69" s="185" t="str">
        <f aca="false">IF(AND(B69&gt;0,E69&gt;0),"📋 Client-ready","○ No data")</f>
        <v>📋 Client-ready</v>
      </c>
    </row>
    <row r="70" customFormat="false" ht="45.75" hidden="false" customHeight="true" outlineLevel="0" collapsed="false">
      <c r="A70" s="198" t="s">
        <v>830</v>
      </c>
      <c r="B70" s="201" t="n">
        <f aca="false">COUNTIF(L$6:L$25,"Shared (3 customers)")</f>
        <v>1</v>
      </c>
      <c r="C70" s="188" t="n">
        <f aca="false">SUMIF(L$6:L$25,"Shared (3 customers)",I$6:I$25)</f>
        <v>972</v>
      </c>
      <c r="D70" s="188" t="n">
        <f aca="false">SUMIF(L$6:L$25,"Shared (3 customers)",K$6:K$25)</f>
        <v>7776</v>
      </c>
      <c r="E70" s="192" t="n">
        <f aca="false">SUMIF(H$30:H$49,"Shared (3 customers)",I$30:I$49)</f>
        <v>0.2301048</v>
      </c>
      <c r="F70" s="193" t="n">
        <f aca="false">IFERROR(E70*1000000/D70,0)</f>
        <v>29.5916666666667</v>
      </c>
      <c r="G70" s="200" t="n">
        <f aca="false">IFERROR(E70/SUM(E$67:E$70),0)</f>
        <v>0.370645370170516</v>
      </c>
      <c r="H70" s="185" t="str">
        <f aca="false">IF(AND(B70&gt;0,E70&gt;0),"📋 Client-ready","○ No data")</f>
        <v>📋 Client-ready</v>
      </c>
    </row>
    <row r="71" customFormat="false" ht="15" hidden="false" customHeight="true" outlineLevel="0" collapsed="false">
      <c r="A71" s="189" t="s">
        <v>870</v>
      </c>
      <c r="B71" s="202" t="n">
        <f aca="false">SUM(B67:B70)</f>
        <v>7</v>
      </c>
      <c r="C71" s="190" t="n">
        <f aca="false">SUM(C67:C70)</f>
        <v>1544</v>
      </c>
      <c r="D71" s="190" t="n">
        <f aca="false">SUM(D67:D70)</f>
        <v>15572.4</v>
      </c>
      <c r="E71" s="195" t="n">
        <f aca="false">SUM(E67:E70)</f>
        <v>0.620822</v>
      </c>
      <c r="F71" s="196" t="n">
        <f aca="false">IFERROR(E71*1000000/D71,0)</f>
        <v>39.8668156481981</v>
      </c>
      <c r="G71" s="203" t="n">
        <f aca="false">SUM(G67:G70)</f>
        <v>1</v>
      </c>
    </row>
    <row r="73" customFormat="false" ht="15" hidden="false" customHeight="true" outlineLevel="0" collapsed="false">
      <c r="A73" s="181" t="s">
        <v>871</v>
      </c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</row>
    <row r="74" customFormat="false" ht="45.75" hidden="false" customHeight="true" outlineLevel="0" collapsed="false">
      <c r="A74" s="198" t="s">
        <v>872</v>
      </c>
      <c r="B74" s="188" t="n">
        <f aca="false">IFERROR(SUM(I6:I25)/COUNTIF(A6:A25,"T-*"),0)</f>
        <v>220.571428571429</v>
      </c>
      <c r="C74" s="185" t="s">
        <v>847</v>
      </c>
    </row>
    <row r="75" customFormat="false" ht="34.5" hidden="false" customHeight="true" outlineLevel="0" collapsed="false">
      <c r="A75" s="198" t="s">
        <v>873</v>
      </c>
      <c r="B75" s="188" t="n">
        <f aca="false">IFERROR(SUM(J6:J25)/COUNTIF(A6:A25,"T-*"),0)</f>
        <v>7.14285714285714</v>
      </c>
      <c r="C75" s="185" t="s">
        <v>849</v>
      </c>
    </row>
    <row r="76" customFormat="false" ht="34.5" hidden="false" customHeight="true" outlineLevel="0" collapsed="false">
      <c r="A76" s="198" t="s">
        <v>874</v>
      </c>
      <c r="B76" s="188" t="n">
        <f aca="false">IFERROR(SUM(K6:K25)/COUNTIF(A6:A25,"T-*"),0)</f>
        <v>2224.62857142857</v>
      </c>
      <c r="C76" s="185" t="s">
        <v>851</v>
      </c>
    </row>
    <row r="77" customFormat="false" ht="34.5" hidden="false" customHeight="true" outlineLevel="0" collapsed="false">
      <c r="A77" s="198" t="s">
        <v>875</v>
      </c>
      <c r="B77" s="188" t="n">
        <f aca="false">MAX(I6:I25)</f>
        <v>972</v>
      </c>
      <c r="C77" s="185" t="s">
        <v>847</v>
      </c>
    </row>
    <row r="78" customFormat="false" ht="34.5" hidden="false" customHeight="true" outlineLevel="0" collapsed="false">
      <c r="A78" s="198" t="s">
        <v>876</v>
      </c>
      <c r="B78" s="188" t="n">
        <f aca="false">IFERROR(minifs(I6:I25,I6:I25,"&gt;0"),0)</f>
        <v>0</v>
      </c>
      <c r="C78" s="185" t="s">
        <v>847</v>
      </c>
    </row>
    <row r="79" customFormat="false" ht="45.75" hidden="false" customHeight="true" outlineLevel="0" collapsed="false">
      <c r="A79" s="198" t="s">
        <v>877</v>
      </c>
      <c r="B79" s="201" t="n">
        <f aca="false">COUNTIF(O6:O25,"&gt;0")</f>
        <v>0</v>
      </c>
      <c r="C79" s="185" t="s">
        <v>260</v>
      </c>
    </row>
    <row r="80" customFormat="false" ht="45.75" hidden="false" customHeight="true" outlineLevel="0" collapsed="false">
      <c r="A80" s="198" t="s">
        <v>878</v>
      </c>
      <c r="B80" s="201" t="n">
        <f aca="false">COUNTIF(A6:A25,"T-*")-COUNTIF(O6:O25,"&gt;0")</f>
        <v>7</v>
      </c>
      <c r="C80" s="185" t="s">
        <v>260</v>
      </c>
    </row>
    <row r="81" customFormat="false" ht="45.75" hidden="false" customHeight="true" outlineLevel="0" collapsed="false">
      <c r="A81" s="198" t="s">
        <v>879</v>
      </c>
      <c r="B81" s="200" t="n">
        <f aca="false">IFERROR(COUNTIF(O6:O25,"&gt;0")/COUNTIF(A6:A25,"T-*"),0)</f>
        <v>0</v>
      </c>
      <c r="C81" s="185" t="s">
        <v>183</v>
      </c>
    </row>
  </sheetData>
  <mergeCells count="18">
    <mergeCell ref="A1:O1"/>
    <mergeCell ref="A2:O2"/>
    <mergeCell ref="A4:O4"/>
    <mergeCell ref="A28:O28"/>
    <mergeCell ref="A52:O52"/>
    <mergeCell ref="F53:O53"/>
    <mergeCell ref="F54:O54"/>
    <mergeCell ref="F55:O55"/>
    <mergeCell ref="F56:O56"/>
    <mergeCell ref="F57:O57"/>
    <mergeCell ref="F58:O58"/>
    <mergeCell ref="F59:O59"/>
    <mergeCell ref="F60:O60"/>
    <mergeCell ref="F61:O61"/>
    <mergeCell ref="F62:O62"/>
    <mergeCell ref="F63:O63"/>
    <mergeCell ref="A65:O65"/>
    <mergeCell ref="A73:O73"/>
  </mergeCells>
  <conditionalFormatting sqref="K30:K49">
    <cfRule type="expression" priority="2" aboveAverage="0" equalAverage="0" bottom="0" percent="0" rank="0" text="" dxfId="0">
      <formula>ISNUMBER(SEARCH("Best",K30))</formula>
    </cfRule>
    <cfRule type="expression" priority="3" aboveAverage="0" equalAverage="0" bottom="0" percent="0" rank="0" text="" dxfId="5">
      <formula>ISNUMBER(SEARCH("Good",K30))</formula>
    </cfRule>
    <cfRule type="expression" priority="4" aboveAverage="0" equalAverage="0" bottom="0" percent="0" rank="0" text="" dxfId="1">
      <formula>ISNUMBER(SEARCH("Avg",K30))</formula>
    </cfRule>
    <cfRule type="expression" priority="5" aboveAverage="0" equalAverage="0" bottom="0" percent="0" rank="0" text="" dxfId="6">
      <formula>ISNUMBER(SEARCH("High",K30))</formula>
    </cfRule>
  </conditionalFormatting>
  <conditionalFormatting sqref="E54:E63">
    <cfRule type="expression" priority="6" aboveAverage="0" equalAverage="0" bottom="0" percent="0" rank="0" text="" dxfId="0">
      <formula>ISNUMBER(SEARCH("Met",E54))</formula>
    </cfRule>
    <cfRule type="expression" priority="7" aboveAverage="0" equalAverage="0" bottom="0" percent="0" rank="0" text="" dxfId="1">
      <formula>ISNUMBER(SEARCH("Partial",E54))</formula>
    </cfRule>
    <cfRule type="expression" priority="8" aboveAverage="0" equalAverage="0" bottom="0" percent="0" rank="0" text="" dxfId="6">
      <formula>ISNUMBER(SEARCH("Gap",E54))</formula>
    </cfRule>
  </conditionalFormatting>
  <conditionalFormatting sqref="H67:H70">
    <cfRule type="expression" priority="9" aboveAverage="0" equalAverage="0" bottom="0" percent="0" rank="0" text="" dxfId="0">
      <formula>ISNUMBER(SEARCH("Client-ready",H67))</formula>
    </cfRule>
    <cfRule type="expression" priority="10" aboveAverage="0" equalAverage="0" bottom="0" percent="0" rank="0" text="" dxfId="7">
      <formula>ISNUMBER(SEARCH("No data",H67))</formula>
    </cfRule>
  </conditionalFormatting>
  <dataValidations count="5">
    <dataValidation allowBlank="true" errorStyle="stop" operator="between" showDropDown="false" showErrorMessage="false" showInputMessage="false" sqref="F6:F25" type="list">
      <formula1>"Road,Rail,Sea,Air,Multi-modal"</formula1>
      <formula2>0</formula2>
    </dataValidation>
    <dataValidation allowBlank="true" errorStyle="stop" operator="between" showDropDown="false" showErrorMessage="false" showInputMessage="false" sqref="G6:G25" type="list">
      <formula1>"Light,Medium,Heavy,Articulated,Rigid"</formula1>
      <formula2>0</formula2>
    </dataValidation>
    <dataValidation allowBlank="true" errorStyle="stop" operator="between" showDropDown="false" showErrorMessage="false" showInputMessage="false" sqref="H6:H25" type="list">
      <formula1>"Diesel,Petrol,LPG,Electric,Hybrid,CNG,LNG"</formula1>
      <formula2>0</formula2>
    </dataValidation>
    <dataValidation allowBlank="true" errorStyle="stop" operator="between" showDropDown="false" showErrorMessage="false" showInputMessage="false" sqref="M6:M25" type="list">
      <formula1>"Weight,Volume,Distance,Revenue,Equal-share"</formula1>
      <formula2>0</formula2>
    </dataValidation>
    <dataValidation allowBlank="true" errorStyle="stop" operator="between" showDropDown="false" showErrorMessage="false" showInputMessage="false" sqref="N6:N2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4F12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2"/>
    <col collapsed="false" customWidth="true" hidden="false" outlineLevel="0" max="5" min="3" style="1" width="10"/>
    <col collapsed="false" customWidth="true" hidden="false" outlineLevel="0" max="6" min="6" style="1" width="12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4"/>
  </cols>
  <sheetData>
    <row r="1" customFormat="false" ht="21.75" hidden="false" customHeight="true" outlineLevel="0" collapsed="false">
      <c r="A1" s="204" t="s">
        <v>880</v>
      </c>
      <c r="B1" s="204"/>
      <c r="C1" s="204"/>
      <c r="D1" s="204"/>
      <c r="E1" s="204"/>
      <c r="F1" s="204"/>
      <c r="G1" s="204"/>
      <c r="H1" s="204"/>
      <c r="I1" s="204"/>
      <c r="J1" s="204"/>
    </row>
    <row r="3" customFormat="false" ht="13.5" hidden="false" customHeight="true" outlineLevel="0" collapsed="false">
      <c r="A3" s="146" t="s">
        <v>881</v>
      </c>
      <c r="B3" s="146"/>
      <c r="C3" s="146"/>
      <c r="D3" s="146"/>
      <c r="E3" s="146"/>
      <c r="F3" s="146"/>
      <c r="G3" s="146"/>
      <c r="H3" s="146"/>
      <c r="I3" s="146"/>
      <c r="J3" s="146"/>
    </row>
    <row r="4" customFormat="false" ht="27.75" hidden="false" customHeight="true" outlineLevel="0" collapsed="false">
      <c r="A4" s="148" t="s">
        <v>882</v>
      </c>
      <c r="B4" s="148" t="s">
        <v>619</v>
      </c>
      <c r="C4" s="148" t="s">
        <v>883</v>
      </c>
      <c r="D4" s="148" t="s">
        <v>884</v>
      </c>
      <c r="E4" s="148" t="s">
        <v>885</v>
      </c>
      <c r="F4" s="148" t="s">
        <v>886</v>
      </c>
      <c r="G4" s="148" t="s">
        <v>887</v>
      </c>
      <c r="H4" s="148" t="s">
        <v>888</v>
      </c>
      <c r="I4" s="148" t="s">
        <v>889</v>
      </c>
      <c r="J4" s="148" t="s">
        <v>890</v>
      </c>
    </row>
    <row r="5" customFormat="false" ht="12.75" hidden="false" customHeight="true" outlineLevel="0" collapsed="false">
      <c r="A5" s="205" t="s">
        <v>552</v>
      </c>
      <c r="B5" s="206" t="s">
        <v>891</v>
      </c>
      <c r="C5" s="206" t="s">
        <v>892</v>
      </c>
      <c r="D5" s="154" t="n">
        <v>2000</v>
      </c>
      <c r="E5" s="154" t="n">
        <v>0</v>
      </c>
      <c r="F5" s="154" t="n">
        <v>2000</v>
      </c>
      <c r="G5" s="207" t="n">
        <f aca="false">IFERROR(E5/D5,0)</f>
        <v>0</v>
      </c>
      <c r="H5" s="208" t="n">
        <f aca="false">F5*0.58/1000</f>
        <v>1.16</v>
      </c>
      <c r="I5" s="94" t="s">
        <v>893</v>
      </c>
      <c r="J5" s="94" t="s">
        <v>666</v>
      </c>
    </row>
    <row r="6" customFormat="false" ht="12.75" hidden="false" customHeight="true" outlineLevel="0" collapsed="false">
      <c r="A6" s="205" t="s">
        <v>552</v>
      </c>
      <c r="B6" s="206" t="s">
        <v>891</v>
      </c>
      <c r="C6" s="206" t="s">
        <v>894</v>
      </c>
      <c r="D6" s="154" t="n">
        <v>6580</v>
      </c>
      <c r="E6" s="154" t="n">
        <v>6580</v>
      </c>
      <c r="F6" s="154" t="n">
        <v>0</v>
      </c>
      <c r="G6" s="207" t="n">
        <f aca="false">IFERROR(E6/D6,0)</f>
        <v>1</v>
      </c>
      <c r="H6" s="208" t="n">
        <f aca="false">F6*0.58/1000</f>
        <v>0</v>
      </c>
      <c r="I6" s="94" t="s">
        <v>893</v>
      </c>
      <c r="J6" s="94" t="s">
        <v>666</v>
      </c>
    </row>
    <row r="7" customFormat="false" ht="12.75" hidden="false" customHeight="true" outlineLevel="0" collapsed="false">
      <c r="A7" s="205" t="s">
        <v>552</v>
      </c>
      <c r="B7" s="206" t="s">
        <v>891</v>
      </c>
      <c r="C7" s="206" t="s">
        <v>895</v>
      </c>
      <c r="D7" s="154" t="n">
        <v>1100</v>
      </c>
      <c r="E7" s="154" t="n">
        <v>1100</v>
      </c>
      <c r="F7" s="154" t="n">
        <v>0</v>
      </c>
      <c r="G7" s="207" t="n">
        <f aca="false">IFERROR(E7/D7,0)</f>
        <v>1</v>
      </c>
      <c r="H7" s="208" t="n">
        <f aca="false">F7*0.58/1000</f>
        <v>0</v>
      </c>
      <c r="I7" s="94" t="s">
        <v>893</v>
      </c>
      <c r="J7" s="94" t="s">
        <v>666</v>
      </c>
    </row>
    <row r="8" customFormat="false" ht="12.75" hidden="false" customHeight="true" outlineLevel="0" collapsed="false">
      <c r="A8" s="205" t="s">
        <v>552</v>
      </c>
      <c r="B8" s="206" t="s">
        <v>891</v>
      </c>
      <c r="C8" s="206" t="s">
        <v>896</v>
      </c>
      <c r="D8" s="154" t="n">
        <v>880</v>
      </c>
      <c r="E8" s="154" t="n">
        <v>880</v>
      </c>
      <c r="F8" s="154" t="n">
        <v>0</v>
      </c>
      <c r="G8" s="207" t="n">
        <f aca="false">IFERROR(E8/D8,0)</f>
        <v>1</v>
      </c>
      <c r="H8" s="208" t="n">
        <f aca="false">F8*0.58/1000</f>
        <v>0</v>
      </c>
      <c r="I8" s="94" t="s">
        <v>893</v>
      </c>
      <c r="J8" s="94" t="s">
        <v>666</v>
      </c>
    </row>
    <row r="9" customFormat="false" ht="12.75" hidden="false" customHeight="true" outlineLevel="0" collapsed="false">
      <c r="A9" s="205" t="s">
        <v>552</v>
      </c>
      <c r="B9" s="206" t="s">
        <v>897</v>
      </c>
      <c r="C9" s="206" t="s">
        <v>898</v>
      </c>
      <c r="D9" s="154" t="n">
        <v>22470</v>
      </c>
      <c r="E9" s="154" t="n">
        <v>20470</v>
      </c>
      <c r="F9" s="154" t="n">
        <v>2000</v>
      </c>
      <c r="G9" s="209" t="s">
        <v>899</v>
      </c>
      <c r="H9" s="208" t="n">
        <f aca="false">F9*0.58/1000</f>
        <v>1.16</v>
      </c>
      <c r="I9" s="94" t="s">
        <v>893</v>
      </c>
      <c r="J9" s="94" t="s">
        <v>900</v>
      </c>
    </row>
    <row r="11" customFormat="false" ht="13.5" hidden="false" customHeight="true" outlineLevel="0" collapsed="false">
      <c r="A11" s="146" t="s">
        <v>901</v>
      </c>
      <c r="B11" s="146"/>
      <c r="C11" s="146"/>
      <c r="D11" s="146"/>
      <c r="E11" s="146"/>
      <c r="F11" s="146"/>
      <c r="G11" s="146"/>
      <c r="H11" s="146"/>
      <c r="I11" s="146"/>
      <c r="J11" s="146"/>
    </row>
    <row r="12" customFormat="false" ht="15" hidden="false" customHeight="true" outlineLevel="0" collapsed="false">
      <c r="A12" s="148" t="s">
        <v>882</v>
      </c>
      <c r="B12" s="148" t="s">
        <v>544</v>
      </c>
      <c r="C12" s="148" t="s">
        <v>545</v>
      </c>
      <c r="D12" s="148" t="s">
        <v>546</v>
      </c>
      <c r="E12" s="148" t="s">
        <v>547</v>
      </c>
      <c r="F12" s="148" t="s">
        <v>548</v>
      </c>
      <c r="G12" s="148" t="s">
        <v>549</v>
      </c>
      <c r="H12" s="148" t="s">
        <v>550</v>
      </c>
      <c r="I12" s="148" t="s">
        <v>551</v>
      </c>
      <c r="J12" s="148" t="s">
        <v>552</v>
      </c>
    </row>
    <row r="13" customFormat="false" ht="15" hidden="false" customHeight="true" outlineLevel="0" collapsed="false">
      <c r="A13" s="150" t="s">
        <v>902</v>
      </c>
      <c r="B13" s="210" t="n">
        <v>0.1065</v>
      </c>
      <c r="C13" s="210" t="n">
        <v>0.1624</v>
      </c>
      <c r="D13" s="210" t="n">
        <v>0.1106</v>
      </c>
      <c r="E13" s="210" t="n">
        <v>0.0889</v>
      </c>
      <c r="F13" s="210" t="n">
        <v>0.2642</v>
      </c>
      <c r="G13" s="210" t="n">
        <v>0.1068</v>
      </c>
      <c r="H13" s="210" t="n">
        <v>0.046</v>
      </c>
      <c r="I13" s="210" t="n">
        <v>0.1373</v>
      </c>
      <c r="J13" s="210" t="n">
        <v>0.0956</v>
      </c>
    </row>
    <row r="15" customFormat="false" ht="13.5" hidden="false" customHeight="true" outlineLevel="0" collapsed="false">
      <c r="A15" s="118" t="s">
        <v>903</v>
      </c>
      <c r="B15" s="118"/>
      <c r="C15" s="118"/>
      <c r="D15" s="118"/>
      <c r="E15" s="118"/>
      <c r="F15" s="118"/>
      <c r="G15" s="118"/>
      <c r="H15" s="118"/>
      <c r="I15" s="118"/>
      <c r="J15" s="118"/>
    </row>
    <row r="16" customFormat="false" ht="12.75" hidden="false" customHeight="true" outlineLevel="0" collapsed="false">
      <c r="A16" s="150" t="s">
        <v>904</v>
      </c>
      <c r="B16" s="207" t="n">
        <f aca="false">91.1%</f>
        <v>0.911</v>
      </c>
      <c r="C16" s="75" t="s">
        <v>905</v>
      </c>
      <c r="D16" s="211" t="s">
        <v>330</v>
      </c>
      <c r="E16" s="212" t="n">
        <v>5</v>
      </c>
    </row>
    <row r="17" customFormat="false" ht="12.75" hidden="false" customHeight="true" outlineLevel="0" collapsed="false">
      <c r="A17" s="150" t="s">
        <v>906</v>
      </c>
      <c r="B17" s="207" t="n">
        <f aca="false">AVERAGE(B13:J13)</f>
        <v>0.124255555555556</v>
      </c>
      <c r="C17" s="75" t="s">
        <v>907</v>
      </c>
      <c r="D17" s="99"/>
      <c r="E17" s="212" t="n">
        <v>4</v>
      </c>
    </row>
    <row r="18" customFormat="false" ht="12.75" hidden="false" customHeight="true" outlineLevel="0" collapsed="false">
      <c r="A18" s="150" t="s">
        <v>908</v>
      </c>
      <c r="B18" s="207" t="n">
        <f aca="false">SUMIF(F4:F40,"&gt;0",F4:F40)*0.58/1000</f>
        <v>2.320153236</v>
      </c>
      <c r="C18" s="75" t="s">
        <v>909</v>
      </c>
      <c r="D18" s="99"/>
      <c r="E18" s="212" t="n">
        <v>3</v>
      </c>
    </row>
    <row r="19" customFormat="false" ht="12.75" hidden="false" customHeight="true" outlineLevel="0" collapsed="false">
      <c r="A19" s="150" t="s">
        <v>910</v>
      </c>
      <c r="B19" s="180" t="s">
        <v>911</v>
      </c>
      <c r="C19" s="75" t="s">
        <v>912</v>
      </c>
      <c r="D19" s="99"/>
      <c r="E19" s="212" t="n">
        <v>3</v>
      </c>
    </row>
    <row r="20" customFormat="false" ht="12.75" hidden="false" customHeight="true" outlineLevel="0" collapsed="false">
      <c r="A20" s="150" t="s">
        <v>913</v>
      </c>
      <c r="B20" s="180"/>
      <c r="C20" s="75" t="s">
        <v>812</v>
      </c>
      <c r="D20" s="99"/>
      <c r="E20" s="212" t="n">
        <v>3</v>
      </c>
    </row>
  </sheetData>
  <mergeCells count="4">
    <mergeCell ref="A1:J1"/>
    <mergeCell ref="A3:J3"/>
    <mergeCell ref="A11:J11"/>
    <mergeCell ref="A15:J15"/>
  </mergeCells>
  <dataValidations count="1">
    <dataValidation allowBlank="true" errorStyle="stop" operator="between" showDropDown="false" showErrorMessage="false" showInputMessage="false" sqref="B2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9" min="6" style="1" width="10"/>
    <col collapsed="false" customWidth="true" hidden="false" outlineLevel="0" max="11" min="10" style="1" width="12"/>
    <col collapsed="false" customWidth="true" hidden="false" outlineLevel="0" max="12" min="12" style="1" width="14"/>
    <col collapsed="false" customWidth="true" hidden="false" outlineLevel="0" max="13" min="13" style="1" width="18"/>
  </cols>
  <sheetData>
    <row r="1" customFormat="false" ht="21.75" hidden="false" customHeight="true" outlineLevel="0" collapsed="false">
      <c r="A1" s="213" t="s">
        <v>914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3" customFormat="false" ht="27.75" hidden="false" customHeight="true" outlineLevel="0" collapsed="false">
      <c r="A3" s="214" t="s">
        <v>420</v>
      </c>
      <c r="B3" s="214" t="s">
        <v>619</v>
      </c>
      <c r="C3" s="214" t="s">
        <v>915</v>
      </c>
      <c r="D3" s="214" t="s">
        <v>792</v>
      </c>
      <c r="E3" s="214" t="s">
        <v>916</v>
      </c>
      <c r="F3" s="214" t="s">
        <v>917</v>
      </c>
      <c r="G3" s="214" t="s">
        <v>918</v>
      </c>
      <c r="H3" s="214" t="s">
        <v>919</v>
      </c>
      <c r="I3" s="214" t="s">
        <v>920</v>
      </c>
      <c r="J3" s="214" t="s">
        <v>921</v>
      </c>
      <c r="K3" s="214" t="s">
        <v>922</v>
      </c>
      <c r="L3" s="214" t="s">
        <v>923</v>
      </c>
      <c r="M3" s="214" t="s">
        <v>924</v>
      </c>
    </row>
    <row r="4" customFormat="false" ht="12.75" hidden="false" customHeight="true" outlineLevel="0" collapsed="false">
      <c r="A4" s="215" t="s">
        <v>443</v>
      </c>
      <c r="B4" s="216" t="s">
        <v>742</v>
      </c>
      <c r="C4" s="216" t="s">
        <v>925</v>
      </c>
      <c r="D4" s="5" t="s">
        <v>805</v>
      </c>
      <c r="E4" s="217" t="s">
        <v>806</v>
      </c>
      <c r="F4" s="218" t="n">
        <v>1</v>
      </c>
      <c r="G4" s="154" t="n">
        <v>1</v>
      </c>
      <c r="H4" s="154" t="n">
        <v>1</v>
      </c>
      <c r="I4" s="154" t="n">
        <v>0</v>
      </c>
      <c r="J4" s="154" t="n">
        <v>2</v>
      </c>
      <c r="K4" s="154" t="n">
        <v>2</v>
      </c>
      <c r="L4" s="219" t="n">
        <f aca="false">K4-J4</f>
        <v>0</v>
      </c>
      <c r="M4" s="94" t="s">
        <v>926</v>
      </c>
    </row>
    <row r="5" customFormat="false" ht="12.75" hidden="false" customHeight="true" outlineLevel="0" collapsed="false">
      <c r="A5" s="215" t="s">
        <v>443</v>
      </c>
      <c r="B5" s="216" t="s">
        <v>742</v>
      </c>
      <c r="C5" s="216" t="s">
        <v>927</v>
      </c>
      <c r="D5" s="5" t="s">
        <v>741</v>
      </c>
      <c r="E5" s="217" t="s">
        <v>814</v>
      </c>
      <c r="F5" s="218" t="n">
        <v>1</v>
      </c>
      <c r="G5" s="154" t="n">
        <v>1</v>
      </c>
      <c r="H5" s="154" t="n">
        <v>1</v>
      </c>
      <c r="I5" s="154" t="n">
        <v>0</v>
      </c>
      <c r="J5" s="154" t="n">
        <v>1</v>
      </c>
      <c r="K5" s="154" t="n">
        <v>1</v>
      </c>
      <c r="L5" s="219" t="n">
        <f aca="false">K5-J5</f>
        <v>0</v>
      </c>
      <c r="M5" s="94" t="s">
        <v>926</v>
      </c>
    </row>
    <row r="6" customFormat="false" ht="12.75" hidden="false" customHeight="true" outlineLevel="0" collapsed="false">
      <c r="A6" s="215" t="s">
        <v>443</v>
      </c>
      <c r="B6" s="216" t="s">
        <v>742</v>
      </c>
      <c r="C6" s="216" t="s">
        <v>925</v>
      </c>
      <c r="D6" s="5" t="s">
        <v>805</v>
      </c>
      <c r="E6" s="217" t="s">
        <v>817</v>
      </c>
      <c r="F6" s="218" t="n">
        <v>1</v>
      </c>
      <c r="G6" s="154" t="n">
        <v>3</v>
      </c>
      <c r="H6" s="154" t="n">
        <v>3</v>
      </c>
      <c r="I6" s="154" t="n">
        <v>0</v>
      </c>
      <c r="J6" s="154" t="n">
        <v>37</v>
      </c>
      <c r="K6" s="154" t="n">
        <v>37</v>
      </c>
      <c r="L6" s="219" t="n">
        <f aca="false">K6-J6</f>
        <v>0</v>
      </c>
      <c r="M6" s="94" t="s">
        <v>926</v>
      </c>
    </row>
    <row r="7" customFormat="false" ht="12.75" hidden="false" customHeight="true" outlineLevel="0" collapsed="false">
      <c r="A7" s="215" t="s">
        <v>443</v>
      </c>
      <c r="B7" s="216" t="s">
        <v>742</v>
      </c>
      <c r="C7" s="216" t="s">
        <v>928</v>
      </c>
      <c r="D7" s="5" t="s">
        <v>820</v>
      </c>
      <c r="E7" s="217" t="s">
        <v>821</v>
      </c>
      <c r="F7" s="218" t="n">
        <v>0.85</v>
      </c>
      <c r="G7" s="154" t="n">
        <v>7</v>
      </c>
      <c r="H7" s="154" t="n">
        <v>6</v>
      </c>
      <c r="I7" s="154" t="n">
        <v>1</v>
      </c>
      <c r="J7" s="154" t="n">
        <v>55</v>
      </c>
      <c r="K7" s="154" t="n">
        <v>55</v>
      </c>
      <c r="L7" s="219" t="n">
        <f aca="false">K7-J7</f>
        <v>0</v>
      </c>
      <c r="M7" s="94" t="s">
        <v>926</v>
      </c>
    </row>
    <row r="8" customFormat="false" ht="12.75" hidden="false" customHeight="true" outlineLevel="0" collapsed="false">
      <c r="A8" s="215" t="s">
        <v>443</v>
      </c>
      <c r="B8" s="216" t="s">
        <v>718</v>
      </c>
      <c r="C8" s="216" t="s">
        <v>929</v>
      </c>
      <c r="D8" s="5" t="s">
        <v>727</v>
      </c>
      <c r="E8" s="217" t="s">
        <v>824</v>
      </c>
      <c r="F8" s="218" t="n">
        <v>1</v>
      </c>
      <c r="G8" s="154" t="n">
        <v>4</v>
      </c>
      <c r="H8" s="154" t="n">
        <v>4</v>
      </c>
      <c r="I8" s="154" t="n">
        <v>0</v>
      </c>
      <c r="J8" s="154" t="n">
        <v>449</v>
      </c>
      <c r="K8" s="154" t="n">
        <v>449</v>
      </c>
      <c r="L8" s="219" t="n">
        <f aca="false">K8-J8</f>
        <v>0</v>
      </c>
      <c r="M8" s="94" t="s">
        <v>926</v>
      </c>
    </row>
    <row r="9" customFormat="false" ht="12.75" hidden="false" customHeight="true" outlineLevel="0" collapsed="false">
      <c r="A9" s="215" t="s">
        <v>443</v>
      </c>
      <c r="B9" s="216" t="s">
        <v>718</v>
      </c>
      <c r="C9" s="216" t="s">
        <v>930</v>
      </c>
      <c r="D9" s="5" t="s">
        <v>727</v>
      </c>
      <c r="E9" s="217" t="s">
        <v>827</v>
      </c>
      <c r="F9" s="218" t="n">
        <v>1</v>
      </c>
      <c r="G9" s="154" t="n">
        <v>2</v>
      </c>
      <c r="H9" s="154" t="n">
        <v>2</v>
      </c>
      <c r="I9" s="154" t="n">
        <v>0</v>
      </c>
      <c r="J9" s="154" t="n">
        <v>28</v>
      </c>
      <c r="K9" s="154" t="n">
        <v>28</v>
      </c>
      <c r="L9" s="219" t="n">
        <f aca="false">K9-J9</f>
        <v>0</v>
      </c>
      <c r="M9" s="94" t="s">
        <v>926</v>
      </c>
    </row>
    <row r="10" customFormat="false" ht="12.75" hidden="false" customHeight="true" outlineLevel="0" collapsed="false">
      <c r="A10" s="215" t="s">
        <v>443</v>
      </c>
      <c r="B10" s="216" t="s">
        <v>712</v>
      </c>
      <c r="C10" s="216" t="s">
        <v>931</v>
      </c>
      <c r="D10" s="5" t="s">
        <v>726</v>
      </c>
      <c r="E10" s="217" t="s">
        <v>829</v>
      </c>
      <c r="F10" s="218" t="n">
        <v>0.66</v>
      </c>
      <c r="G10" s="154" t="n">
        <v>15</v>
      </c>
      <c r="H10" s="154" t="n">
        <v>10</v>
      </c>
      <c r="I10" s="154" t="n">
        <v>5</v>
      </c>
      <c r="J10" s="154" t="n">
        <v>847</v>
      </c>
      <c r="K10" s="154" t="n">
        <v>972</v>
      </c>
      <c r="L10" s="220" t="n">
        <f aca="false">K10-J10</f>
        <v>125</v>
      </c>
      <c r="M10" s="221" t="s">
        <v>932</v>
      </c>
    </row>
    <row r="11" customFormat="false" ht="15" hidden="false" customHeight="true" outlineLevel="0" collapsed="false">
      <c r="A11" s="121" t="s">
        <v>933</v>
      </c>
      <c r="B11" s="121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</row>
    <row r="12" customFormat="false" ht="12.75" hidden="false" customHeight="true" outlineLevel="0" collapsed="false">
      <c r="A12" s="173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222" t="n">
        <f aca="false">IFERROR(K12-J12,0)</f>
        <v>0</v>
      </c>
    </row>
    <row r="13" customFormat="false" ht="12.75" hidden="false" customHeight="true" outlineLevel="0" collapsed="false">
      <c r="A13" s="173"/>
      <c r="B13" s="173"/>
      <c r="C13" s="173"/>
      <c r="D13" s="173"/>
      <c r="E13" s="173"/>
      <c r="F13" s="173"/>
      <c r="G13" s="173"/>
      <c r="H13" s="173"/>
      <c r="I13" s="173"/>
      <c r="J13" s="173"/>
      <c r="K13" s="173"/>
      <c r="L13" s="222" t="n">
        <f aca="false">IFERROR(K13-J13,0)</f>
        <v>0</v>
      </c>
    </row>
    <row r="14" customFormat="false" ht="12.75" hidden="false" customHeight="true" outlineLevel="0" collapsed="false">
      <c r="A14" s="173"/>
      <c r="B14" s="173"/>
      <c r="C14" s="173"/>
      <c r="D14" s="173"/>
      <c r="E14" s="173"/>
      <c r="F14" s="173"/>
      <c r="G14" s="173"/>
      <c r="H14" s="173"/>
      <c r="I14" s="173"/>
      <c r="J14" s="173"/>
      <c r="K14" s="173"/>
      <c r="L14" s="222" t="n">
        <f aca="false">IFERROR(K14-J14,0)</f>
        <v>0</v>
      </c>
    </row>
    <row r="15" customFormat="false" ht="12.75" hidden="false" customHeight="true" outlineLevel="0" collapsed="false">
      <c r="A15" s="173"/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222" t="n">
        <f aca="false">IFERROR(K15-J15,0)</f>
        <v>0</v>
      </c>
    </row>
    <row r="16" customFormat="false" ht="12.75" hidden="false" customHeight="true" outlineLevel="0" collapsed="false">
      <c r="A16" s="173"/>
      <c r="B16" s="173"/>
      <c r="C16" s="173"/>
      <c r="D16" s="173"/>
      <c r="E16" s="173"/>
      <c r="F16" s="173"/>
      <c r="G16" s="173"/>
      <c r="H16" s="173"/>
      <c r="I16" s="173"/>
      <c r="J16" s="173"/>
      <c r="K16" s="173"/>
      <c r="L16" s="222" t="n">
        <f aca="false">IFERROR(K16-J16,0)</f>
        <v>0</v>
      </c>
    </row>
    <row r="17" customFormat="false" ht="12.75" hidden="false" customHeight="true" outlineLevel="0" collapsed="false">
      <c r="A17" s="173"/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L17" s="222" t="n">
        <f aca="false">IFERROR(K17-J17,0)</f>
        <v>0</v>
      </c>
    </row>
    <row r="18" customFormat="false" ht="12.75" hidden="false" customHeight="true" outlineLevel="0" collapsed="false">
      <c r="A18" s="173"/>
      <c r="B18" s="173"/>
      <c r="C18" s="173"/>
      <c r="D18" s="173"/>
      <c r="E18" s="173"/>
      <c r="F18" s="173"/>
      <c r="G18" s="173"/>
      <c r="H18" s="173"/>
      <c r="I18" s="173"/>
      <c r="J18" s="173"/>
      <c r="K18" s="173"/>
      <c r="L18" s="222" t="n">
        <f aca="false">IFERROR(K18-J18,0)</f>
        <v>0</v>
      </c>
    </row>
    <row r="19" customFormat="false" ht="12.75" hidden="false" customHeight="true" outlineLevel="0" collapsed="false">
      <c r="A19" s="173"/>
      <c r="B19" s="173"/>
      <c r="C19" s="173"/>
      <c r="D19" s="173"/>
      <c r="E19" s="173"/>
      <c r="F19" s="173"/>
      <c r="G19" s="173"/>
      <c r="H19" s="173"/>
      <c r="I19" s="173"/>
      <c r="J19" s="173"/>
      <c r="K19" s="173"/>
      <c r="L19" s="222" t="n">
        <f aca="false">IFERROR(K19-J19,0)</f>
        <v>0</v>
      </c>
    </row>
    <row r="20" customFormat="false" ht="12.75" hidden="false" customHeight="true" outlineLevel="0" collapsed="false">
      <c r="A20" s="173"/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222" t="n">
        <f aca="false">IFERROR(K20-J20,0)</f>
        <v>0</v>
      </c>
    </row>
    <row r="21" customFormat="false" ht="12.75" hidden="false" customHeight="true" outlineLevel="0" collapsed="false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222" t="n">
        <f aca="false">IFERROR(K21-J21,0)</f>
        <v>0</v>
      </c>
    </row>
    <row r="22" customFormat="false" ht="12.75" hidden="false" customHeight="true" outlineLevel="0" collapsed="false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222" t="n">
        <f aca="false">IFERROR(K22-J22,0)</f>
        <v>0</v>
      </c>
    </row>
    <row r="23" customFormat="false" ht="12.75" hidden="false" customHeight="true" outlineLevel="0" collapsed="false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222" t="n">
        <f aca="false">IFERROR(K23-J23,0)</f>
        <v>0</v>
      </c>
    </row>
    <row r="24" customFormat="false" ht="12.75" hidden="false" customHeight="true" outlineLevel="0" collapsed="false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222" t="n">
        <f aca="false">IFERROR(K24-J24,0)</f>
        <v>0</v>
      </c>
    </row>
    <row r="25" customFormat="false" ht="12.75" hidden="false" customHeight="true" outlineLevel="0" collapsed="false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222" t="n">
        <f aca="false">IFERROR(K25-J25,0)</f>
        <v>0</v>
      </c>
    </row>
    <row r="26" customFormat="false" ht="12.75" hidden="false" customHeight="true" outlineLevel="0" collapsed="false">
      <c r="A26" s="173"/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222" t="n">
        <f aca="false">IFERROR(K26-J26,0)</f>
        <v>0</v>
      </c>
    </row>
    <row r="27" customFormat="false" ht="12.75" hidden="false" customHeight="true" outlineLevel="0" collapsed="false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222" t="n">
        <f aca="false">IFERROR(K27-J27,0)</f>
        <v>0</v>
      </c>
    </row>
    <row r="28" customFormat="false" ht="12.75" hidden="false" customHeight="true" outlineLevel="0" collapsed="false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222" t="n">
        <f aca="false">IFERROR(K28-J28,0)</f>
        <v>0</v>
      </c>
    </row>
    <row r="29" customFormat="false" ht="12.75" hidden="false" customHeight="true" outlineLevel="0" collapsed="false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222" t="n">
        <f aca="false">IFERROR(K29-J29,0)</f>
        <v>0</v>
      </c>
    </row>
    <row r="30" customFormat="false" ht="12.75" hidden="false" customHeight="true" outlineLevel="0" collapsed="false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222" t="n">
        <f aca="false">IFERROR(K30-J30,0)</f>
        <v>0</v>
      </c>
    </row>
    <row r="31" customFormat="false" ht="12.75" hidden="false" customHeight="true" outlineLevel="0" collapsed="false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222" t="n">
        <f aca="false">IFERROR(K31-J31,0)</f>
        <v>0</v>
      </c>
    </row>
    <row r="32" customFormat="false" ht="12.75" hidden="false" customHeight="true" outlineLevel="0" collapsed="false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222" t="n">
        <f aca="false">IFERROR(K32-J32,0)</f>
        <v>0</v>
      </c>
    </row>
    <row r="33" customFormat="false" ht="12.75" hidden="false" customHeight="true" outlineLevel="0" collapsed="false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222" t="n">
        <f aca="false">IFERROR(K33-J33,0)</f>
        <v>0</v>
      </c>
    </row>
    <row r="34" customFormat="false" ht="12.75" hidden="false" customHeight="true" outlineLevel="0" collapsed="false">
      <c r="A34" s="173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222" t="n">
        <f aca="false">IFERROR(K34-J34,0)</f>
        <v>0</v>
      </c>
    </row>
    <row r="35" customFormat="false" ht="12.75" hidden="false" customHeight="true" outlineLevel="0" collapsed="false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222" t="n">
        <f aca="false">IFERROR(K35-J35,0)</f>
        <v>0</v>
      </c>
    </row>
    <row r="36" customFormat="false" ht="12.75" hidden="false" customHeight="true" outlineLevel="0" collapsed="false">
      <c r="A36" s="173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222" t="n">
        <f aca="false">IFERROR(K36-J36,0)</f>
        <v>0</v>
      </c>
    </row>
    <row r="37" customFormat="false" ht="12.75" hidden="false" customHeight="true" outlineLevel="0" collapsed="false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222" t="n">
        <f aca="false">IFERROR(K37-J37,0)</f>
        <v>0</v>
      </c>
    </row>
    <row r="38" customFormat="false" ht="12.75" hidden="false" customHeight="true" outlineLevel="0" collapsed="false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222" t="n">
        <f aca="false">IFERROR(K38-J38,0)</f>
        <v>0</v>
      </c>
    </row>
    <row r="39" customFormat="false" ht="12.75" hidden="false" customHeight="true" outlineLevel="0" collapsed="false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222" t="n">
        <f aca="false">IFERROR(K39-J39,0)</f>
        <v>0</v>
      </c>
    </row>
    <row r="40" customFormat="false" ht="12.75" hidden="false" customHeight="true" outlineLevel="0" collapsed="false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222" t="n">
        <f aca="false">IFERROR(K40-J40,0)</f>
        <v>0</v>
      </c>
    </row>
    <row r="41" customFormat="false" ht="12.75" hidden="false" customHeight="true" outlineLevel="0" collapsed="false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222" t="n">
        <f aca="false">IFERROR(K41-J41,0)</f>
        <v>0</v>
      </c>
    </row>
    <row r="44" customFormat="false" ht="13.5" hidden="false" customHeight="true" outlineLevel="0" collapsed="false">
      <c r="A44" s="223" t="s">
        <v>934</v>
      </c>
      <c r="B44" s="223"/>
      <c r="C44" s="223"/>
      <c r="D44" s="223"/>
      <c r="E44" s="223"/>
      <c r="F44" s="223"/>
      <c r="G44" s="223"/>
      <c r="H44" s="223"/>
      <c r="I44" s="223"/>
      <c r="J44" s="223"/>
      <c r="K44" s="223"/>
      <c r="L44" s="223"/>
      <c r="M44" s="223"/>
    </row>
    <row r="45" customFormat="false" ht="15" hidden="false" customHeight="true" outlineLevel="0" collapsed="false">
      <c r="A45" s="224" t="s">
        <v>565</v>
      </c>
      <c r="B45" s="225" t="s">
        <v>137</v>
      </c>
      <c r="C45" s="225" t="s">
        <v>566</v>
      </c>
    </row>
    <row r="46" customFormat="false" ht="12.75" hidden="false" customHeight="true" outlineLevel="0" collapsed="false">
      <c r="A46" s="5" t="s">
        <v>935</v>
      </c>
      <c r="B46" s="226" t="n">
        <f aca="false">IFERROR(AVERAGEIF(F4:F40,"&gt;0",F4:F40),0)</f>
        <v>0.93</v>
      </c>
      <c r="C46" s="93" t="s">
        <v>936</v>
      </c>
    </row>
    <row r="47" customFormat="false" ht="12.75" hidden="false" customHeight="true" outlineLevel="0" collapsed="false">
      <c r="A47" s="5" t="s">
        <v>937</v>
      </c>
      <c r="B47" s="92" t="n">
        <f aca="false">IFERROR(SUM(L4:L40),0)</f>
        <v>125</v>
      </c>
      <c r="C47" s="93" t="s">
        <v>938</v>
      </c>
    </row>
    <row r="48" customFormat="false" ht="12.75" hidden="false" customHeight="true" outlineLevel="0" collapsed="false">
      <c r="A48" s="5" t="s">
        <v>939</v>
      </c>
      <c r="B48" s="226" t="n">
        <f aca="false">IFERROR(SUM(L4:L40)/SUM(J4:J40),0)</f>
        <v>0.0880902043692741</v>
      </c>
      <c r="C48" s="93" t="s">
        <v>940</v>
      </c>
    </row>
    <row r="49" customFormat="false" ht="12.75" hidden="false" customHeight="true" outlineLevel="0" collapsed="false">
      <c r="A49" s="5" t="s">
        <v>941</v>
      </c>
      <c r="B49" s="227" t="n">
        <f aca="false">IFERROR(SUM(L4:L40)*0.003,0)</f>
        <v>0.375</v>
      </c>
      <c r="C49" s="93" t="s">
        <v>942</v>
      </c>
    </row>
    <row r="50" customFormat="false" ht="12.75" hidden="false" customHeight="true" outlineLevel="0" collapsed="false">
      <c r="A50" s="5" t="s">
        <v>943</v>
      </c>
      <c r="B50" s="92" t="n">
        <f aca="false">IFERROR(COUNTIF(F4:F40,"&lt;0.8"),0)</f>
        <v>1</v>
      </c>
      <c r="C50" s="93" t="s">
        <v>944</v>
      </c>
    </row>
    <row r="51" customFormat="false" ht="12.75" hidden="false" customHeight="true" outlineLevel="0" collapsed="false">
      <c r="A51" s="5" t="s">
        <v>945</v>
      </c>
      <c r="B51" s="92" t="n">
        <f aca="false">0</f>
        <v>0</v>
      </c>
      <c r="C51" s="93" t="s">
        <v>944</v>
      </c>
    </row>
  </sheetData>
  <mergeCells count="3">
    <mergeCell ref="A1:M1"/>
    <mergeCell ref="A11:M11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A7"/>
    <pageSetUpPr fitToPage="false"/>
  </sheetPr>
  <dimension ref="A1:L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12" min="3" style="1" width="14"/>
  </cols>
  <sheetData>
    <row r="1" customFormat="false" ht="21.75" hidden="false" customHeight="true" outlineLevel="0" collapsed="false">
      <c r="A1" s="228" t="s">
        <v>946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</row>
    <row r="3" customFormat="false" ht="13.5" hidden="false" customHeight="true" outlineLevel="0" collapsed="false">
      <c r="A3" s="130" t="s">
        <v>947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</row>
    <row r="4" customFormat="false" ht="27.75" hidden="false" customHeight="true" outlineLevel="0" collapsed="false">
      <c r="A4" s="229" t="s">
        <v>948</v>
      </c>
      <c r="B4" s="230" t="s">
        <v>949</v>
      </c>
      <c r="C4" s="230" t="s">
        <v>950</v>
      </c>
      <c r="D4" s="230" t="s">
        <v>951</v>
      </c>
      <c r="E4" s="230" t="s">
        <v>952</v>
      </c>
      <c r="F4" s="230" t="s">
        <v>953</v>
      </c>
      <c r="G4" s="230" t="s">
        <v>954</v>
      </c>
      <c r="H4" s="230" t="s">
        <v>955</v>
      </c>
      <c r="I4" s="230" t="s">
        <v>956</v>
      </c>
      <c r="J4" s="230" t="s">
        <v>957</v>
      </c>
      <c r="K4" s="230" t="s">
        <v>958</v>
      </c>
      <c r="L4" s="230" t="s">
        <v>384</v>
      </c>
    </row>
    <row r="5" customFormat="false" ht="12.75" hidden="false" customHeight="true" outlineLevel="0" collapsed="false">
      <c r="A5" s="126" t="s">
        <v>959</v>
      </c>
      <c r="B5" s="154" t="n">
        <v>0</v>
      </c>
      <c r="C5" s="154" t="n">
        <v>0</v>
      </c>
      <c r="D5" s="154" t="n">
        <v>0</v>
      </c>
      <c r="E5" s="154" t="n">
        <v>0</v>
      </c>
      <c r="F5" s="154" t="n">
        <v>0</v>
      </c>
      <c r="G5" s="154" t="n">
        <v>0</v>
      </c>
      <c r="H5" s="154" t="n">
        <v>0</v>
      </c>
      <c r="I5" s="154" t="n">
        <v>0</v>
      </c>
      <c r="J5" s="154" t="n">
        <v>0</v>
      </c>
      <c r="K5" s="154" t="n">
        <v>0</v>
      </c>
      <c r="L5" s="231" t="n">
        <f aca="false">SUM(B5:K5)</f>
        <v>0</v>
      </c>
    </row>
    <row r="6" customFormat="false" ht="12.75" hidden="false" customHeight="true" outlineLevel="0" collapsed="false">
      <c r="A6" s="126" t="s">
        <v>960</v>
      </c>
      <c r="B6" s="154" t="n">
        <v>0</v>
      </c>
      <c r="C6" s="154" t="n">
        <v>0</v>
      </c>
      <c r="D6" s="154" t="n">
        <v>0</v>
      </c>
      <c r="E6" s="154" t="n">
        <v>0</v>
      </c>
      <c r="F6" s="154" t="n">
        <v>0</v>
      </c>
      <c r="G6" s="154" t="n">
        <v>0</v>
      </c>
      <c r="H6" s="154" t="n">
        <v>0</v>
      </c>
      <c r="I6" s="154" t="n">
        <v>0</v>
      </c>
      <c r="J6" s="154" t="n">
        <v>0</v>
      </c>
      <c r="K6" s="154" t="n">
        <v>0</v>
      </c>
      <c r="L6" s="231" t="n">
        <f aca="false">SUM(B6:K6)</f>
        <v>0</v>
      </c>
    </row>
    <row r="7" customFormat="false" ht="12.75" hidden="false" customHeight="true" outlineLevel="0" collapsed="false">
      <c r="A7" s="126" t="s">
        <v>961</v>
      </c>
      <c r="B7" s="154" t="n">
        <v>0</v>
      </c>
      <c r="C7" s="154" t="n">
        <v>0</v>
      </c>
      <c r="D7" s="154" t="n">
        <v>0</v>
      </c>
      <c r="E7" s="154" t="n">
        <v>0</v>
      </c>
      <c r="F7" s="154" t="n">
        <v>0</v>
      </c>
      <c r="G7" s="154" t="n">
        <v>0</v>
      </c>
      <c r="H7" s="154" t="n">
        <v>0</v>
      </c>
      <c r="I7" s="154" t="n">
        <v>0</v>
      </c>
      <c r="J7" s="154" t="n">
        <v>0</v>
      </c>
      <c r="K7" s="154" t="n">
        <v>0</v>
      </c>
      <c r="L7" s="231" t="n">
        <f aca="false">SUM(B7:K7)</f>
        <v>0</v>
      </c>
    </row>
    <row r="8" customFormat="false" ht="12.75" hidden="false" customHeight="true" outlineLevel="0" collapsed="false">
      <c r="A8" s="126" t="s">
        <v>962</v>
      </c>
      <c r="B8" s="154" t="n">
        <v>0</v>
      </c>
      <c r="C8" s="154" t="n">
        <v>0</v>
      </c>
      <c r="D8" s="154" t="n">
        <v>0</v>
      </c>
      <c r="E8" s="154" t="n">
        <v>0</v>
      </c>
      <c r="F8" s="154" t="n">
        <v>0</v>
      </c>
      <c r="G8" s="154" t="n">
        <v>0</v>
      </c>
      <c r="H8" s="154" t="n">
        <v>0</v>
      </c>
      <c r="I8" s="154" t="n">
        <v>0</v>
      </c>
      <c r="J8" s="154" t="n">
        <v>0</v>
      </c>
      <c r="K8" s="154" t="n">
        <v>0</v>
      </c>
      <c r="L8" s="231" t="n">
        <f aca="false">SUM(B8:K8)</f>
        <v>0</v>
      </c>
    </row>
    <row r="9" customFormat="false" ht="12.75" hidden="false" customHeight="true" outlineLevel="0" collapsed="false">
      <c r="A9" s="126" t="s">
        <v>963</v>
      </c>
      <c r="B9" s="154" t="n">
        <v>0</v>
      </c>
      <c r="C9" s="154" t="n">
        <v>0</v>
      </c>
      <c r="D9" s="154" t="n">
        <v>0</v>
      </c>
      <c r="E9" s="154" t="n">
        <v>0</v>
      </c>
      <c r="F9" s="154" t="n">
        <v>0</v>
      </c>
      <c r="G9" s="154" t="n">
        <v>0</v>
      </c>
      <c r="H9" s="154" t="n">
        <v>0</v>
      </c>
      <c r="I9" s="154" t="n">
        <v>0</v>
      </c>
      <c r="J9" s="154" t="n">
        <v>0</v>
      </c>
      <c r="K9" s="154" t="n">
        <v>0</v>
      </c>
      <c r="L9" s="231" t="n">
        <f aca="false">SUM(B9:K9)</f>
        <v>0</v>
      </c>
    </row>
    <row r="10" customFormat="false" ht="12.75" hidden="false" customHeight="true" outlineLevel="0" collapsed="false">
      <c r="A10" s="126" t="s">
        <v>964</v>
      </c>
      <c r="B10" s="154" t="n">
        <v>0</v>
      </c>
      <c r="C10" s="154" t="n">
        <v>0</v>
      </c>
      <c r="D10" s="154" t="n">
        <v>0</v>
      </c>
      <c r="E10" s="154" t="n">
        <v>0</v>
      </c>
      <c r="F10" s="154" t="n">
        <v>0</v>
      </c>
      <c r="G10" s="154" t="n">
        <v>0</v>
      </c>
      <c r="H10" s="154" t="n">
        <v>0</v>
      </c>
      <c r="I10" s="154" t="n">
        <v>0</v>
      </c>
      <c r="J10" s="154" t="n">
        <v>0</v>
      </c>
      <c r="K10" s="154" t="n">
        <v>0</v>
      </c>
      <c r="L10" s="231" t="n">
        <f aca="false">SUM(B10:K10)</f>
        <v>0</v>
      </c>
    </row>
    <row r="11" customFormat="false" ht="12.75" hidden="false" customHeight="true" outlineLevel="0" collapsed="false">
      <c r="A11" s="126" t="s">
        <v>965</v>
      </c>
      <c r="B11" s="154" t="n">
        <v>0</v>
      </c>
      <c r="C11" s="154" t="n">
        <v>0</v>
      </c>
      <c r="D11" s="154" t="n">
        <v>0</v>
      </c>
      <c r="E11" s="154" t="n">
        <v>0</v>
      </c>
      <c r="F11" s="154" t="n">
        <v>0</v>
      </c>
      <c r="G11" s="154" t="n">
        <v>0</v>
      </c>
      <c r="H11" s="154" t="n">
        <v>0</v>
      </c>
      <c r="I11" s="154" t="n">
        <v>0</v>
      </c>
      <c r="J11" s="154" t="n">
        <v>0</v>
      </c>
      <c r="K11" s="154" t="n">
        <v>0</v>
      </c>
      <c r="L11" s="231" t="n">
        <f aca="false">SUM(B11:K11)</f>
        <v>0</v>
      </c>
    </row>
    <row r="12" customFormat="false" ht="13.5" hidden="false" customHeight="true" outlineLevel="0" collapsed="false">
      <c r="A12" s="232" t="s">
        <v>966</v>
      </c>
      <c r="B12" s="233" t="n">
        <f aca="false">SUM(B5,B6,B7,B8,B9,B10,B11)</f>
        <v>0</v>
      </c>
      <c r="C12" s="233" t="n">
        <f aca="false">SUM(C5,C6,C7,C8,C9,C10,C11)</f>
        <v>0</v>
      </c>
      <c r="D12" s="233" t="n">
        <f aca="false">SUM(D5,D6,D7,D8,D9,D10,D11)</f>
        <v>0</v>
      </c>
      <c r="E12" s="233" t="n">
        <f aca="false">SUM(E5,E6,E7,E8,E9,E10,E11)</f>
        <v>0</v>
      </c>
      <c r="F12" s="233" t="n">
        <f aca="false">SUM(F5,F6,F7,F8,F9,F10,F11)</f>
        <v>0</v>
      </c>
      <c r="G12" s="233" t="n">
        <f aca="false">SUM(G5,G6,G7,G8,G9,G10,G11)</f>
        <v>0</v>
      </c>
      <c r="H12" s="233" t="n">
        <f aca="false">SUM(H5,H6,H7,H8,H9,H10,H11)</f>
        <v>0</v>
      </c>
      <c r="I12" s="233" t="n">
        <f aca="false">SUM(I5,I6,I7,I8,I9,I10,I11)</f>
        <v>0</v>
      </c>
      <c r="J12" s="233" t="n">
        <f aca="false">SUM(J5,J6,J7,J8,J9,J10,J11)</f>
        <v>0</v>
      </c>
      <c r="K12" s="233" t="n">
        <f aca="false">SUM(K5,K6,K7,K8,K9,K10,K11)</f>
        <v>0</v>
      </c>
      <c r="L12" s="233" t="n">
        <f aca="false">SUM(L5,L6,L7,L8,L9,L10,L11)</f>
        <v>0</v>
      </c>
    </row>
    <row r="14" customFormat="false" ht="13.5" hidden="false" customHeight="true" outlineLevel="0" collapsed="false">
      <c r="A14" s="130" t="s">
        <v>967</v>
      </c>
      <c r="B14" s="130"/>
      <c r="C14" s="130"/>
      <c r="D14" s="130"/>
      <c r="E14" s="130"/>
      <c r="F14" s="130"/>
      <c r="G14" s="130"/>
      <c r="H14" s="130"/>
      <c r="I14" s="130"/>
      <c r="J14" s="130"/>
      <c r="K14" s="130"/>
      <c r="L14" s="130"/>
    </row>
    <row r="15" customFormat="false" ht="13.5" hidden="false" customHeight="true" outlineLevel="0" collapsed="false">
      <c r="A15" s="229" t="s">
        <v>968</v>
      </c>
      <c r="B15" s="125" t="s">
        <v>969</v>
      </c>
      <c r="C15" s="125" t="s">
        <v>970</v>
      </c>
      <c r="D15" s="125" t="s">
        <v>971</v>
      </c>
      <c r="E15" s="125" t="s">
        <v>972</v>
      </c>
      <c r="F15" s="125" t="s">
        <v>973</v>
      </c>
      <c r="G15" s="125" t="s">
        <v>974</v>
      </c>
      <c r="H15" s="125" t="s">
        <v>975</v>
      </c>
      <c r="I15" s="125" t="s">
        <v>976</v>
      </c>
      <c r="J15" s="125" t="s">
        <v>977</v>
      </c>
    </row>
    <row r="16" customFormat="false" ht="12.75" hidden="false" customHeight="true" outlineLevel="0" collapsed="false">
      <c r="A16" s="234" t="s">
        <v>959</v>
      </c>
      <c r="B16" s="235" t="n">
        <f aca="false">S_Data!L5</f>
        <v>0</v>
      </c>
      <c r="C16" s="236" t="n">
        <f aca="false">IFERROR((S_Data!B5+S_Data!C5+S_Data!D5+S_Data!F5+S_Data!G5+S_Data!H5)/S_Data!L5,0)</f>
        <v>0</v>
      </c>
      <c r="D16" s="210" t="n">
        <v>0.55</v>
      </c>
      <c r="E16" s="236" t="n">
        <f aca="false">IFERROR((S_Data!F5+S_Data!G5+S_Data!H5)/S_Data!L5,0)</f>
        <v>0</v>
      </c>
      <c r="F16" s="210" t="n">
        <v>0.3</v>
      </c>
      <c r="G16" s="236" t="n">
        <f aca="false">0</f>
        <v>0</v>
      </c>
      <c r="H16" s="210" t="n">
        <v>0.02</v>
      </c>
      <c r="I16" s="237" t="n">
        <f aca="false">C16-D16</f>
        <v>-0.55</v>
      </c>
      <c r="J16" s="238" t="n">
        <f aca="false">MAX(0,MIN(10,10*(C16/D16)))</f>
        <v>0</v>
      </c>
    </row>
    <row r="17" customFormat="false" ht="12.75" hidden="false" customHeight="true" outlineLevel="0" collapsed="false">
      <c r="A17" s="234" t="s">
        <v>960</v>
      </c>
      <c r="B17" s="235" t="n">
        <f aca="false">S_Data!L6</f>
        <v>0</v>
      </c>
      <c r="C17" s="236" t="n">
        <f aca="false">IFERROR((S_Data!B6+S_Data!C6+S_Data!D6+S_Data!F6+S_Data!G6+S_Data!H6)/S_Data!L6,0)</f>
        <v>0</v>
      </c>
      <c r="D17" s="210" t="n">
        <v>0.55</v>
      </c>
      <c r="E17" s="236" t="n">
        <f aca="false">IFERROR((S_Data!F6+S_Data!G6+S_Data!H6)/S_Data!L6,0)</f>
        <v>0</v>
      </c>
      <c r="F17" s="210" t="n">
        <v>0.3</v>
      </c>
      <c r="G17" s="236" t="n">
        <f aca="false">0</f>
        <v>0</v>
      </c>
      <c r="H17" s="210" t="n">
        <v>0.02</v>
      </c>
      <c r="I17" s="237" t="n">
        <f aca="false">C17-D17</f>
        <v>-0.55</v>
      </c>
      <c r="J17" s="238" t="n">
        <f aca="false">MAX(0,MIN(10,10*(C17/D17)))</f>
        <v>0</v>
      </c>
    </row>
    <row r="18" customFormat="false" ht="12.75" hidden="false" customHeight="true" outlineLevel="0" collapsed="false">
      <c r="A18" s="234" t="s">
        <v>961</v>
      </c>
      <c r="B18" s="235" t="n">
        <f aca="false">S_Data!L7</f>
        <v>0</v>
      </c>
      <c r="C18" s="236" t="n">
        <f aca="false">IFERROR((S_Data!B7+S_Data!C7+S_Data!D7+S_Data!F7+S_Data!G7+S_Data!H7)/S_Data!L7,0)</f>
        <v>0</v>
      </c>
      <c r="D18" s="210" t="n">
        <v>0.55</v>
      </c>
      <c r="E18" s="236" t="n">
        <f aca="false">IFERROR((S_Data!F7+S_Data!G7+S_Data!H7)/S_Data!L7,0)</f>
        <v>0</v>
      </c>
      <c r="F18" s="210" t="n">
        <v>0.3</v>
      </c>
      <c r="G18" s="236" t="n">
        <f aca="false">0</f>
        <v>0</v>
      </c>
      <c r="H18" s="210" t="n">
        <v>0.02</v>
      </c>
      <c r="I18" s="237" t="n">
        <f aca="false">C18-D18</f>
        <v>-0.55</v>
      </c>
      <c r="J18" s="238" t="n">
        <f aca="false">MAX(0,MIN(10,10*(C18/D18)))</f>
        <v>0</v>
      </c>
    </row>
    <row r="19" customFormat="false" ht="12.75" hidden="false" customHeight="true" outlineLevel="0" collapsed="false">
      <c r="A19" s="234" t="s">
        <v>962</v>
      </c>
      <c r="B19" s="235" t="n">
        <f aca="false">S_Data!L8</f>
        <v>0</v>
      </c>
      <c r="C19" s="236" t="n">
        <f aca="false">IFERROR((S_Data!B8+S_Data!C8+S_Data!D8+S_Data!F8+S_Data!G8+S_Data!H8)/S_Data!L8,0)</f>
        <v>0</v>
      </c>
      <c r="D19" s="210" t="n">
        <v>0.55</v>
      </c>
      <c r="E19" s="236" t="n">
        <f aca="false">IFERROR((S_Data!F8+S_Data!G8+S_Data!H8)/S_Data!L8,0)</f>
        <v>0</v>
      </c>
      <c r="F19" s="210" t="n">
        <v>0.3</v>
      </c>
      <c r="G19" s="236" t="n">
        <f aca="false">0</f>
        <v>0</v>
      </c>
      <c r="H19" s="210" t="n">
        <v>0.02</v>
      </c>
      <c r="I19" s="237" t="n">
        <f aca="false">C19-D19</f>
        <v>-0.55</v>
      </c>
      <c r="J19" s="238" t="n">
        <f aca="false">MAX(0,MIN(10,10*(C19/D19)))</f>
        <v>0</v>
      </c>
    </row>
    <row r="20" customFormat="false" ht="12.75" hidden="false" customHeight="true" outlineLevel="0" collapsed="false">
      <c r="A20" s="234" t="s">
        <v>963</v>
      </c>
      <c r="B20" s="235" t="n">
        <f aca="false">S_Data!L9</f>
        <v>0</v>
      </c>
      <c r="C20" s="236" t="n">
        <f aca="false">IFERROR((S_Data!B9+S_Data!C9+S_Data!D9+S_Data!F9+S_Data!G9+S_Data!H9)/S_Data!L9,0)</f>
        <v>0</v>
      </c>
      <c r="D20" s="210" t="n">
        <v>0.55</v>
      </c>
      <c r="E20" s="236" t="n">
        <f aca="false">IFERROR((S_Data!F9+S_Data!G9+S_Data!H9)/S_Data!L9,0)</f>
        <v>0</v>
      </c>
      <c r="F20" s="210" t="n">
        <v>0.3</v>
      </c>
      <c r="G20" s="236" t="n">
        <f aca="false">0</f>
        <v>0</v>
      </c>
      <c r="H20" s="210" t="n">
        <v>0.02</v>
      </c>
      <c r="I20" s="237" t="n">
        <f aca="false">C20-D20</f>
        <v>-0.55</v>
      </c>
      <c r="J20" s="238" t="n">
        <f aca="false">MAX(0,MIN(10,10*(C20/D20)))</f>
        <v>0</v>
      </c>
    </row>
    <row r="21" customFormat="false" ht="12.75" hidden="false" customHeight="true" outlineLevel="0" collapsed="false">
      <c r="A21" s="234" t="s">
        <v>964</v>
      </c>
      <c r="B21" s="235" t="n">
        <f aca="false">S_Data!L10</f>
        <v>0</v>
      </c>
      <c r="C21" s="236" t="n">
        <f aca="false">IFERROR((S_Data!B10+S_Data!C10+S_Data!D10+S_Data!F10+S_Data!G10+S_Data!H10)/S_Data!L10,0)</f>
        <v>0</v>
      </c>
      <c r="D21" s="210" t="n">
        <v>0.55</v>
      </c>
      <c r="E21" s="236" t="n">
        <f aca="false">IFERROR((S_Data!F10+S_Data!G10+S_Data!H10)/S_Data!L10,0)</f>
        <v>0</v>
      </c>
      <c r="F21" s="210" t="n">
        <v>0.3</v>
      </c>
      <c r="G21" s="236" t="n">
        <f aca="false">0</f>
        <v>0</v>
      </c>
      <c r="H21" s="210" t="n">
        <v>0.02</v>
      </c>
      <c r="I21" s="237" t="n">
        <f aca="false">C21-D21</f>
        <v>-0.55</v>
      </c>
      <c r="J21" s="238" t="n">
        <f aca="false">MAX(0,MIN(10,10*(C21/D21)))</f>
        <v>0</v>
      </c>
    </row>
    <row r="22" customFormat="false" ht="13.5" hidden="false" customHeight="true" outlineLevel="0" collapsed="false">
      <c r="J22" s="68" t="n">
        <f aca="false">AVERAGE(J16,J17,J18,J19,J20,J21)</f>
        <v>0</v>
      </c>
    </row>
    <row r="24" customFormat="false" ht="13.5" hidden="false" customHeight="true" outlineLevel="0" collapsed="false">
      <c r="A24" s="239" t="s">
        <v>978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</row>
    <row r="25" customFormat="false" ht="13.5" hidden="false" customHeight="true" outlineLevel="0" collapsed="false">
      <c r="A25" s="240" t="s">
        <v>979</v>
      </c>
      <c r="B25" s="241" t="s">
        <v>138</v>
      </c>
      <c r="C25" s="241" t="s">
        <v>980</v>
      </c>
      <c r="D25" s="241" t="s">
        <v>981</v>
      </c>
      <c r="E25" s="241" t="s">
        <v>982</v>
      </c>
      <c r="F25" s="241" t="s">
        <v>983</v>
      </c>
      <c r="G25" s="241" t="s">
        <v>633</v>
      </c>
      <c r="H25" s="241" t="s">
        <v>662</v>
      </c>
    </row>
    <row r="26" customFormat="false" ht="12.75" hidden="false" customHeight="true" outlineLevel="0" collapsed="false">
      <c r="A26" s="242" t="s">
        <v>984</v>
      </c>
      <c r="B26" s="113" t="s">
        <v>985</v>
      </c>
      <c r="C26" s="243" t="n">
        <v>426</v>
      </c>
      <c r="D26" s="243" t="n">
        <v>426</v>
      </c>
      <c r="E26" s="243" t="n">
        <v>426</v>
      </c>
      <c r="F26" s="243" t="n">
        <v>426</v>
      </c>
      <c r="G26" s="244" t="n">
        <v>426</v>
      </c>
      <c r="H26" s="75" t="s">
        <v>986</v>
      </c>
      <c r="I26" s="245" t="s">
        <v>987</v>
      </c>
    </row>
    <row r="27" customFormat="false" ht="12.75" hidden="false" customHeight="true" outlineLevel="0" collapsed="false">
      <c r="A27" s="242" t="s">
        <v>988</v>
      </c>
      <c r="B27" s="113" t="s">
        <v>224</v>
      </c>
      <c r="C27" s="154" t="n">
        <v>0</v>
      </c>
      <c r="D27" s="154" t="n">
        <v>0</v>
      </c>
      <c r="E27" s="154" t="n">
        <v>0</v>
      </c>
      <c r="F27" s="154" t="n">
        <v>0</v>
      </c>
      <c r="G27" s="246" t="n">
        <f aca="false">SUM(C27:F27)</f>
        <v>0</v>
      </c>
      <c r="H27" s="75"/>
    </row>
    <row r="28" customFormat="false" ht="12.75" hidden="false" customHeight="true" outlineLevel="0" collapsed="false">
      <c r="A28" s="242" t="s">
        <v>989</v>
      </c>
      <c r="B28" s="113" t="s">
        <v>260</v>
      </c>
      <c r="C28" s="113" t="s">
        <v>279</v>
      </c>
      <c r="D28" s="113" t="s">
        <v>279</v>
      </c>
      <c r="E28" s="113" t="s">
        <v>279</v>
      </c>
      <c r="F28" s="113" t="s">
        <v>279</v>
      </c>
      <c r="G28" s="113" t="s">
        <v>279</v>
      </c>
      <c r="H28" s="75" t="s">
        <v>754</v>
      </c>
    </row>
    <row r="29" customFormat="false" ht="12.75" hidden="false" customHeight="true" outlineLevel="0" collapsed="false">
      <c r="A29" s="242" t="s">
        <v>990</v>
      </c>
      <c r="B29" s="113" t="s">
        <v>260</v>
      </c>
      <c r="C29" s="243" t="n">
        <v>1</v>
      </c>
      <c r="D29" s="243" t="n">
        <v>2</v>
      </c>
      <c r="E29" s="243" t="n">
        <v>1</v>
      </c>
      <c r="F29" s="243" t="n">
        <v>0</v>
      </c>
      <c r="G29" s="246" t="n">
        <f aca="false">SUM(C29:F29)</f>
        <v>4</v>
      </c>
      <c r="H29" s="75"/>
      <c r="I29" s="245" t="s">
        <v>991</v>
      </c>
    </row>
    <row r="30" customFormat="false" ht="12.75" hidden="false" customHeight="true" outlineLevel="0" collapsed="false">
      <c r="A30" s="242" t="s">
        <v>992</v>
      </c>
      <c r="B30" s="113" t="s">
        <v>260</v>
      </c>
      <c r="C30" s="243" t="n">
        <v>0</v>
      </c>
      <c r="D30" s="243" t="n">
        <v>0</v>
      </c>
      <c r="E30" s="243" t="n">
        <v>3</v>
      </c>
      <c r="F30" s="243" t="n">
        <v>0</v>
      </c>
      <c r="G30" s="246" t="n">
        <f aca="false">SUM(C30:F30)</f>
        <v>3</v>
      </c>
      <c r="H30" s="75"/>
    </row>
    <row r="31" customFormat="false" ht="12.75" hidden="false" customHeight="true" outlineLevel="0" collapsed="false">
      <c r="A31" s="242" t="s">
        <v>993</v>
      </c>
      <c r="B31" s="113" t="s">
        <v>260</v>
      </c>
      <c r="C31" s="243" t="n">
        <v>0</v>
      </c>
      <c r="D31" s="243" t="n">
        <v>0</v>
      </c>
      <c r="E31" s="243" t="n">
        <v>0</v>
      </c>
      <c r="F31" s="243" t="n">
        <v>0</v>
      </c>
      <c r="G31" s="246" t="n">
        <f aca="false">SUM(C31:F31)</f>
        <v>0</v>
      </c>
      <c r="H31" s="75"/>
    </row>
    <row r="32" customFormat="false" ht="12.75" hidden="false" customHeight="true" outlineLevel="0" collapsed="false">
      <c r="A32" s="242" t="s">
        <v>994</v>
      </c>
      <c r="B32" s="113" t="s">
        <v>260</v>
      </c>
      <c r="C32" s="243" t="n">
        <v>0</v>
      </c>
      <c r="D32" s="243" t="n">
        <v>0</v>
      </c>
      <c r="E32" s="243" t="n">
        <v>1</v>
      </c>
      <c r="F32" s="243" t="n">
        <v>0</v>
      </c>
      <c r="G32" s="246" t="n">
        <f aca="false">SUM(C32:F32)</f>
        <v>1</v>
      </c>
      <c r="H32" s="75"/>
    </row>
    <row r="33" customFormat="false" ht="12.75" hidden="false" customHeight="true" outlineLevel="0" collapsed="false">
      <c r="A33" s="242" t="s">
        <v>995</v>
      </c>
      <c r="B33" s="113" t="s">
        <v>260</v>
      </c>
      <c r="C33" s="243" t="n">
        <v>1</v>
      </c>
      <c r="D33" s="243" t="n">
        <v>4</v>
      </c>
      <c r="E33" s="243" t="n">
        <v>3</v>
      </c>
      <c r="F33" s="243" t="n">
        <v>0</v>
      </c>
      <c r="G33" s="246" t="n">
        <f aca="false">SUM(C33:F33)</f>
        <v>8</v>
      </c>
      <c r="H33" s="75"/>
    </row>
    <row r="34" customFormat="false" ht="12.75" hidden="false" customHeight="true" outlineLevel="0" collapsed="false">
      <c r="A34" s="242" t="s">
        <v>996</v>
      </c>
      <c r="B34" s="113" t="s">
        <v>260</v>
      </c>
      <c r="C34" s="243" t="n">
        <v>0</v>
      </c>
      <c r="D34" s="243" t="n">
        <v>0</v>
      </c>
      <c r="E34" s="243" t="n">
        <v>0</v>
      </c>
      <c r="F34" s="243" t="n">
        <v>0</v>
      </c>
      <c r="G34" s="246" t="n">
        <f aca="false">SUM(C34:F34)</f>
        <v>0</v>
      </c>
      <c r="H34" s="75"/>
    </row>
    <row r="35" customFormat="false" ht="12.75" hidden="false" customHeight="true" outlineLevel="0" collapsed="false">
      <c r="A35" s="242" t="s">
        <v>997</v>
      </c>
      <c r="B35" s="113" t="s">
        <v>233</v>
      </c>
      <c r="C35" s="113" t="s">
        <v>279</v>
      </c>
      <c r="D35" s="113" t="s">
        <v>279</v>
      </c>
      <c r="E35" s="113" t="s">
        <v>279</v>
      </c>
      <c r="F35" s="113" t="s">
        <v>279</v>
      </c>
      <c r="G35" s="244" t="str">
        <f aca="false">IF(SUM(C27:F27)&gt;0,SUM(C29:F29)*1000000/SUM(C27:F27),"Awaiting hours worked")</f>
        <v>Awaiting hours worked</v>
      </c>
      <c r="H35" s="75" t="s">
        <v>986</v>
      </c>
    </row>
    <row r="36" customFormat="false" ht="12.75" hidden="false" customHeight="true" outlineLevel="0" collapsed="false">
      <c r="A36" s="242" t="s">
        <v>998</v>
      </c>
      <c r="B36" s="113" t="s">
        <v>233</v>
      </c>
      <c r="C36" s="113" t="s">
        <v>279</v>
      </c>
      <c r="D36" s="113" t="s">
        <v>279</v>
      </c>
      <c r="E36" s="113" t="s">
        <v>279</v>
      </c>
      <c r="F36" s="113" t="s">
        <v>279</v>
      </c>
      <c r="G36" s="244" t="str">
        <f aca="false">IF(SUM(C27:F27)&gt;0,(SUM(C29:F29)+SUM(C30:F30))*1000000/SUM(C27:F27),"Awaiting hours worked")</f>
        <v>Awaiting hours worked</v>
      </c>
      <c r="H36" s="75" t="s">
        <v>999</v>
      </c>
    </row>
    <row r="37" customFormat="false" ht="12.75" hidden="false" customHeight="true" outlineLevel="0" collapsed="false">
      <c r="A37" s="242" t="s">
        <v>1000</v>
      </c>
      <c r="B37" s="113" t="s">
        <v>224</v>
      </c>
      <c r="C37" s="154" t="n">
        <v>0</v>
      </c>
      <c r="D37" s="154" t="n">
        <v>0</v>
      </c>
      <c r="E37" s="154" t="n">
        <v>0</v>
      </c>
      <c r="F37" s="154" t="n">
        <v>0</v>
      </c>
      <c r="G37" s="246" t="n">
        <f aca="false">SUM(C37:F37)</f>
        <v>0</v>
      </c>
      <c r="H37" s="75"/>
    </row>
    <row r="38" customFormat="false" ht="12.75" hidden="false" customHeight="true" outlineLevel="0" collapsed="false">
      <c r="A38" s="242" t="s">
        <v>1001</v>
      </c>
      <c r="B38" s="113" t="s">
        <v>1002</v>
      </c>
      <c r="C38" s="210" t="n">
        <v>0</v>
      </c>
      <c r="D38" s="210" t="n">
        <v>0</v>
      </c>
      <c r="E38" s="210" t="n">
        <v>0</v>
      </c>
      <c r="F38" s="210" t="n">
        <v>0</v>
      </c>
      <c r="G38" s="247" t="n">
        <f aca="false">SUM(C38:F38)</f>
        <v>0</v>
      </c>
      <c r="H38" s="75"/>
    </row>
    <row r="39" customFormat="false" ht="12.75" hidden="false" customHeight="true" outlineLevel="0" collapsed="false">
      <c r="A39" s="242" t="s">
        <v>1003</v>
      </c>
      <c r="B39" s="113" t="s">
        <v>1004</v>
      </c>
      <c r="C39" s="154" t="n">
        <v>0</v>
      </c>
      <c r="D39" s="154" t="n">
        <v>0</v>
      </c>
      <c r="E39" s="154" t="n">
        <v>0</v>
      </c>
      <c r="F39" s="154" t="n">
        <v>0</v>
      </c>
      <c r="G39" s="246" t="n">
        <f aca="false">SUM(C39:F39)</f>
        <v>0</v>
      </c>
      <c r="H39" s="75"/>
    </row>
    <row r="41" customFormat="false" ht="13.5" hidden="false" customHeight="true" outlineLevel="0" collapsed="false">
      <c r="A41" s="80" t="s">
        <v>1005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</row>
    <row r="42" customFormat="false" ht="13.5" hidden="false" customHeight="true" outlineLevel="0" collapsed="false">
      <c r="A42" s="8" t="s">
        <v>660</v>
      </c>
      <c r="B42" s="157" t="s">
        <v>137</v>
      </c>
      <c r="C42" s="157" t="s">
        <v>1006</v>
      </c>
      <c r="D42" s="157" t="s">
        <v>1007</v>
      </c>
    </row>
    <row r="43" customFormat="false" ht="12.75" hidden="false" customHeight="true" outlineLevel="0" collapsed="false">
      <c r="A43" s="180" t="s">
        <v>1008</v>
      </c>
      <c r="B43" s="248" t="n">
        <v>10331940.87</v>
      </c>
      <c r="C43" s="75" t="s">
        <v>1009</v>
      </c>
      <c r="D43" s="249"/>
      <c r="E43" s="245" t="s">
        <v>1010</v>
      </c>
    </row>
    <row r="44" customFormat="false" ht="12.75" hidden="false" customHeight="true" outlineLevel="0" collapsed="false">
      <c r="A44" s="180" t="s">
        <v>1011</v>
      </c>
      <c r="B44" s="250" t="n">
        <f aca="false">IFERROR(B43*0.01,0)</f>
        <v>103319.4087</v>
      </c>
      <c r="C44" s="75" t="s">
        <v>1012</v>
      </c>
      <c r="D44" s="113"/>
    </row>
    <row r="45" customFormat="false" ht="12.75" hidden="false" customHeight="true" outlineLevel="0" collapsed="false">
      <c r="A45" s="180" t="s">
        <v>1013</v>
      </c>
      <c r="B45" s="173"/>
      <c r="C45" s="75" t="s">
        <v>1014</v>
      </c>
      <c r="D45" s="251" t="n">
        <f aca="false">IF(B45="Yes",5,0)</f>
        <v>0</v>
      </c>
    </row>
    <row r="46" customFormat="false" ht="12.75" hidden="false" customHeight="true" outlineLevel="0" collapsed="false">
      <c r="A46" s="180" t="s">
        <v>1015</v>
      </c>
      <c r="B46" s="173"/>
      <c r="C46" s="75" t="s">
        <v>1014</v>
      </c>
      <c r="D46" s="251" t="n">
        <f aca="false">IF(B46="Yes",5,0)</f>
        <v>0</v>
      </c>
    </row>
    <row r="47" customFormat="false" ht="12.75" hidden="false" customHeight="true" outlineLevel="0" collapsed="false">
      <c r="A47" s="180" t="s">
        <v>1016</v>
      </c>
      <c r="B47" s="173"/>
      <c r="C47" s="75" t="s">
        <v>1017</v>
      </c>
      <c r="D47" s="113"/>
    </row>
    <row r="48" customFormat="false" ht="12.75" hidden="false" customHeight="true" outlineLevel="0" collapsed="false">
      <c r="A48" s="180" t="s">
        <v>1018</v>
      </c>
      <c r="B48" s="173"/>
      <c r="C48" s="75" t="s">
        <v>1019</v>
      </c>
      <c r="D48" s="113"/>
    </row>
    <row r="49" customFormat="false" ht="12.75" hidden="false" customHeight="true" outlineLevel="0" collapsed="false">
      <c r="A49" s="180" t="s">
        <v>1020</v>
      </c>
      <c r="B49" s="173"/>
      <c r="C49" s="75" t="s">
        <v>1021</v>
      </c>
      <c r="D49" s="113"/>
    </row>
    <row r="50" customFormat="false" ht="12.75" hidden="false" customHeight="true" outlineLevel="0" collapsed="false">
      <c r="A50" s="180" t="s">
        <v>1022</v>
      </c>
      <c r="B50" s="173"/>
      <c r="C50" s="75" t="s">
        <v>1023</v>
      </c>
      <c r="D50" s="113"/>
    </row>
    <row r="51" customFormat="false" ht="12.75" hidden="false" customHeight="true" outlineLevel="0" collapsed="false">
      <c r="A51" s="180" t="s">
        <v>1024</v>
      </c>
      <c r="B51" s="173"/>
      <c r="C51" s="75" t="s">
        <v>912</v>
      </c>
      <c r="D51" s="113"/>
    </row>
    <row r="52" customFormat="false" ht="12.75" hidden="false" customHeight="true" outlineLevel="0" collapsed="false">
      <c r="A52" s="180" t="s">
        <v>1025</v>
      </c>
      <c r="B52" s="173"/>
      <c r="C52" s="75" t="s">
        <v>1026</v>
      </c>
      <c r="D52" s="113"/>
    </row>
    <row r="53" customFormat="false" ht="12.75" hidden="false" customHeight="true" outlineLevel="0" collapsed="false">
      <c r="A53" s="180" t="s">
        <v>1027</v>
      </c>
      <c r="B53" s="173"/>
      <c r="C53" s="75" t="s">
        <v>1028</v>
      </c>
      <c r="D53" s="113"/>
    </row>
    <row r="54" customFormat="false" ht="12.75" hidden="false" customHeight="true" outlineLevel="0" collapsed="false">
      <c r="A54" s="180" t="s">
        <v>1029</v>
      </c>
      <c r="B54" s="173"/>
      <c r="C54" s="75" t="s">
        <v>1030</v>
      </c>
      <c r="D54" s="113"/>
    </row>
    <row r="55" customFormat="false" ht="12.75" hidden="false" customHeight="true" outlineLevel="0" collapsed="false">
      <c r="A55" s="180" t="s">
        <v>1031</v>
      </c>
      <c r="B55" s="173"/>
      <c r="C55" s="75" t="s">
        <v>1032</v>
      </c>
      <c r="D55" s="113"/>
    </row>
    <row r="57" customFormat="false" ht="13.5" hidden="false" customHeight="true" outlineLevel="0" collapsed="false">
      <c r="A57" s="80" t="s">
        <v>1033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customFormat="false" ht="13.5" hidden="false" customHeight="true" outlineLevel="0" collapsed="false">
      <c r="A58" s="8" t="s">
        <v>1034</v>
      </c>
      <c r="B58" s="8" t="s">
        <v>1035</v>
      </c>
      <c r="C58" s="157" t="s">
        <v>1036</v>
      </c>
      <c r="D58" s="8" t="s">
        <v>1037</v>
      </c>
      <c r="E58" s="157" t="s">
        <v>1038</v>
      </c>
      <c r="F58" s="157" t="s">
        <v>1039</v>
      </c>
      <c r="G58" s="157" t="s">
        <v>520</v>
      </c>
      <c r="H58" s="157" t="s">
        <v>517</v>
      </c>
    </row>
    <row r="59" customFormat="false" ht="12.75" hidden="false" customHeight="true" outlineLevel="0" collapsed="false">
      <c r="A59" s="173" t="s">
        <v>1040</v>
      </c>
      <c r="B59" s="173" t="s">
        <v>1041</v>
      </c>
      <c r="C59" s="154" t="n">
        <v>77</v>
      </c>
      <c r="D59" s="169" t="s">
        <v>1042</v>
      </c>
      <c r="E59" s="173" t="s">
        <v>1043</v>
      </c>
      <c r="F59" s="173" t="s">
        <v>1044</v>
      </c>
      <c r="G59" s="173" t="s">
        <v>1045</v>
      </c>
      <c r="H59" s="173" t="s">
        <v>1046</v>
      </c>
    </row>
    <row r="60" customFormat="false" ht="12.75" hidden="false" customHeight="true" outlineLevel="0" collapsed="false">
      <c r="A60" s="173" t="s">
        <v>1040</v>
      </c>
      <c r="B60" s="173" t="s">
        <v>1041</v>
      </c>
      <c r="C60" s="154" t="n">
        <v>77</v>
      </c>
      <c r="D60" s="169" t="s">
        <v>1047</v>
      </c>
      <c r="E60" s="173" t="s">
        <v>1048</v>
      </c>
      <c r="F60" s="173" t="s">
        <v>1044</v>
      </c>
      <c r="G60" s="173" t="s">
        <v>1045</v>
      </c>
      <c r="H60" s="173" t="s">
        <v>1049</v>
      </c>
    </row>
    <row r="61" customFormat="false" ht="12.75" hidden="false" customHeight="true" outlineLevel="0" collapsed="false">
      <c r="A61" s="173" t="s">
        <v>1050</v>
      </c>
      <c r="B61" s="173" t="s">
        <v>1051</v>
      </c>
      <c r="C61" s="154" t="n">
        <v>5</v>
      </c>
      <c r="D61" s="169" t="s">
        <v>1052</v>
      </c>
      <c r="E61" s="173" t="s">
        <v>1053</v>
      </c>
      <c r="F61" s="173" t="s">
        <v>1054</v>
      </c>
      <c r="G61" s="173" t="s">
        <v>1045</v>
      </c>
      <c r="H61" s="173" t="s">
        <v>1055</v>
      </c>
    </row>
    <row r="62" customFormat="false" ht="12.75" hidden="false" customHeight="true" outlineLevel="0" collapsed="false">
      <c r="A62" s="173" t="s">
        <v>1050</v>
      </c>
      <c r="B62" s="173" t="s">
        <v>1051</v>
      </c>
      <c r="C62" s="154" t="n">
        <v>5</v>
      </c>
      <c r="D62" s="169" t="s">
        <v>1056</v>
      </c>
      <c r="E62" s="173" t="s">
        <v>1057</v>
      </c>
      <c r="F62" s="173" t="s">
        <v>1054</v>
      </c>
      <c r="G62" s="173" t="s">
        <v>1045</v>
      </c>
      <c r="H62" s="173" t="s">
        <v>1058</v>
      </c>
    </row>
    <row r="63" customFormat="false" ht="12.75" hidden="false" customHeight="true" outlineLevel="0" collapsed="false">
      <c r="A63" s="173" t="s">
        <v>1059</v>
      </c>
      <c r="B63" s="173" t="s">
        <v>1060</v>
      </c>
      <c r="C63" s="154" t="n">
        <v>3</v>
      </c>
      <c r="D63" s="169" t="s">
        <v>1061</v>
      </c>
      <c r="E63" s="173" t="s">
        <v>1043</v>
      </c>
      <c r="F63" s="173" t="s">
        <v>1054</v>
      </c>
      <c r="G63" s="173" t="s">
        <v>1045</v>
      </c>
      <c r="H63" s="173" t="s">
        <v>1062</v>
      </c>
    </row>
    <row r="64" customFormat="false" ht="12.75" hidden="false" customHeight="true" outlineLevel="0" collapsed="false">
      <c r="A64" s="173" t="s">
        <v>1063</v>
      </c>
      <c r="B64" s="173" t="s">
        <v>1064</v>
      </c>
      <c r="C64" s="154" t="n">
        <v>8</v>
      </c>
      <c r="D64" s="169" t="s">
        <v>1065</v>
      </c>
      <c r="E64" s="173" t="s">
        <v>1057</v>
      </c>
      <c r="F64" s="173" t="s">
        <v>1054</v>
      </c>
      <c r="G64" s="173" t="s">
        <v>1045</v>
      </c>
      <c r="H64" s="173" t="s">
        <v>1066</v>
      </c>
    </row>
    <row r="65" customFormat="false" ht="12.75" hidden="false" customHeight="true" outlineLevel="0" collapsed="false">
      <c r="A65" s="173" t="s">
        <v>1067</v>
      </c>
      <c r="B65" s="173" t="s">
        <v>1068</v>
      </c>
      <c r="C65" s="154" t="n">
        <v>10</v>
      </c>
      <c r="D65" s="169" t="s">
        <v>1069</v>
      </c>
      <c r="E65" s="173" t="s">
        <v>1043</v>
      </c>
      <c r="F65" s="173" t="s">
        <v>1054</v>
      </c>
      <c r="G65" s="173" t="s">
        <v>1045</v>
      </c>
      <c r="H65" s="173" t="s">
        <v>1070</v>
      </c>
    </row>
    <row r="66" customFormat="false" ht="12.75" hidden="false" customHeight="true" outlineLevel="0" collapsed="false">
      <c r="A66" s="173" t="s">
        <v>1071</v>
      </c>
      <c r="B66" s="173" t="s">
        <v>1072</v>
      </c>
      <c r="C66" s="154" t="n">
        <v>25</v>
      </c>
      <c r="D66" s="169" t="s">
        <v>1073</v>
      </c>
      <c r="E66" s="173" t="s">
        <v>1043</v>
      </c>
      <c r="F66" s="173" t="s">
        <v>1044</v>
      </c>
      <c r="G66" s="173" t="s">
        <v>1045</v>
      </c>
      <c r="H66" s="173" t="s">
        <v>1074</v>
      </c>
    </row>
    <row r="67" customFormat="false" ht="12.75" hidden="false" customHeight="true" outlineLevel="0" collapsed="false">
      <c r="A67" s="173" t="s">
        <v>1075</v>
      </c>
      <c r="B67" s="173" t="s">
        <v>1076</v>
      </c>
      <c r="C67" s="154" t="n">
        <v>50</v>
      </c>
      <c r="D67" s="169" t="s">
        <v>1077</v>
      </c>
      <c r="E67" s="173" t="s">
        <v>1048</v>
      </c>
      <c r="F67" s="173" t="s">
        <v>1054</v>
      </c>
      <c r="G67" s="173" t="s">
        <v>1045</v>
      </c>
      <c r="H67" s="173" t="s">
        <v>1078</v>
      </c>
    </row>
    <row r="68" customFormat="false" ht="12.75" hidden="false" customHeight="true" outlineLevel="0" collapsed="false">
      <c r="A68" s="173"/>
      <c r="B68" s="173"/>
      <c r="C68" s="154"/>
      <c r="D68" s="169"/>
      <c r="E68" s="173"/>
      <c r="F68" s="173"/>
      <c r="G68" s="153" t="s">
        <v>1079</v>
      </c>
      <c r="H68" s="173"/>
    </row>
    <row r="70" customFormat="false" ht="13.5" hidden="false" customHeight="true" outlineLevel="0" collapsed="false">
      <c r="A70" s="80" t="s">
        <v>1080</v>
      </c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customFormat="false" ht="13.5" hidden="false" customHeight="true" outlineLevel="0" collapsed="false">
      <c r="A71" s="8" t="s">
        <v>1081</v>
      </c>
      <c r="B71" s="157" t="s">
        <v>882</v>
      </c>
      <c r="C71" s="157" t="s">
        <v>1082</v>
      </c>
      <c r="D71" s="157" t="s">
        <v>1083</v>
      </c>
      <c r="E71" s="157" t="s">
        <v>1084</v>
      </c>
      <c r="F71" s="157" t="s">
        <v>517</v>
      </c>
    </row>
    <row r="72" customFormat="false" ht="12.75" hidden="false" customHeight="true" outlineLevel="0" collapsed="false">
      <c r="A72" s="252" t="s">
        <v>1085</v>
      </c>
      <c r="B72" s="252" t="s">
        <v>544</v>
      </c>
      <c r="C72" s="253" t="s">
        <v>1086</v>
      </c>
      <c r="D72" s="254"/>
      <c r="E72" s="252" t="s">
        <v>1087</v>
      </c>
      <c r="F72" s="252" t="s">
        <v>1088</v>
      </c>
    </row>
    <row r="73" customFormat="false" ht="12.75" hidden="false" customHeight="true" outlineLevel="0" collapsed="false">
      <c r="A73" s="252" t="s">
        <v>1089</v>
      </c>
      <c r="B73" s="252" t="s">
        <v>546</v>
      </c>
      <c r="C73" s="253" t="s">
        <v>1090</v>
      </c>
      <c r="D73" s="254"/>
      <c r="E73" s="252" t="s">
        <v>1091</v>
      </c>
      <c r="F73" s="252" t="s">
        <v>1092</v>
      </c>
    </row>
    <row r="74" customFormat="false" ht="12.75" hidden="false" customHeight="true" outlineLevel="0" collapsed="false">
      <c r="A74" s="252" t="s">
        <v>1093</v>
      </c>
      <c r="B74" s="252" t="s">
        <v>547</v>
      </c>
      <c r="C74" s="253" t="s">
        <v>1094</v>
      </c>
      <c r="D74" s="254"/>
      <c r="E74" s="252" t="s">
        <v>1095</v>
      </c>
      <c r="F74" s="252" t="s">
        <v>1088</v>
      </c>
    </row>
    <row r="75" customFormat="false" ht="12.75" hidden="false" customHeight="true" outlineLevel="0" collapsed="false">
      <c r="A75" s="252" t="s">
        <v>1096</v>
      </c>
      <c r="B75" s="252" t="s">
        <v>1097</v>
      </c>
      <c r="C75" s="253" t="s">
        <v>1098</v>
      </c>
      <c r="D75" s="254"/>
      <c r="E75" s="252" t="s">
        <v>1099</v>
      </c>
      <c r="F75" s="252" t="s">
        <v>1100</v>
      </c>
    </row>
    <row r="76" customFormat="false" ht="12.75" hidden="false" customHeight="true" outlineLevel="0" collapsed="false">
      <c r="A76" s="252" t="s">
        <v>1101</v>
      </c>
      <c r="B76" s="252" t="s">
        <v>1097</v>
      </c>
      <c r="C76" s="253" t="s">
        <v>1102</v>
      </c>
      <c r="D76" s="254"/>
      <c r="E76" s="252" t="s">
        <v>1091</v>
      </c>
      <c r="F76" s="252" t="s">
        <v>1092</v>
      </c>
    </row>
    <row r="77" customFormat="false" ht="12.75" hidden="false" customHeight="true" outlineLevel="0" collapsed="false">
      <c r="A77" s="252" t="s">
        <v>1103</v>
      </c>
      <c r="B77" s="252" t="s">
        <v>1097</v>
      </c>
      <c r="C77" s="253" t="s">
        <v>1104</v>
      </c>
      <c r="D77" s="254"/>
      <c r="E77" s="252" t="s">
        <v>1105</v>
      </c>
      <c r="F77" s="252" t="s">
        <v>1088</v>
      </c>
    </row>
    <row r="78" customFormat="false" ht="12.75" hidden="false" customHeight="true" outlineLevel="0" collapsed="false">
      <c r="A78" s="252" t="s">
        <v>1106</v>
      </c>
      <c r="B78" s="252" t="s">
        <v>1107</v>
      </c>
      <c r="C78" s="253" t="s">
        <v>1108</v>
      </c>
      <c r="D78" s="254"/>
      <c r="E78" s="252" t="s">
        <v>1109</v>
      </c>
      <c r="F78" s="252" t="s">
        <v>1088</v>
      </c>
    </row>
    <row r="79" customFormat="false" ht="12.75" hidden="false" customHeight="true" outlineLevel="0" collapsed="false">
      <c r="A79" s="252" t="s">
        <v>1110</v>
      </c>
      <c r="B79" s="252" t="s">
        <v>1097</v>
      </c>
      <c r="C79" s="253" t="s">
        <v>1111</v>
      </c>
      <c r="D79" s="254"/>
      <c r="E79" s="252" t="s">
        <v>1087</v>
      </c>
      <c r="F79" s="252" t="s">
        <v>1088</v>
      </c>
    </row>
    <row r="80" customFormat="false" ht="15" hidden="false" customHeight="true" outlineLevel="0" collapsed="false">
      <c r="A80" s="59" t="s">
        <v>1112</v>
      </c>
      <c r="B80" s="59" t="s">
        <v>1097</v>
      </c>
      <c r="C80" s="59" t="s">
        <v>1113</v>
      </c>
      <c r="D80" s="255"/>
      <c r="E80" s="59" t="s">
        <v>1114</v>
      </c>
      <c r="F80" s="59" t="s">
        <v>1115</v>
      </c>
    </row>
    <row r="81" customFormat="false" ht="15" hidden="false" customHeight="true" outlineLevel="0" collapsed="false">
      <c r="A81" s="59" t="s">
        <v>1116</v>
      </c>
      <c r="B81" s="59" t="s">
        <v>1097</v>
      </c>
      <c r="C81" s="59" t="s">
        <v>1117</v>
      </c>
      <c r="D81" s="255"/>
      <c r="E81" s="59" t="s">
        <v>1114</v>
      </c>
      <c r="F81" s="59" t="s">
        <v>1115</v>
      </c>
    </row>
    <row r="82" customFormat="false" ht="15" hidden="false" customHeight="true" outlineLevel="0" collapsed="false">
      <c r="A82" s="23" t="s">
        <v>1118</v>
      </c>
      <c r="D82" s="23" t="n">
        <f aca="false">SUM(D72:D81)</f>
        <v>0</v>
      </c>
      <c r="E82" s="245" t="s">
        <v>1119</v>
      </c>
    </row>
  </sheetData>
  <mergeCells count="7">
    <mergeCell ref="A1:L1"/>
    <mergeCell ref="A3:L3"/>
    <mergeCell ref="A14:L14"/>
    <mergeCell ref="A24:L24"/>
    <mergeCell ref="A41:L41"/>
    <mergeCell ref="A57:L57"/>
    <mergeCell ref="A70:L70"/>
  </mergeCells>
  <conditionalFormatting sqref="I16">
    <cfRule type="cellIs" priority="2" operator="lessThan" aboveAverage="0" equalAverage="0" bottom="0" percent="0" rank="0" text="" dxfId="3">
      <formula>0</formula>
    </cfRule>
  </conditionalFormatting>
  <conditionalFormatting sqref="I17">
    <cfRule type="cellIs" priority="3" operator="lessThan" aboveAverage="0" equalAverage="0" bottom="0" percent="0" rank="0" text="" dxfId="3">
      <formula>0</formula>
    </cfRule>
  </conditionalFormatting>
  <conditionalFormatting sqref="I18">
    <cfRule type="cellIs" priority="4" operator="lessThan" aboveAverage="0" equalAverage="0" bottom="0" percent="0" rank="0" text="" dxfId="3">
      <formula>0</formula>
    </cfRule>
  </conditionalFormatting>
  <conditionalFormatting sqref="I19">
    <cfRule type="cellIs" priority="5" operator="lessThan" aboveAverage="0" equalAverage="0" bottom="0" percent="0" rank="0" text="" dxfId="3">
      <formula>0</formula>
    </cfRule>
  </conditionalFormatting>
  <conditionalFormatting sqref="I20">
    <cfRule type="cellIs" priority="6" operator="lessThan" aboveAverage="0" equalAverage="0" bottom="0" percent="0" rank="0" text="" dxfId="3">
      <formula>0</formula>
    </cfRule>
  </conditionalFormatting>
  <conditionalFormatting sqref="I21">
    <cfRule type="cellIs" priority="7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2"/>
  </cols>
  <sheetData>
    <row r="1" customFormat="false" ht="21.75" hidden="false" customHeight="true" outlineLevel="0" collapsed="false">
      <c r="A1" s="256" t="s">
        <v>1120</v>
      </c>
      <c r="B1" s="256"/>
      <c r="C1" s="256"/>
      <c r="D1" s="256"/>
      <c r="E1" s="256"/>
      <c r="F1" s="256"/>
    </row>
    <row r="3" customFormat="false" ht="15" hidden="false" customHeight="true" outlineLevel="0" collapsed="false">
      <c r="A3" s="257" t="s">
        <v>1121</v>
      </c>
      <c r="B3" s="257"/>
      <c r="C3" s="257"/>
      <c r="D3" s="257"/>
      <c r="E3" s="257"/>
      <c r="F3" s="257"/>
    </row>
    <row r="4" customFormat="false" ht="13.5" hidden="false" customHeight="true" outlineLevel="0" collapsed="false">
      <c r="A4" s="258" t="s">
        <v>1122</v>
      </c>
      <c r="B4" s="259" t="s">
        <v>1123</v>
      </c>
      <c r="C4" s="259" t="s">
        <v>1124</v>
      </c>
      <c r="D4" s="259" t="s">
        <v>567</v>
      </c>
      <c r="E4" s="259" t="s">
        <v>1125</v>
      </c>
      <c r="F4" s="259" t="s">
        <v>1007</v>
      </c>
    </row>
    <row r="5" customFormat="false" ht="12.75" hidden="false" customHeight="true" outlineLevel="0" collapsed="false">
      <c r="A5" s="260" t="s">
        <v>1126</v>
      </c>
      <c r="B5" s="261" t="n">
        <v>7</v>
      </c>
      <c r="C5" s="262"/>
      <c r="D5" s="263" t="s">
        <v>1127</v>
      </c>
      <c r="E5" s="264" t="s">
        <v>1128</v>
      </c>
      <c r="F5" s="265" t="n">
        <f aca="false">IF(B5&gt;0,5,0)</f>
        <v>5</v>
      </c>
    </row>
    <row r="6" customFormat="false" ht="12.75" hidden="false" customHeight="true" outlineLevel="0" collapsed="false">
      <c r="A6" s="260" t="s">
        <v>1129</v>
      </c>
      <c r="B6" s="261" t="n">
        <v>5</v>
      </c>
      <c r="C6" s="262"/>
      <c r="D6" s="263" t="s">
        <v>1130</v>
      </c>
      <c r="E6" s="264" t="s">
        <v>1128</v>
      </c>
      <c r="F6" s="265" t="n">
        <f aca="false">IFERROR(IF(B5=0,0,IF(B6/B5&gt;=0.5,5,IF(B6/B5&gt;=0.5*Assumptions!$B$9,5*B6/B5/0.5,0))),0)</f>
        <v>5</v>
      </c>
    </row>
    <row r="7" customFormat="false" ht="12.75" hidden="false" customHeight="true" outlineLevel="0" collapsed="false">
      <c r="A7" s="260" t="s">
        <v>1131</v>
      </c>
      <c r="B7" s="261" t="n">
        <v>2</v>
      </c>
      <c r="C7" s="262"/>
      <c r="D7" s="263" t="s">
        <v>1132</v>
      </c>
      <c r="E7" s="264" t="s">
        <v>1128</v>
      </c>
      <c r="F7" s="265" t="n">
        <f aca="false">IFERROR(IF(B5=0,0,IF(B7/B5&lt;=0.4,5,MAX(0,5*(1-((B7/B5)-0.4)*2)))),0)</f>
        <v>5</v>
      </c>
    </row>
    <row r="8" customFormat="false" ht="12.75" hidden="false" customHeight="true" outlineLevel="0" collapsed="false">
      <c r="A8" s="260" t="s">
        <v>1133</v>
      </c>
      <c r="B8" s="266" t="n">
        <v>0.428571428571429</v>
      </c>
      <c r="C8" s="262"/>
      <c r="D8" s="263" t="s">
        <v>1134</v>
      </c>
      <c r="E8" s="264" t="s">
        <v>1128</v>
      </c>
      <c r="F8" s="265" t="n">
        <f aca="false">IFERROR(IF(B8&gt;=Assumptions!$B$50,5,IF(B8&gt;=Assumptions!$B$50*Assumptions!$B$9,5*B8/Assumptions!$B$50,0)),0)</f>
        <v>3.57142857142858</v>
      </c>
    </row>
    <row r="9" customFormat="false" ht="12.75" hidden="false" customHeight="true" outlineLevel="0" collapsed="false">
      <c r="A9" s="260" t="s">
        <v>1135</v>
      </c>
      <c r="B9" s="266" t="n">
        <v>0.142857142857143</v>
      </c>
      <c r="C9" s="262"/>
      <c r="D9" s="263" t="s">
        <v>1136</v>
      </c>
      <c r="E9" s="264" t="s">
        <v>1128</v>
      </c>
      <c r="F9" s="265" t="n">
        <f aca="false">IFERROR(IF(B9&gt;=0.5,5,IF(B9&gt;=0.5*Assumptions!$B$9,5*B9/0.5,0)),0)</f>
        <v>0</v>
      </c>
    </row>
    <row r="10" customFormat="false" ht="12.75" hidden="false" customHeight="true" outlineLevel="0" collapsed="false">
      <c r="A10" s="260" t="s">
        <v>1137</v>
      </c>
      <c r="B10" s="267" t="n">
        <v>4</v>
      </c>
      <c r="C10" s="262"/>
      <c r="D10" s="263" t="s">
        <v>1138</v>
      </c>
      <c r="E10" s="264" t="s">
        <v>1128</v>
      </c>
      <c r="F10" s="265" t="n">
        <f aca="false">IFERROR(IF(B10&gt;=4,5,IF(B10&gt;=4*Assumptions!$B$9,5*B10/4,0)),0)</f>
        <v>5</v>
      </c>
    </row>
    <row r="11" customFormat="false" ht="12.75" hidden="false" customHeight="true" outlineLevel="0" collapsed="false">
      <c r="A11" s="260" t="s">
        <v>1139</v>
      </c>
      <c r="B11" s="267" t="n">
        <v>4</v>
      </c>
      <c r="C11" s="262"/>
      <c r="D11" s="263" t="s">
        <v>1140</v>
      </c>
      <c r="E11" s="264" t="s">
        <v>1128</v>
      </c>
      <c r="F11" s="265" t="n">
        <f aca="false">IFERROR(IF(B11&gt;=4,5,IF(B11&gt;=4*Assumptions!$B$9,5*B11/4,0)),0)</f>
        <v>5</v>
      </c>
    </row>
    <row r="12" customFormat="false" ht="12.75" hidden="false" customHeight="true" outlineLevel="0" collapsed="false">
      <c r="A12" s="260" t="s">
        <v>1141</v>
      </c>
      <c r="B12" s="261" t="s">
        <v>812</v>
      </c>
      <c r="C12" s="262"/>
      <c r="D12" s="263" t="s">
        <v>1142</v>
      </c>
      <c r="E12" s="264" t="s">
        <v>1128</v>
      </c>
      <c r="F12" s="265" t="n">
        <f aca="false">IF(B12="Yes",5,IF(B12="Partial",2.5,0))</f>
        <v>5</v>
      </c>
    </row>
    <row r="13" customFormat="false" ht="12.75" hidden="false" customHeight="true" outlineLevel="0" collapsed="false">
      <c r="A13" s="260" t="s">
        <v>1143</v>
      </c>
      <c r="B13" s="54" t="s">
        <v>812</v>
      </c>
      <c r="C13" s="262"/>
      <c r="D13" s="94" t="s">
        <v>1144</v>
      </c>
      <c r="E13" s="264" t="s">
        <v>1128</v>
      </c>
      <c r="F13" s="265" t="n">
        <f aca="false">IF(B13="Yes",5,IF(B13="Partial",2.5,0))</f>
        <v>5</v>
      </c>
    </row>
    <row r="14" customFormat="false" ht="12.75" hidden="false" customHeight="true" outlineLevel="0" collapsed="false">
      <c r="A14" s="260" t="s">
        <v>1145</v>
      </c>
      <c r="B14" s="54"/>
      <c r="C14" s="262"/>
      <c r="D14" s="94" t="s">
        <v>1146</v>
      </c>
      <c r="E14" s="264" t="s">
        <v>1128</v>
      </c>
      <c r="F14" s="265" t="n">
        <f aca="false">IF(B14="Yes",5,IF(B14="Partial",2.5,0))</f>
        <v>0</v>
      </c>
    </row>
    <row r="15" customFormat="false" ht="12.75" hidden="false" customHeight="true" outlineLevel="0" collapsed="false">
      <c r="A15" s="260" t="s">
        <v>1147</v>
      </c>
      <c r="B15" s="54" t="s">
        <v>812</v>
      </c>
      <c r="C15" s="262"/>
      <c r="D15" s="94" t="s">
        <v>1148</v>
      </c>
      <c r="E15" s="264" t="s">
        <v>1128</v>
      </c>
      <c r="F15" s="265" t="n">
        <f aca="false">IF(B15="Yes",5,IF(B15="Partial",2.5,0))</f>
        <v>5</v>
      </c>
    </row>
    <row r="16" customFormat="false" ht="12.75" hidden="false" customHeight="true" outlineLevel="0" collapsed="false">
      <c r="A16" s="260" t="s">
        <v>1149</v>
      </c>
      <c r="B16" s="54" t="s">
        <v>812</v>
      </c>
      <c r="C16" s="262"/>
      <c r="D16" s="263" t="s">
        <v>1150</v>
      </c>
      <c r="E16" s="264" t="s">
        <v>1128</v>
      </c>
      <c r="F16" s="265" t="n">
        <f aca="false">IF(B16="Yes",5,IF(B16="Partial",2.5,0))</f>
        <v>5</v>
      </c>
    </row>
    <row r="17" customFormat="false" ht="12.75" hidden="false" customHeight="true" outlineLevel="0" collapsed="false">
      <c r="A17" s="260" t="s">
        <v>1151</v>
      </c>
      <c r="B17" s="54" t="s">
        <v>1152</v>
      </c>
      <c r="C17" s="262"/>
      <c r="D17" s="94" t="s">
        <v>1153</v>
      </c>
      <c r="E17" s="264" t="s">
        <v>1128</v>
      </c>
      <c r="F17" s="265" t="n">
        <f aca="false">IF(B17="Yes",5,IF(B17="Partial",2.5,0))</f>
        <v>2.5</v>
      </c>
    </row>
    <row r="18" customFormat="false" ht="12.75" hidden="false" customHeight="true" outlineLevel="0" collapsed="false">
      <c r="A18" s="260" t="s">
        <v>1154</v>
      </c>
      <c r="B18" s="54" t="s">
        <v>1152</v>
      </c>
      <c r="C18" s="262"/>
      <c r="D18" s="94" t="s">
        <v>1155</v>
      </c>
      <c r="E18" s="264" t="s">
        <v>1128</v>
      </c>
      <c r="F18" s="265" t="n">
        <f aca="false">IF(B18="Yes",5,IF(B18="Partial",2.5,0))</f>
        <v>2.5</v>
      </c>
    </row>
    <row r="19" customFormat="false" ht="12.75" hidden="false" customHeight="true" outlineLevel="0" collapsed="false">
      <c r="A19" s="260" t="s">
        <v>1156</v>
      </c>
      <c r="B19" s="54"/>
      <c r="C19" s="262"/>
      <c r="D19" s="94" t="s">
        <v>1157</v>
      </c>
      <c r="E19" s="264" t="s">
        <v>1128</v>
      </c>
      <c r="F19" s="265" t="n">
        <f aca="false">IF(B19="Yes",5,IF(B19="Partial",2.5,0))</f>
        <v>0</v>
      </c>
    </row>
    <row r="20" customFormat="false" ht="12.75" hidden="false" customHeight="true" outlineLevel="0" collapsed="false">
      <c r="A20" s="260" t="s">
        <v>1158</v>
      </c>
      <c r="B20" s="54" t="s">
        <v>812</v>
      </c>
      <c r="C20" s="262"/>
      <c r="D20" s="263" t="s">
        <v>1159</v>
      </c>
      <c r="E20" s="264" t="s">
        <v>1128</v>
      </c>
      <c r="F20" s="265" t="n">
        <f aca="false">IF(B20="Yes",5,IF(B20="Partial",2.5,0))</f>
        <v>5</v>
      </c>
    </row>
    <row r="21" customFormat="false" ht="12.75" hidden="false" customHeight="true" outlineLevel="0" collapsed="false">
      <c r="A21" s="260" t="s">
        <v>1160</v>
      </c>
      <c r="B21" s="54" t="s">
        <v>1152</v>
      </c>
      <c r="C21" s="262"/>
      <c r="D21" s="94" t="s">
        <v>1161</v>
      </c>
      <c r="E21" s="264" t="s">
        <v>1128</v>
      </c>
      <c r="F21" s="265" t="n">
        <f aca="false">IF(B21="Yes",5,IF(B21="Partial",2.5,0))</f>
        <v>2.5</v>
      </c>
    </row>
    <row r="22" customFormat="false" ht="12.75" hidden="false" customHeight="true" outlineLevel="0" collapsed="false">
      <c r="A22" s="260" t="s">
        <v>1162</v>
      </c>
      <c r="B22" s="54"/>
      <c r="C22" s="262"/>
      <c r="D22" s="94" t="s">
        <v>1163</v>
      </c>
      <c r="E22" s="264" t="s">
        <v>1128</v>
      </c>
      <c r="F22" s="265" t="n">
        <f aca="false">IFERROR(IF(B22&gt;=Assumptions!$B$61,5,IF(B22&gt;=Assumptions!$B$61*Assumptions!$B$9,5*B22/Assumptions!$B$61,0)),0)</f>
        <v>0</v>
      </c>
    </row>
    <row r="23" customFormat="false" ht="12.75" hidden="false" customHeight="true" outlineLevel="0" collapsed="false">
      <c r="A23" s="260" t="s">
        <v>1164</v>
      </c>
      <c r="B23" s="54" t="s">
        <v>1152</v>
      </c>
      <c r="C23" s="262"/>
      <c r="D23" s="94" t="s">
        <v>1165</v>
      </c>
      <c r="E23" s="264" t="s">
        <v>1128</v>
      </c>
      <c r="F23" s="265" t="n">
        <f aca="false">IF(B23="Yes",5,IF(B23="Partial",2.5,0))</f>
        <v>2.5</v>
      </c>
    </row>
    <row r="24" customFormat="false" ht="12.75" hidden="false" customHeight="true" outlineLevel="0" collapsed="false">
      <c r="A24" s="260" t="s">
        <v>1166</v>
      </c>
      <c r="B24" s="54" t="s">
        <v>1152</v>
      </c>
      <c r="C24" s="262"/>
      <c r="D24" s="94" t="s">
        <v>1167</v>
      </c>
      <c r="E24" s="264" t="s">
        <v>1128</v>
      </c>
      <c r="F24" s="265" t="n">
        <f aca="false">IF(B24="Yes",5,IF(B24="Partial",2.5,0))</f>
        <v>2.5</v>
      </c>
    </row>
    <row r="26" customFormat="false" ht="15" hidden="false" customHeight="true" outlineLevel="0" collapsed="false">
      <c r="A26" s="86" t="s">
        <v>1168</v>
      </c>
      <c r="F26" s="268" t="n">
        <f aca="false">SUM(F5:F24)</f>
        <v>66.0714285714286</v>
      </c>
    </row>
  </sheetData>
  <mergeCells count="2">
    <mergeCell ref="A1:F1"/>
    <mergeCell ref="A3:F3"/>
  </mergeCells>
  <dataValidations count="12">
    <dataValidation allowBlank="true" errorStyle="stop" operator="between" showDropDown="false" showErrorMessage="false" showInputMessage="false" sqref="B12" type="list">
      <formula1>"Yes,No,Partial,N/A"</formula1>
      <formula2>0</formula2>
    </dataValidation>
    <dataValidation allowBlank="true" errorStyle="stop" operator="between" showDropDown="false" showErrorMessage="false" showInputMessage="false" sqref="B13" type="list">
      <formula1>"Yes,No,Partial,N/A"</formula1>
      <formula2>0</formula2>
    </dataValidation>
    <dataValidation allowBlank="true" errorStyle="stop" operator="between" showDropDown="false" showErrorMessage="false" showInputMessage="false" sqref="B14" type="list">
      <formula1>"Yes,No,Partial,N/A"</formula1>
      <formula2>0</formula2>
    </dataValidation>
    <dataValidation allowBlank="true" errorStyle="stop" operator="between" showDropDown="false" showErrorMessage="false" showInputMessage="false" sqref="B15" type="list">
      <formula1>"Yes,No,Partial,N/A"</formula1>
      <formula2>0</formula2>
    </dataValidation>
    <dataValidation allowBlank="true" errorStyle="stop" operator="between" showDropDown="false" showErrorMessage="false" showInputMessage="false" sqref="B16" type="list">
      <formula1>"Yes,No,Partial,N/A"</formula1>
      <formula2>0</formula2>
    </dataValidation>
    <dataValidation allowBlank="true" errorStyle="stop" operator="between" showDropDown="false" showErrorMessage="false" showInputMessage="false" sqref="B17" type="list">
      <formula1>"Yes,No,Partial,N/A"</formula1>
      <formula2>0</formula2>
    </dataValidation>
    <dataValidation allowBlank="true" errorStyle="stop" operator="between" showDropDown="false" showErrorMessage="false" showInputMessage="false" sqref="B18" type="list">
      <formula1>"Yes,No,Partial,N/A"</formula1>
      <formula2>0</formula2>
    </dataValidation>
    <dataValidation allowBlank="true" errorStyle="stop" operator="between" showDropDown="false" showErrorMessage="false" showInputMessage="false" sqref="B19" type="list">
      <formula1>"Yes,No,Partial,N/A"</formula1>
      <formula2>0</formula2>
    </dataValidation>
    <dataValidation allowBlank="true" errorStyle="stop" operator="between" showDropDown="false" showErrorMessage="false" showInputMessage="false" sqref="B20" type="list">
      <formula1>"Yes,No,Partial,N/A"</formula1>
      <formula2>0</formula2>
    </dataValidation>
    <dataValidation allowBlank="true" errorStyle="stop" operator="between" showDropDown="false" showErrorMessage="false" showInputMessage="false" sqref="B21" type="list">
      <formula1>"Yes,No,Partial,N/A"</formula1>
      <formula2>0</formula2>
    </dataValidation>
    <dataValidation allowBlank="true" errorStyle="stop" operator="between" showDropDown="false" showErrorMessage="false" showInputMessage="false" sqref="B23" type="list">
      <formula1>"Yes,No,Partial,N/A"</formula1>
      <formula2>0</formula2>
    </dataValidation>
    <dataValidation allowBlank="true" errorStyle="stop" operator="between" showDropDown="false" showErrorMessage="false" showInputMessage="false" sqref="B24" type="list">
      <formula1>"Yes,No,Partial,N/A"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3D7A"/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2"/>
    <col collapsed="false" customWidth="true" hidden="false" outlineLevel="0" max="8" min="8" style="1" width="14"/>
  </cols>
  <sheetData>
    <row r="1" customFormat="false" ht="21.75" hidden="false" customHeight="true" outlineLevel="0" collapsed="false">
      <c r="A1" s="269" t="s">
        <v>1169</v>
      </c>
      <c r="B1" s="269"/>
      <c r="C1" s="269"/>
      <c r="D1" s="269"/>
      <c r="E1" s="269"/>
      <c r="F1" s="269"/>
      <c r="G1" s="269"/>
      <c r="H1" s="269"/>
    </row>
    <row r="3" customFormat="false" ht="15" hidden="false" customHeight="true" outlineLevel="0" collapsed="false">
      <c r="A3" s="122" t="s">
        <v>1170</v>
      </c>
      <c r="B3" s="122"/>
      <c r="C3" s="122"/>
      <c r="D3" s="122"/>
      <c r="E3" s="122"/>
      <c r="F3" s="122"/>
      <c r="G3" s="122"/>
      <c r="H3" s="122"/>
    </row>
    <row r="4" customFormat="false" ht="13.5" hidden="false" customHeight="true" outlineLevel="0" collapsed="false">
      <c r="A4" s="270" t="s">
        <v>1171</v>
      </c>
      <c r="B4" s="123" t="s">
        <v>1172</v>
      </c>
      <c r="C4" s="123" t="s">
        <v>662</v>
      </c>
      <c r="D4" s="123" t="s">
        <v>811</v>
      </c>
      <c r="E4" s="123" t="s">
        <v>512</v>
      </c>
      <c r="F4" s="123" t="s">
        <v>513</v>
      </c>
      <c r="G4" s="123" t="s">
        <v>520</v>
      </c>
      <c r="H4" s="123" t="s">
        <v>1173</v>
      </c>
    </row>
    <row r="5" customFormat="false" ht="12.75" hidden="false" customHeight="true" outlineLevel="0" collapsed="false">
      <c r="A5" s="126" t="s">
        <v>1174</v>
      </c>
      <c r="B5" s="236" t="n">
        <f aca="false">IFERROR((S_Data!B5+S_Data!C5+S_Data!D5+S_Data!F5+S_Data!G5+S_Data!H5)/(S_Data!L5)*1,0)</f>
        <v>0</v>
      </c>
      <c r="C5" s="75" t="s">
        <v>1175</v>
      </c>
      <c r="D5" s="212" t="n">
        <v>20</v>
      </c>
      <c r="E5" s="238" t="n">
        <f aca="false">IFERROR(MIN(20,ROUND(B5/0.6*20,2)),0)</f>
        <v>0</v>
      </c>
      <c r="F5" s="212" t="n">
        <v>20</v>
      </c>
      <c r="G5" s="71" t="str">
        <f aca="false">IF(E5&gt;=F5*0.9,"✓ Met",IF(E5&gt;=F5*0.5,"⚠ Partial","✗ Gap"))</f>
        <v>✗ Gap</v>
      </c>
      <c r="H5" s="94" t="s">
        <v>1176</v>
      </c>
    </row>
    <row r="6" customFormat="false" ht="12.75" hidden="false" customHeight="true" outlineLevel="0" collapsed="false">
      <c r="A6" s="126" t="s">
        <v>1177</v>
      </c>
      <c r="B6" s="236" t="n">
        <f aca="false">0</f>
        <v>0</v>
      </c>
      <c r="C6" s="75" t="s">
        <v>1178</v>
      </c>
      <c r="D6" s="212" t="n">
        <v>15</v>
      </c>
      <c r="E6" s="238" t="n">
        <f aca="false">IFERROR(MIN(15,ROUND(B6/0.3*15,2)),0)</f>
        <v>0</v>
      </c>
      <c r="F6" s="212" t="n">
        <v>15</v>
      </c>
      <c r="G6" s="71" t="str">
        <f aca="false">IF(E6&gt;=F6*0.9,"✓ Met",IF(E6&gt;=F6*0.5,"⚠ Partial","✗ Gap"))</f>
        <v>✗ Gap</v>
      </c>
      <c r="H6" s="94" t="s">
        <v>1176</v>
      </c>
    </row>
    <row r="7" customFormat="false" ht="12.75" hidden="false" customHeight="true" outlineLevel="0" collapsed="false">
      <c r="A7" s="126" t="s">
        <v>1179</v>
      </c>
      <c r="B7" s="236" t="n">
        <f aca="false">IFERROR((S_Data!B5+ S_Data!B6)/S_Data!L12,0)</f>
        <v>0</v>
      </c>
      <c r="C7" s="75" t="s">
        <v>318</v>
      </c>
      <c r="D7" s="212" t="n">
        <v>20</v>
      </c>
      <c r="E7" s="238" t="n">
        <f aca="false">IFERROR(MIN(20,ROUND(B7/0.5*20,2)),0)</f>
        <v>0</v>
      </c>
      <c r="F7" s="212" t="n">
        <v>20</v>
      </c>
      <c r="G7" s="71" t="str">
        <f aca="false">IF(E7&gt;=F7*0.9,"✓ Met",IF(E7&gt;=F7*0.5,"⚠ Partial","✗ Gap"))</f>
        <v>✗ Gap</v>
      </c>
      <c r="H7" s="94" t="s">
        <v>1180</v>
      </c>
    </row>
    <row r="8" customFormat="false" ht="12.75" hidden="false" customHeight="true" outlineLevel="0" collapsed="false">
      <c r="A8" s="126" t="s">
        <v>1181</v>
      </c>
      <c r="B8" s="236" t="n">
        <f aca="false">0</f>
        <v>0</v>
      </c>
      <c r="C8" s="75" t="s">
        <v>1182</v>
      </c>
      <c r="D8" s="212" t="n">
        <v>10</v>
      </c>
      <c r="E8" s="238" t="n">
        <f aca="false">IFERROR(MIN(10,ROUND(B8/0.02*10,2)),0)</f>
        <v>0</v>
      </c>
      <c r="F8" s="212" t="n">
        <v>10</v>
      </c>
      <c r="G8" s="71" t="str">
        <f aca="false">IF(E8&gt;=F8*0.9,"✓ Met",IF(E8&gt;=F8*0.5,"⚠ Partial","✗ Gap"))</f>
        <v>✗ Gap</v>
      </c>
      <c r="H8" s="94" t="s">
        <v>1183</v>
      </c>
    </row>
    <row r="9" customFormat="false" ht="12.75" hidden="false" customHeight="true" outlineLevel="0" collapsed="false">
      <c r="A9" s="126" t="s">
        <v>1184</v>
      </c>
      <c r="B9" s="173" t="s">
        <v>812</v>
      </c>
      <c r="C9" s="75" t="s">
        <v>812</v>
      </c>
      <c r="D9" s="212" t="n">
        <v>10</v>
      </c>
      <c r="E9" s="238" t="n">
        <f aca="false">IF(B9="Yes",10,IF(B9="Partial",5,0))</f>
        <v>10</v>
      </c>
      <c r="F9" s="212" t="n">
        <v>10</v>
      </c>
      <c r="G9" s="71" t="str">
        <f aca="false">IF(E9&gt;=F9*0.9,"✓ Met",IF(E9&gt;=F9*0.5,"⚠ Partial","✗ Gap"))</f>
        <v>✓ Met</v>
      </c>
      <c r="H9" s="94" t="s">
        <v>1185</v>
      </c>
    </row>
    <row r="10" customFormat="false" ht="12.75" hidden="false" customHeight="true" outlineLevel="0" collapsed="false">
      <c r="A10" s="126" t="s">
        <v>1186</v>
      </c>
      <c r="B10" s="173" t="s">
        <v>812</v>
      </c>
      <c r="C10" s="75" t="s">
        <v>812</v>
      </c>
      <c r="D10" s="212" t="n">
        <v>5</v>
      </c>
      <c r="E10" s="238" t="n">
        <f aca="false">IF(B10="Yes",5,IF(B10="Partial",2,0))</f>
        <v>5</v>
      </c>
      <c r="F10" s="212" t="n">
        <v>5</v>
      </c>
      <c r="G10" s="71" t="str">
        <f aca="false">IF(E10&gt;=F10*0.9,"✓ Met",IF(E10&gt;=F10*0.5,"⚠ Partial","✗ Gap"))</f>
        <v>✓ Met</v>
      </c>
      <c r="H10" s="94" t="s">
        <v>1187</v>
      </c>
    </row>
    <row r="11" customFormat="false" ht="12.75" hidden="false" customHeight="true" outlineLevel="0" collapsed="false">
      <c r="A11" s="126" t="s">
        <v>1188</v>
      </c>
      <c r="B11" s="173" t="s">
        <v>812</v>
      </c>
      <c r="C11" s="75" t="s">
        <v>812</v>
      </c>
      <c r="D11" s="212" t="n">
        <v>5</v>
      </c>
      <c r="E11" s="238" t="n">
        <f aca="false">IF(B11="Yes",5,IF(B11="Partial",2,0))</f>
        <v>5</v>
      </c>
      <c r="F11" s="212" t="n">
        <v>5</v>
      </c>
      <c r="G11" s="71" t="str">
        <f aca="false">IF(E11&gt;=F11*0.9,"✓ Met",IF(E11&gt;=F11*0.5,"⚠ Partial","✗ Gap"))</f>
        <v>✓ Met</v>
      </c>
      <c r="H11" s="94" t="s">
        <v>1189</v>
      </c>
    </row>
    <row r="12" customFormat="false" ht="12.75" hidden="false" customHeight="true" outlineLevel="0" collapsed="false">
      <c r="A12" s="126" t="s">
        <v>1190</v>
      </c>
      <c r="B12" s="173" t="s">
        <v>812</v>
      </c>
      <c r="C12" s="75" t="s">
        <v>812</v>
      </c>
      <c r="D12" s="212" t="n">
        <v>5</v>
      </c>
      <c r="E12" s="238" t="n">
        <f aca="false">IF(B12="Yes",5,IF(B12="Partial",2,0))</f>
        <v>5</v>
      </c>
      <c r="F12" s="212" t="n">
        <v>5</v>
      </c>
      <c r="G12" s="71" t="str">
        <f aca="false">IF(E12&gt;=F12*0.9,"✓ Met",IF(E12&gt;=F12*0.5,"⚠ Partial","✗ Gap"))</f>
        <v>✓ Met</v>
      </c>
      <c r="H12" s="94" t="s">
        <v>1191</v>
      </c>
    </row>
    <row r="13" customFormat="false" ht="12.75" hidden="false" customHeight="true" outlineLevel="0" collapsed="false">
      <c r="A13" s="126" t="s">
        <v>1192</v>
      </c>
      <c r="B13" s="173" t="s">
        <v>812</v>
      </c>
      <c r="C13" s="75" t="s">
        <v>812</v>
      </c>
      <c r="D13" s="212" t="n">
        <v>5</v>
      </c>
      <c r="E13" s="238" t="n">
        <f aca="false">IF(B13="Yes",5,IF(B13="Partial",2,0))</f>
        <v>5</v>
      </c>
      <c r="F13" s="212" t="n">
        <v>5</v>
      </c>
      <c r="G13" s="71" t="str">
        <f aca="false">IF(E13&gt;=F13*0.9,"✓ Met",IF(E13&gt;=F13*0.5,"⚠ Partial","✗ Gap"))</f>
        <v>✓ Met</v>
      </c>
      <c r="H13" s="94" t="s">
        <v>1193</v>
      </c>
    </row>
    <row r="14" customFormat="false" ht="12.75" hidden="false" customHeight="true" outlineLevel="0" collapsed="false">
      <c r="A14" s="126" t="s">
        <v>1194</v>
      </c>
      <c r="B14" s="173" t="s">
        <v>812</v>
      </c>
      <c r="C14" s="75" t="s">
        <v>812</v>
      </c>
      <c r="D14" s="212" t="n">
        <v>5</v>
      </c>
      <c r="E14" s="238" t="n">
        <f aca="false">IF(B14="Yes",5,IF(B14="Partial",2,0))</f>
        <v>5</v>
      </c>
      <c r="F14" s="212" t="n">
        <v>5</v>
      </c>
      <c r="G14" s="71" t="str">
        <f aca="false">IF(E14&gt;=F14*0.9,"✓ Met",IF(E14&gt;=F14*0.5,"⚠ Partial","✗ Gap"))</f>
        <v>✓ Met</v>
      </c>
      <c r="H14" s="94" t="s">
        <v>1195</v>
      </c>
    </row>
    <row r="15" customFormat="false" ht="15.75" hidden="false" customHeight="true" outlineLevel="0" collapsed="false">
      <c r="A15" s="271" t="s">
        <v>1196</v>
      </c>
      <c r="B15" s="271"/>
      <c r="C15" s="271"/>
      <c r="D15" s="271"/>
      <c r="E15" s="272" t="n">
        <f aca="false">SUM(E5,E6,E7,E8,E9,E10,E11,E12,E13,E14)</f>
        <v>35</v>
      </c>
      <c r="F15" s="273" t="s">
        <v>529</v>
      </c>
      <c r="G15" s="274" t="str">
        <f aca="false">IF(E15&gt;=85,"Excellent",IF(E15&gt;=70,"Good",IF(E15&gt;=50,"Adequate","Needs Attention")))</f>
        <v>Needs Attention</v>
      </c>
    </row>
    <row r="17" customFormat="false" ht="15" hidden="false" customHeight="true" outlineLevel="0" collapsed="false">
      <c r="A17" s="122" t="s">
        <v>1197</v>
      </c>
      <c r="B17" s="122"/>
      <c r="C17" s="122"/>
      <c r="D17" s="122"/>
      <c r="E17" s="122"/>
      <c r="F17" s="122"/>
      <c r="G17" s="122"/>
      <c r="H17" s="122"/>
    </row>
    <row r="18" customFormat="false" ht="27.75" hidden="false" customHeight="true" outlineLevel="0" collapsed="false">
      <c r="A18" s="124" t="s">
        <v>968</v>
      </c>
      <c r="B18" s="275" t="s">
        <v>949</v>
      </c>
      <c r="C18" s="275" t="s">
        <v>950</v>
      </c>
      <c r="D18" s="275" t="s">
        <v>951</v>
      </c>
      <c r="E18" s="275" t="s">
        <v>952</v>
      </c>
      <c r="F18" s="275" t="s">
        <v>953</v>
      </c>
      <c r="G18" s="275" t="s">
        <v>954</v>
      </c>
      <c r="H18" s="275" t="s">
        <v>955</v>
      </c>
      <c r="I18" s="275" t="s">
        <v>956</v>
      </c>
    </row>
    <row r="19" customFormat="false" ht="12.75" hidden="false" customHeight="true" outlineLevel="0" collapsed="false">
      <c r="A19" s="234" t="s">
        <v>1198</v>
      </c>
      <c r="B19" s="235" t="n">
        <f aca="false">S_Data!B5</f>
        <v>0</v>
      </c>
      <c r="C19" s="235" t="n">
        <f aca="false">S_Data!C5</f>
        <v>0</v>
      </c>
      <c r="D19" s="235" t="n">
        <f aca="false">S_Data!D5</f>
        <v>0</v>
      </c>
      <c r="E19" s="235" t="n">
        <f aca="false">S_Data!E5</f>
        <v>0</v>
      </c>
      <c r="F19" s="235" t="n">
        <f aca="false">S_Data!F5</f>
        <v>0</v>
      </c>
      <c r="G19" s="235" t="n">
        <f aca="false">S_Data!G5</f>
        <v>0</v>
      </c>
      <c r="H19" s="235" t="n">
        <f aca="false">S_Data!H5</f>
        <v>0</v>
      </c>
      <c r="I19" s="235" t="n">
        <f aca="false">S_Data!I5</f>
        <v>0</v>
      </c>
    </row>
    <row r="20" customFormat="false" ht="12.75" hidden="false" customHeight="true" outlineLevel="0" collapsed="false">
      <c r="A20" s="234" t="s">
        <v>1199</v>
      </c>
      <c r="B20" s="235" t="n">
        <f aca="false">S_Data!B6</f>
        <v>0</v>
      </c>
      <c r="C20" s="235" t="n">
        <f aca="false">S_Data!C6</f>
        <v>0</v>
      </c>
      <c r="D20" s="235" t="n">
        <f aca="false">S_Data!D6</f>
        <v>0</v>
      </c>
      <c r="E20" s="235" t="n">
        <f aca="false">S_Data!E6</f>
        <v>0</v>
      </c>
      <c r="F20" s="235" t="n">
        <f aca="false">S_Data!F6</f>
        <v>0</v>
      </c>
      <c r="G20" s="235" t="n">
        <f aca="false">S_Data!G6</f>
        <v>0</v>
      </c>
      <c r="H20" s="235" t="n">
        <f aca="false">S_Data!H6</f>
        <v>0</v>
      </c>
      <c r="I20" s="235" t="n">
        <f aca="false">S_Data!I6</f>
        <v>0</v>
      </c>
    </row>
    <row r="21" customFormat="false" ht="12.75" hidden="false" customHeight="true" outlineLevel="0" collapsed="false">
      <c r="A21" s="234" t="s">
        <v>1200</v>
      </c>
      <c r="B21" s="235" t="n">
        <f aca="false">S_Data!B7</f>
        <v>0</v>
      </c>
      <c r="C21" s="235" t="n">
        <f aca="false">S_Data!C7</f>
        <v>0</v>
      </c>
      <c r="D21" s="235" t="n">
        <f aca="false">S_Data!D7</f>
        <v>0</v>
      </c>
      <c r="E21" s="235" t="n">
        <f aca="false">S_Data!E7</f>
        <v>0</v>
      </c>
      <c r="F21" s="235" t="n">
        <f aca="false">S_Data!F7</f>
        <v>0</v>
      </c>
      <c r="G21" s="235" t="n">
        <f aca="false">S_Data!G7</f>
        <v>0</v>
      </c>
      <c r="H21" s="235" t="n">
        <f aca="false">S_Data!H7</f>
        <v>0</v>
      </c>
      <c r="I21" s="235" t="n">
        <f aca="false">S_Data!I7</f>
        <v>0</v>
      </c>
    </row>
    <row r="22" customFormat="false" ht="12.75" hidden="false" customHeight="true" outlineLevel="0" collapsed="false">
      <c r="A22" s="234" t="s">
        <v>1201</v>
      </c>
      <c r="B22" s="235" t="n">
        <f aca="false">S_Data!B8</f>
        <v>0</v>
      </c>
      <c r="C22" s="235" t="n">
        <f aca="false">S_Data!C8</f>
        <v>0</v>
      </c>
      <c r="D22" s="235" t="n">
        <f aca="false">S_Data!D8</f>
        <v>0</v>
      </c>
      <c r="E22" s="235" t="n">
        <f aca="false">S_Data!E8</f>
        <v>0</v>
      </c>
      <c r="F22" s="235" t="n">
        <f aca="false">S_Data!F8</f>
        <v>0</v>
      </c>
      <c r="G22" s="235" t="n">
        <f aca="false">S_Data!G8</f>
        <v>0</v>
      </c>
      <c r="H22" s="235" t="n">
        <f aca="false">S_Data!H8</f>
        <v>0</v>
      </c>
      <c r="I22" s="235" t="n">
        <f aca="false">S_Data!I8</f>
        <v>0</v>
      </c>
    </row>
    <row r="23" customFormat="false" ht="12.75" hidden="false" customHeight="true" outlineLevel="0" collapsed="false">
      <c r="A23" s="234" t="s">
        <v>1202</v>
      </c>
      <c r="B23" s="235" t="n">
        <f aca="false">S_Data!B9</f>
        <v>0</v>
      </c>
      <c r="C23" s="235" t="n">
        <f aca="false">S_Data!C9</f>
        <v>0</v>
      </c>
      <c r="D23" s="235" t="n">
        <f aca="false">S_Data!D9</f>
        <v>0</v>
      </c>
      <c r="E23" s="235" t="n">
        <f aca="false">S_Data!E9</f>
        <v>0</v>
      </c>
      <c r="F23" s="235" t="n">
        <f aca="false">S_Data!F9</f>
        <v>0</v>
      </c>
      <c r="G23" s="235" t="n">
        <f aca="false">S_Data!G9</f>
        <v>0</v>
      </c>
      <c r="H23" s="235" t="n">
        <f aca="false">S_Data!H9</f>
        <v>0</v>
      </c>
      <c r="I23" s="235" t="n">
        <f aca="false">S_Data!I9</f>
        <v>0</v>
      </c>
    </row>
    <row r="24" customFormat="false" ht="12.75" hidden="false" customHeight="true" outlineLevel="0" collapsed="false">
      <c r="A24" s="234" t="s">
        <v>1203</v>
      </c>
      <c r="B24" s="235" t="n">
        <f aca="false">S_Data!B10</f>
        <v>0</v>
      </c>
      <c r="C24" s="235" t="n">
        <f aca="false">S_Data!C10</f>
        <v>0</v>
      </c>
      <c r="D24" s="235" t="n">
        <f aca="false">S_Data!D10</f>
        <v>0</v>
      </c>
      <c r="E24" s="235" t="n">
        <f aca="false">S_Data!E10</f>
        <v>0</v>
      </c>
      <c r="F24" s="235" t="n">
        <f aca="false">S_Data!F10</f>
        <v>0</v>
      </c>
      <c r="G24" s="235" t="n">
        <f aca="false">S_Data!G10</f>
        <v>0</v>
      </c>
      <c r="H24" s="235" t="n">
        <f aca="false">S_Data!H10</f>
        <v>0</v>
      </c>
      <c r="I24" s="235" t="n">
        <f aca="false">S_Data!I10</f>
        <v>0</v>
      </c>
    </row>
    <row r="25" customFormat="false" ht="13.5" hidden="false" customHeight="true" outlineLevel="0" collapsed="false">
      <c r="A25" s="276" t="s">
        <v>384</v>
      </c>
      <c r="B25" s="277" t="n">
        <f aca="false">S_Data!B12</f>
        <v>0</v>
      </c>
      <c r="C25" s="277" t="n">
        <f aca="false">S_Data!C12</f>
        <v>0</v>
      </c>
      <c r="D25" s="277" t="n">
        <f aca="false">S_Data!D12</f>
        <v>0</v>
      </c>
      <c r="E25" s="277" t="n">
        <f aca="false">S_Data!E12</f>
        <v>0</v>
      </c>
      <c r="F25" s="277" t="n">
        <f aca="false">S_Data!F12</f>
        <v>0</v>
      </c>
      <c r="G25" s="277" t="n">
        <f aca="false">S_Data!G12</f>
        <v>0</v>
      </c>
      <c r="H25" s="277" t="n">
        <f aca="false">S_Data!H12</f>
        <v>0</v>
      </c>
      <c r="I25" s="277" t="n">
        <f aca="false">S_Data!I12</f>
        <v>0</v>
      </c>
    </row>
  </sheetData>
  <mergeCells count="4">
    <mergeCell ref="A1:H1"/>
    <mergeCell ref="A3:H3"/>
    <mergeCell ref="A15:D15"/>
    <mergeCell ref="A17:H17"/>
  </mergeCells>
  <dataValidations count="6">
    <dataValidation allowBlank="true" errorStyle="stop" operator="between" showDropDown="false" showErrorMessage="false" showInputMessage="false" sqref="B9" type="list">
      <formula1>"Yes,No,Partial,N/A"</formula1>
      <formula2>0</formula2>
    </dataValidation>
    <dataValidation allowBlank="true" errorStyle="stop" operator="between" showDropDown="false" showErrorMessage="false" showInputMessage="false" sqref="B10" type="list">
      <formula1>"Yes,No,Partial,N/A"</formula1>
      <formula2>0</formula2>
    </dataValidation>
    <dataValidation allowBlank="true" errorStyle="stop" operator="between" showDropDown="false" showErrorMessage="false" showInputMessage="false" sqref="B11" type="list">
      <formula1>"Yes,No,Partial,N/A"</formula1>
      <formula2>0</formula2>
    </dataValidation>
    <dataValidation allowBlank="true" errorStyle="stop" operator="between" showDropDown="false" showErrorMessage="false" showInputMessage="false" sqref="B12" type="list">
      <formula1>"Yes,No,Partial,N/A"</formula1>
      <formula2>0</formula2>
    </dataValidation>
    <dataValidation allowBlank="true" errorStyle="stop" operator="between" showDropDown="false" showErrorMessage="false" showInputMessage="false" sqref="B13" type="list">
      <formula1>"Yes,No,Partial,N/A"</formula1>
      <formula2>0</formula2>
    </dataValidation>
    <dataValidation allowBlank="true" errorStyle="stop" operator="between" showDropDown="false" showErrorMessage="false" showInputMessage="false" sqref="B14" type="list">
      <formula1>"Yes,No,Partial,N/A"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I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21.75" hidden="false" customHeight="true" outlineLevel="0" collapsed="false">
      <c r="A1" s="102" t="s">
        <v>1204</v>
      </c>
      <c r="B1" s="102"/>
      <c r="C1" s="102"/>
      <c r="D1" s="102"/>
      <c r="E1" s="102"/>
      <c r="F1" s="102"/>
      <c r="G1" s="102"/>
      <c r="H1" s="102"/>
    </row>
    <row r="3" customFormat="false" ht="27.75" hidden="false" customHeight="true" outlineLevel="0" collapsed="false">
      <c r="A3" s="112" t="s">
        <v>1205</v>
      </c>
      <c r="B3" s="112" t="s">
        <v>1206</v>
      </c>
      <c r="C3" s="112" t="s">
        <v>1207</v>
      </c>
      <c r="D3" s="112" t="s">
        <v>512</v>
      </c>
      <c r="E3" s="112" t="s">
        <v>1208</v>
      </c>
      <c r="F3" s="112" t="s">
        <v>520</v>
      </c>
      <c r="G3" s="112" t="s">
        <v>1173</v>
      </c>
      <c r="H3" s="112" t="s">
        <v>1209</v>
      </c>
      <c r="I3" s="278" t="s">
        <v>1210</v>
      </c>
    </row>
    <row r="4" customFormat="false" ht="12" hidden="false" customHeight="true" outlineLevel="0" collapsed="false">
      <c r="A4" s="279" t="s">
        <v>1211</v>
      </c>
      <c r="B4" s="279"/>
      <c r="C4" s="279"/>
      <c r="D4" s="279"/>
      <c r="E4" s="279"/>
      <c r="F4" s="279"/>
      <c r="G4" s="279"/>
      <c r="H4" s="279"/>
    </row>
    <row r="5" customFormat="false" ht="36" hidden="false" customHeight="true" outlineLevel="0" collapsed="false">
      <c r="A5" s="67" t="s">
        <v>1212</v>
      </c>
      <c r="B5" s="69" t="s">
        <v>1213</v>
      </c>
      <c r="C5" s="219" t="n">
        <f aca="false">IF(E_Data!L19&gt;0,5,0)</f>
        <v>5</v>
      </c>
      <c r="D5" s="277" t="n">
        <f aca="false">MIN(C5,B5)</f>
        <v>5</v>
      </c>
      <c r="E5" s="94" t="s">
        <v>1214</v>
      </c>
      <c r="F5" s="71" t="str">
        <f aca="false">IF(D5&gt;=B5,"✓ Met",IF(D5&gt;=B5*0.5,"⚠ Partial","✗ Gap"))</f>
        <v>⚠ Partial</v>
      </c>
      <c r="G5" s="129" t="s">
        <v>1215</v>
      </c>
      <c r="H5" s="221" t="s">
        <v>1216</v>
      </c>
      <c r="I5" s="280" t="s">
        <v>1217</v>
      </c>
    </row>
    <row r="6" customFormat="false" ht="36" hidden="false" customHeight="true" outlineLevel="0" collapsed="false">
      <c r="A6" s="67" t="s">
        <v>1218</v>
      </c>
      <c r="B6" s="69" t="s">
        <v>1219</v>
      </c>
      <c r="C6" s="281" t="n">
        <f aca="false">IFERROR(IF(E_Data!$B$90=0,0,IF((E_Data!$B$90-E_Data!$F$90)/E_Data!$B$90&gt;=Assumptions!$B$43,10,IF((E_Data!$B$90-E_Data!$F$90)/E_Data!$B$90&gt;=Assumptions!$B$43*Assumptions!$B$9,10*((E_Data!$B$90-E_Data!$F$90)/E_Data!$B$90)/Assumptions!$B$43,0))),0)</f>
        <v>0</v>
      </c>
      <c r="D6" s="277" t="n">
        <f aca="false">MIN(C6,B6)</f>
        <v>0</v>
      </c>
      <c r="E6" s="94" t="s">
        <v>1220</v>
      </c>
      <c r="F6" s="71" t="str">
        <f aca="false">IF(D6&gt;=B6,"✓ Met",IF(D6&gt;=B6*0.5,"⚠ Partial","✗ Gap"))</f>
        <v>✗ Gap</v>
      </c>
      <c r="G6" s="129" t="s">
        <v>1221</v>
      </c>
      <c r="H6" s="221" t="s">
        <v>1222</v>
      </c>
      <c r="I6" s="280" t="s">
        <v>1223</v>
      </c>
    </row>
    <row r="7" customFormat="false" ht="36" hidden="false" customHeight="true" outlineLevel="0" collapsed="false">
      <c r="A7" s="67" t="s">
        <v>1224</v>
      </c>
      <c r="B7" s="69" t="s">
        <v>760</v>
      </c>
      <c r="C7" s="281" t="n">
        <f aca="false">IFERROR(IF(E_Data!$M$80=0,0,IF(-E_Data!$M$81/E_Data!$M$80&gt;=Assumptions!$B$44,8,IF(-E_Data!$M$81/E_Data!$M$80&gt;=Assumptions!$B$44*Assumptions!$B$9,8*(-E_Data!$M$81/E_Data!$M$80)/Assumptions!$B$44,0))),0)</f>
        <v>0</v>
      </c>
      <c r="D7" s="277" t="n">
        <f aca="false">MIN(C7,B7)</f>
        <v>0</v>
      </c>
      <c r="E7" s="94" t="s">
        <v>1225</v>
      </c>
      <c r="F7" s="71" t="str">
        <f aca="false">IF(D7&gt;=B7,"✓ Met",IF(D7&gt;=B7*0.5,"⚠ Partial","✗ Gap"))</f>
        <v>✗ Gap</v>
      </c>
      <c r="G7" s="129" t="s">
        <v>1226</v>
      </c>
      <c r="H7" s="221" t="s">
        <v>1227</v>
      </c>
      <c r="I7" s="280" t="s">
        <v>1228</v>
      </c>
    </row>
    <row r="8" customFormat="false" ht="36" hidden="false" customHeight="true" outlineLevel="0" collapsed="false">
      <c r="A8" s="67" t="s">
        <v>1229</v>
      </c>
      <c r="B8" s="69" t="s">
        <v>1213</v>
      </c>
      <c r="C8" s="281" t="n">
        <f aca="false">IF(E_Data!$L$63&gt;0,5,0)</f>
        <v>5</v>
      </c>
      <c r="D8" s="277" t="n">
        <f aca="false">MIN(C8,B8)</f>
        <v>5</v>
      </c>
      <c r="E8" s="94" t="s">
        <v>1230</v>
      </c>
      <c r="F8" s="71" t="str">
        <f aca="false">IF(D8&gt;=B8,"✓ Met",IF(D8&gt;=B8*0.5,"⚠ Partial","✗ Gap"))</f>
        <v>⚠ Partial</v>
      </c>
      <c r="G8" s="129" t="s">
        <v>1231</v>
      </c>
      <c r="H8" s="221" t="s">
        <v>1232</v>
      </c>
      <c r="I8" s="280" t="s">
        <v>1233</v>
      </c>
    </row>
    <row r="9" customFormat="false" ht="36" hidden="false" customHeight="true" outlineLevel="0" collapsed="false">
      <c r="A9" s="67" t="s">
        <v>1234</v>
      </c>
      <c r="B9" s="69" t="s">
        <v>1213</v>
      </c>
      <c r="C9" s="281" t="n">
        <f aca="false">IF(AND(Assumptions!$B$107&gt;=2030,Assumptions!$B$107&lt;=2060),5,IF(Assumptions!$B$107&gt;0,2.5,0))</f>
        <v>5</v>
      </c>
      <c r="D9" s="277" t="n">
        <f aca="false">MIN(C9,B9)</f>
        <v>5</v>
      </c>
      <c r="E9" s="94" t="s">
        <v>49</v>
      </c>
      <c r="F9" s="71" t="str">
        <f aca="false">IF(D9&gt;=B9,"✓ Met",IF(D9&gt;=B9*0.5,"⚠ Partial","✗ Gap"))</f>
        <v>⚠ Partial</v>
      </c>
      <c r="G9" s="129" t="s">
        <v>400</v>
      </c>
      <c r="H9" s="221" t="s">
        <v>1235</v>
      </c>
      <c r="I9" s="280" t="s">
        <v>1236</v>
      </c>
    </row>
    <row r="10" customFormat="false" ht="12" hidden="false" customHeight="true" outlineLevel="0" collapsed="false">
      <c r="A10" s="279" t="s">
        <v>1237</v>
      </c>
      <c r="B10" s="279"/>
      <c r="C10" s="279"/>
      <c r="D10" s="279"/>
      <c r="E10" s="279"/>
      <c r="F10" s="279"/>
      <c r="G10" s="279"/>
      <c r="H10" s="279"/>
      <c r="I10" s="280"/>
    </row>
    <row r="11" customFormat="false" ht="36" hidden="false" customHeight="true" outlineLevel="0" collapsed="false">
      <c r="A11" s="67" t="s">
        <v>1238</v>
      </c>
      <c r="B11" s="69" t="s">
        <v>1213</v>
      </c>
      <c r="C11" s="219" t="n">
        <f aca="false">IF(E_Data!L46&gt;0,5,0)</f>
        <v>5</v>
      </c>
      <c r="D11" s="277" t="n">
        <f aca="false">MIN(C11,B11)</f>
        <v>5</v>
      </c>
      <c r="E11" s="94" t="s">
        <v>1239</v>
      </c>
      <c r="F11" s="71" t="str">
        <f aca="false">IF(D11&gt;=B11,"✓ Met",IF(D11&gt;=B11*0.5,"⚠ Partial","✗ Gap"))</f>
        <v>⚠ Partial</v>
      </c>
      <c r="G11" s="129" t="s">
        <v>1240</v>
      </c>
      <c r="H11" s="221" t="s">
        <v>1241</v>
      </c>
      <c r="I11" s="280" t="s">
        <v>1242</v>
      </c>
    </row>
    <row r="12" customFormat="false" ht="36" hidden="false" customHeight="true" outlineLevel="0" collapsed="false">
      <c r="A12" s="67" t="s">
        <v>1243</v>
      </c>
      <c r="B12" s="69" t="s">
        <v>1213</v>
      </c>
      <c r="C12" s="154" t="n">
        <v>0</v>
      </c>
      <c r="D12" s="277" t="n">
        <f aca="false">MIN(C12,B12)</f>
        <v>0</v>
      </c>
      <c r="E12" s="94" t="s">
        <v>1239</v>
      </c>
      <c r="F12" s="71" t="str">
        <f aca="false">IF(D12&gt;=B12,"✓ Met",IF(D12&gt;=B12*0.5,"⚠ Partial","✗ Gap"))</f>
        <v>✗ Gap</v>
      </c>
      <c r="G12" s="129" t="s">
        <v>1244</v>
      </c>
      <c r="H12" s="221" t="s">
        <v>1245</v>
      </c>
      <c r="I12" s="280" t="s">
        <v>1246</v>
      </c>
    </row>
    <row r="13" customFormat="false" ht="36" hidden="false" customHeight="true" outlineLevel="0" collapsed="false">
      <c r="A13" s="67" t="s">
        <v>1247</v>
      </c>
      <c r="B13" s="69" t="s">
        <v>760</v>
      </c>
      <c r="C13" s="281" t="n">
        <f aca="false">IFERROR(IF(E_Data!$L$46=0,0,IF((E_Data!$L$50+E_Data!$L$51+E_Data!$L$52+E_Data!$L$53+E_Data!$L$54)/E_Data!$L$46&gt;=Assumptions!$B$44,8,IF((E_Data!$L$50+E_Data!$L$51+E_Data!$L$52+E_Data!$L$53+E_Data!$L$54)/E_Data!$L$46&gt;=Assumptions!$B$44*Assumptions!$B$9,8*((E_Data!$L$50+E_Data!$L$51+E_Data!$L$52+E_Data!$L$53+E_Data!$L$54)/E_Data!$L$46)/Assumptions!$B$44,0))),0)</f>
        <v>0</v>
      </c>
      <c r="D13" s="277" t="n">
        <f aca="false">MIN(C13,B13)</f>
        <v>0</v>
      </c>
      <c r="E13" s="94" t="s">
        <v>1225</v>
      </c>
      <c r="F13" s="71" t="str">
        <f aca="false">IF(D13&gt;=B13,"✓ Met",IF(D13&gt;=B13*0.5,"⚠ Partial","✗ Gap"))</f>
        <v>✗ Gap</v>
      </c>
      <c r="G13" s="129" t="s">
        <v>1248</v>
      </c>
      <c r="H13" s="221" t="s">
        <v>1249</v>
      </c>
      <c r="I13" s="280" t="s">
        <v>1250</v>
      </c>
    </row>
    <row r="14" customFormat="false" ht="12" hidden="false" customHeight="true" outlineLevel="0" collapsed="false">
      <c r="A14" s="279" t="s">
        <v>1251</v>
      </c>
      <c r="B14" s="279"/>
      <c r="C14" s="279"/>
      <c r="D14" s="279"/>
      <c r="E14" s="279"/>
      <c r="F14" s="279"/>
      <c r="G14" s="279"/>
      <c r="H14" s="279"/>
      <c r="I14" s="280"/>
    </row>
    <row r="15" customFormat="false" ht="36" hidden="false" customHeight="true" outlineLevel="0" collapsed="false">
      <c r="A15" s="67" t="s">
        <v>1252</v>
      </c>
      <c r="B15" s="69" t="s">
        <v>760</v>
      </c>
      <c r="C15" s="281" t="n">
        <f aca="false">IFERROR(IF(COUNTA(Fleet_Register!$A$4:$A$19)=0,0,8*SUMPRODUCT((Fleet_Register!$K$4:$K$19&gt;0)*(Fleet_Register!$K$4:$K$19&lt;=Fleet_Register!$L$4:$L$19*Assumptions!$B$45))/MAX(1,COUNTIF(Fleet_Register!$K$4:$K$19,"&gt;0"))),0)</f>
        <v>0</v>
      </c>
      <c r="D15" s="277" t="n">
        <f aca="false">MIN(C15,B15)</f>
        <v>0</v>
      </c>
      <c r="E15" s="94" t="s">
        <v>33</v>
      </c>
      <c r="F15" s="71" t="str">
        <f aca="false">IF(D15&gt;=B15,"✓ Met",IF(D15&gt;=B15*0.5,"⚠ Partial","✗ Gap"))</f>
        <v>✗ Gap</v>
      </c>
      <c r="G15" s="129" t="s">
        <v>1253</v>
      </c>
      <c r="H15" s="221" t="s">
        <v>1254</v>
      </c>
      <c r="I15" s="280" t="s">
        <v>1255</v>
      </c>
    </row>
    <row r="16" customFormat="false" ht="36" hidden="false" customHeight="true" outlineLevel="0" collapsed="false">
      <c r="A16" s="67" t="s">
        <v>1256</v>
      </c>
      <c r="B16" s="69" t="s">
        <v>1213</v>
      </c>
      <c r="C16" s="281" t="n">
        <f aca="false">IF(SUMPRODUCT((Fleet_Register!$F$4:$F$19&gt;0)*(Fleet_Register!$I$4:$I$19&gt;0))&gt;0,5,0)</f>
        <v>0</v>
      </c>
      <c r="D16" s="277" t="n">
        <f aca="false">MIN(C16,B16)</f>
        <v>0</v>
      </c>
      <c r="E16" s="94" t="s">
        <v>1257</v>
      </c>
      <c r="F16" s="71" t="str">
        <f aca="false">IF(D16&gt;=B16,"✓ Met",IF(D16&gt;=B16*0.5,"⚠ Partial","✗ Gap"))</f>
        <v>✗ Gap</v>
      </c>
      <c r="G16" s="129" t="s">
        <v>1258</v>
      </c>
      <c r="H16" s="221" t="s">
        <v>1259</v>
      </c>
      <c r="I16" s="280" t="s">
        <v>1260</v>
      </c>
    </row>
    <row r="17" customFormat="false" ht="36" hidden="false" customHeight="true" outlineLevel="0" collapsed="false">
      <c r="A17" s="67" t="s">
        <v>1261</v>
      </c>
      <c r="B17" s="69" t="s">
        <v>1213</v>
      </c>
      <c r="C17" s="281" t="n">
        <f aca="false">IFERROR(IF(Fleet_Register!$B$28=0,0,IF(Fleet_Register!$H$28/Fleet_Register!$B$28&gt;=Assumptions!$B$46,5,IF(Fleet_Register!$H$28/Fleet_Register!$B$28&gt;=Assumptions!$B$46*Assumptions!$B$9,5*(Fleet_Register!$H$28/Fleet_Register!$B$28)/Assumptions!$B$46,0))),0)</f>
        <v>0</v>
      </c>
      <c r="D17" s="277" t="n">
        <f aca="false">MIN(C17,B17)</f>
        <v>0</v>
      </c>
      <c r="E17" s="94" t="s">
        <v>33</v>
      </c>
      <c r="F17" s="71" t="str">
        <f aca="false">IF(D17&gt;=B17,"✓ Met",IF(D17&gt;=B17*0.5,"⚠ Partial","✗ Gap"))</f>
        <v>✗ Gap</v>
      </c>
      <c r="G17" s="129" t="s">
        <v>1262</v>
      </c>
      <c r="H17" s="221" t="s">
        <v>1263</v>
      </c>
      <c r="I17" s="280" t="s">
        <v>1264</v>
      </c>
    </row>
    <row r="18" customFormat="false" ht="12" hidden="false" customHeight="true" outlineLevel="0" collapsed="false">
      <c r="A18" s="279" t="s">
        <v>1265</v>
      </c>
      <c r="B18" s="279"/>
      <c r="C18" s="279"/>
      <c r="D18" s="279"/>
      <c r="E18" s="279"/>
      <c r="F18" s="279"/>
      <c r="G18" s="279"/>
      <c r="H18" s="279"/>
      <c r="I18" s="280"/>
    </row>
    <row r="19" customFormat="false" ht="36" hidden="false" customHeight="true" outlineLevel="0" collapsed="false">
      <c r="A19" s="67" t="s">
        <v>1266</v>
      </c>
      <c r="B19" s="69" t="s">
        <v>1213</v>
      </c>
      <c r="C19" s="281" t="n">
        <f aca="false">IFERROR(IF(Waste_Register!$B$16&gt;=Assumptions!$B$48,5,IF(Waste_Register!$B$16&gt;=Assumptions!$B$48*Assumptions!$B$9,5*Waste_Register!$B$16/Assumptions!$B$48,0)),0)</f>
        <v>5</v>
      </c>
      <c r="D19" s="277" t="n">
        <f aca="false">MIN(C19,B19)</f>
        <v>5</v>
      </c>
      <c r="E19" s="94" t="s">
        <v>35</v>
      </c>
      <c r="F19" s="71" t="str">
        <f aca="false">IF(D19&gt;=B19,"✓ Met",IF(D19&gt;=B19*0.5,"⚠ Partial","✗ Gap"))</f>
        <v>⚠ Partial</v>
      </c>
      <c r="G19" s="129" t="s">
        <v>1267</v>
      </c>
      <c r="H19" s="221" t="s">
        <v>1268</v>
      </c>
      <c r="I19" s="280" t="s">
        <v>1269</v>
      </c>
    </row>
    <row r="20" customFormat="false" ht="36" hidden="false" customHeight="true" outlineLevel="0" collapsed="false">
      <c r="A20" s="67" t="s">
        <v>1270</v>
      </c>
      <c r="B20" s="69" t="s">
        <v>755</v>
      </c>
      <c r="C20" s="281" t="n">
        <f aca="false">IF(Waste_Register!$B$17&gt;0,4,0)</f>
        <v>4</v>
      </c>
      <c r="D20" s="277" t="n">
        <f aca="false">MIN(C20,B20)</f>
        <v>4</v>
      </c>
      <c r="E20" s="94" t="s">
        <v>1271</v>
      </c>
      <c r="F20" s="71" t="str">
        <f aca="false">IF(D20&gt;=B20,"✓ Met",IF(D20&gt;=B20*0.5,"⚠ Partial","✗ Gap"))</f>
        <v>⚠ Partial</v>
      </c>
      <c r="G20" s="129" t="s">
        <v>1267</v>
      </c>
      <c r="H20" s="221" t="s">
        <v>1272</v>
      </c>
      <c r="I20" s="280" t="s">
        <v>1273</v>
      </c>
    </row>
    <row r="21" customFormat="false" ht="36" hidden="false" customHeight="true" outlineLevel="0" collapsed="false">
      <c r="A21" s="67" t="s">
        <v>1274</v>
      </c>
      <c r="B21" s="69" t="s">
        <v>757</v>
      </c>
      <c r="C21" s="281" t="n">
        <f aca="false">IF(Waste_Register!$B$18&gt;0,3,0)</f>
        <v>3</v>
      </c>
      <c r="D21" s="277" t="n">
        <f aca="false">MIN(C21,B21)</f>
        <v>3</v>
      </c>
      <c r="E21" s="94" t="s">
        <v>35</v>
      </c>
      <c r="F21" s="71" t="str">
        <f aca="false">IF(D21&gt;=B21,"✓ Met",IF(D21&gt;=B21*0.5,"⚠ Partial","✗ Gap"))</f>
        <v>⚠ Partial</v>
      </c>
      <c r="G21" s="129" t="s">
        <v>1275</v>
      </c>
      <c r="H21" s="221" t="s">
        <v>1276</v>
      </c>
      <c r="I21" s="280" t="s">
        <v>1277</v>
      </c>
    </row>
    <row r="22" customFormat="false" ht="12" hidden="false" customHeight="true" outlineLevel="0" collapsed="false">
      <c r="A22" s="279" t="s">
        <v>1278</v>
      </c>
      <c r="B22" s="279"/>
      <c r="C22" s="279"/>
      <c r="D22" s="279"/>
      <c r="E22" s="279"/>
      <c r="F22" s="279"/>
      <c r="G22" s="279"/>
      <c r="H22" s="279"/>
      <c r="I22" s="280"/>
    </row>
    <row r="23" customFormat="false" ht="36" hidden="false" customHeight="true" outlineLevel="0" collapsed="false">
      <c r="A23" s="67" t="s">
        <v>1279</v>
      </c>
      <c r="B23" s="69" t="s">
        <v>755</v>
      </c>
      <c r="C23" s="219" t="n">
        <f aca="false">IF(E_Data!L63&gt;0,4,0)</f>
        <v>4</v>
      </c>
      <c r="D23" s="277" t="n">
        <f aca="false">MIN(C23,B23)</f>
        <v>4</v>
      </c>
      <c r="E23" s="94" t="s">
        <v>1280</v>
      </c>
      <c r="F23" s="71" t="str">
        <f aca="false">IF(D23&gt;=B23,"✓ Met",IF(D23&gt;=B23*0.5,"⚠ Partial","✗ Gap"))</f>
        <v>⚠ Partial</v>
      </c>
      <c r="G23" s="129" t="s">
        <v>1281</v>
      </c>
      <c r="H23" s="221" t="s">
        <v>1282</v>
      </c>
      <c r="I23" s="280" t="s">
        <v>1283</v>
      </c>
    </row>
    <row r="24" customFormat="false" ht="36" hidden="false" customHeight="true" outlineLevel="0" collapsed="false">
      <c r="A24" s="67" t="s">
        <v>1284</v>
      </c>
      <c r="B24" s="69" t="s">
        <v>757</v>
      </c>
      <c r="C24" s="154" t="n">
        <v>0</v>
      </c>
      <c r="D24" s="277" t="n">
        <f aca="false">MIN(C24,B24)</f>
        <v>0</v>
      </c>
      <c r="E24" s="94" t="s">
        <v>26</v>
      </c>
      <c r="F24" s="71" t="str">
        <f aca="false">IF(D24&gt;=B24,"✓ Met",IF(D24&gt;=B24*0.5,"⚠ Partial","✗ Gap"))</f>
        <v>✗ Gap</v>
      </c>
      <c r="G24" s="129" t="s">
        <v>1285</v>
      </c>
      <c r="H24" s="221" t="s">
        <v>1286</v>
      </c>
      <c r="I24" s="280" t="s">
        <v>1287</v>
      </c>
    </row>
    <row r="25" customFormat="false" ht="12" hidden="false" customHeight="true" outlineLevel="0" collapsed="false">
      <c r="A25" s="279" t="s">
        <v>1288</v>
      </c>
      <c r="B25" s="279"/>
      <c r="C25" s="279"/>
      <c r="D25" s="279"/>
      <c r="E25" s="279"/>
      <c r="F25" s="279"/>
      <c r="G25" s="279"/>
      <c r="H25" s="279"/>
      <c r="I25" s="280"/>
    </row>
    <row r="26" customFormat="false" ht="36" hidden="false" customHeight="true" outlineLevel="0" collapsed="false">
      <c r="A26" s="67" t="s">
        <v>1289</v>
      </c>
      <c r="B26" s="69" t="s">
        <v>760</v>
      </c>
      <c r="C26" s="154" t="n">
        <v>0</v>
      </c>
      <c r="D26" s="277" t="n">
        <f aca="false">MIN(C26,B26)</f>
        <v>0</v>
      </c>
      <c r="E26" s="94" t="s">
        <v>53</v>
      </c>
      <c r="F26" s="71" t="str">
        <f aca="false">IF(D26&gt;=B26,"✓ Met",IF(D26&gt;=B26*0.5,"⚠ Partial","✗ Gap"))</f>
        <v>✗ Gap</v>
      </c>
      <c r="G26" s="129" t="s">
        <v>1290</v>
      </c>
      <c r="H26" s="221" t="s">
        <v>1291</v>
      </c>
      <c r="I26" s="280" t="s">
        <v>1292</v>
      </c>
    </row>
    <row r="27" customFormat="false" ht="36" hidden="false" customHeight="true" outlineLevel="0" collapsed="false">
      <c r="A27" s="67" t="s">
        <v>1293</v>
      </c>
      <c r="B27" s="69" t="s">
        <v>755</v>
      </c>
      <c r="C27" s="154" t="n">
        <v>0</v>
      </c>
      <c r="D27" s="277" t="n">
        <f aca="false">MIN(C27,B27)</f>
        <v>0</v>
      </c>
      <c r="E27" s="94" t="s">
        <v>53</v>
      </c>
      <c r="F27" s="71" t="str">
        <f aca="false">IF(D27&gt;=B27,"✓ Met",IF(D27&gt;=B27*0.5,"⚠ Partial","✗ Gap"))</f>
        <v>✗ Gap</v>
      </c>
      <c r="G27" s="129" t="s">
        <v>1294</v>
      </c>
      <c r="H27" s="221" t="s">
        <v>1295</v>
      </c>
      <c r="I27" s="280" t="s">
        <v>1296</v>
      </c>
    </row>
    <row r="28" customFormat="false" ht="36" hidden="false" customHeight="true" outlineLevel="0" collapsed="false">
      <c r="A28" s="67" t="s">
        <v>1297</v>
      </c>
      <c r="B28" s="69" t="s">
        <v>755</v>
      </c>
      <c r="C28" s="154" t="n">
        <v>0</v>
      </c>
      <c r="D28" s="277" t="n">
        <f aca="false">MIN(C28,B28)</f>
        <v>0</v>
      </c>
      <c r="E28" s="94" t="s">
        <v>31</v>
      </c>
      <c r="F28" s="71" t="str">
        <f aca="false">IF(D28&gt;=B28,"✓ Met",IF(D28&gt;=B28*0.5,"⚠ Partial","✗ Gap"))</f>
        <v>✗ Gap</v>
      </c>
      <c r="G28" s="129" t="s">
        <v>1298</v>
      </c>
      <c r="H28" s="221" t="s">
        <v>1299</v>
      </c>
      <c r="I28" s="280" t="s">
        <v>1300</v>
      </c>
    </row>
    <row r="29" customFormat="false" ht="36" hidden="false" customHeight="true" outlineLevel="0" collapsed="false">
      <c r="A29" s="67" t="s">
        <v>1301</v>
      </c>
      <c r="B29" s="69" t="s">
        <v>755</v>
      </c>
      <c r="C29" s="154" t="n">
        <v>0</v>
      </c>
      <c r="D29" s="277" t="n">
        <f aca="false">MIN(C29,B29)</f>
        <v>0</v>
      </c>
      <c r="E29" s="94" t="s">
        <v>53</v>
      </c>
      <c r="F29" s="71" t="str">
        <f aca="false">IF(D29&gt;=B29,"✓ Met",IF(D29&gt;=B29*0.5,"⚠ Partial","✗ Gap"))</f>
        <v>✗ Gap</v>
      </c>
      <c r="G29" s="129" t="s">
        <v>1302</v>
      </c>
      <c r="H29" s="221" t="s">
        <v>1303</v>
      </c>
      <c r="I29" s="280" t="s">
        <v>1304</v>
      </c>
    </row>
    <row r="30" customFormat="false" ht="18" hidden="false" customHeight="true" outlineLevel="0" collapsed="false">
      <c r="A30" s="282" t="s">
        <v>1305</v>
      </c>
      <c r="B30" s="282"/>
      <c r="C30" s="282"/>
      <c r="D30" s="277" t="n">
        <f aca="false">SUM(D5,D6,D7,D8,D9,D11,D12,D13,D15,D16,D17,D19,D20,D21,D23,D24,D26,D27,D28,D29)</f>
        <v>36</v>
      </c>
      <c r="E30" s="283" t="s">
        <v>1306</v>
      </c>
    </row>
  </sheetData>
  <mergeCells count="8">
    <mergeCell ref="A1:H1"/>
    <mergeCell ref="A4:H4"/>
    <mergeCell ref="A10:H10"/>
    <mergeCell ref="A14:H14"/>
    <mergeCell ref="A18:H18"/>
    <mergeCell ref="A22:H22"/>
    <mergeCell ref="A25:H25"/>
    <mergeCell ref="A30:C30"/>
  </mergeCells>
  <conditionalFormatting sqref="F4:F30">
    <cfRule type="expression" priority="2" aboveAverage="0" equalAverage="0" bottom="0" percent="0" rank="0" text="" dxfId="0">
      <formula>ISNUMBER(SEARCH("Met",F4))</formula>
    </cfRule>
    <cfRule type="expression" priority="3" aboveAverage="0" equalAverage="0" bottom="0" percent="0" rank="0" text="" dxfId="1">
      <formula>ISNUMBER(SEARCH("Partial",F4))</formula>
    </cfRule>
    <cfRule type="expression" priority="4" aboveAverage="0" equalAverage="0" bottom="0" percent="0" rank="0" text="" dxfId="2">
      <formula>ISNUMBER(SEARCH("Gap",F4))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A7"/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21.75" hidden="false" customHeight="true" outlineLevel="0" collapsed="false">
      <c r="A1" s="228" t="s">
        <v>1307</v>
      </c>
      <c r="B1" s="228"/>
      <c r="C1" s="228"/>
      <c r="D1" s="228"/>
      <c r="E1" s="228"/>
      <c r="F1" s="228"/>
      <c r="G1" s="228"/>
      <c r="H1" s="228"/>
    </row>
    <row r="3" customFormat="false" ht="27.75" hidden="false" customHeight="true" outlineLevel="0" collapsed="false">
      <c r="A3" s="124" t="s">
        <v>1205</v>
      </c>
      <c r="B3" s="124" t="s">
        <v>1206</v>
      </c>
      <c r="C3" s="124" t="s">
        <v>1172</v>
      </c>
      <c r="D3" s="124" t="s">
        <v>512</v>
      </c>
      <c r="E3" s="124" t="s">
        <v>1208</v>
      </c>
      <c r="F3" s="124" t="s">
        <v>520</v>
      </c>
      <c r="G3" s="124" t="s">
        <v>1173</v>
      </c>
      <c r="H3" s="124" t="s">
        <v>1308</v>
      </c>
      <c r="I3" s="278" t="s">
        <v>1210</v>
      </c>
    </row>
    <row r="4" customFormat="false" ht="12" hidden="false" customHeight="true" outlineLevel="0" collapsed="false">
      <c r="A4" s="284" t="s">
        <v>1309</v>
      </c>
      <c r="B4" s="284"/>
      <c r="C4" s="284"/>
      <c r="D4" s="284"/>
      <c r="E4" s="284"/>
      <c r="F4" s="284"/>
      <c r="G4" s="284"/>
      <c r="H4" s="284"/>
    </row>
    <row r="5" customFormat="false" ht="36" hidden="false" customHeight="true" outlineLevel="0" collapsed="false">
      <c r="A5" s="126" t="s">
        <v>1310</v>
      </c>
      <c r="B5" s="69" t="s">
        <v>760</v>
      </c>
      <c r="C5" s="281" t="n">
        <f aca="false">IFERROR(IF(EE_Scorecard!$B$5&gt;=Assumptions!$B$50,8,IF(EE_Scorecard!$B$5&gt;=Assumptions!$B$50*Assumptions!$B$9,8*EE_Scorecard!$B$5/Assumptions!$B$50,0)),0)</f>
        <v>0</v>
      </c>
      <c r="D5" s="277" t="n">
        <f aca="false">MIN(C5,B5)</f>
        <v>0</v>
      </c>
      <c r="E5" s="94" t="s">
        <v>39</v>
      </c>
      <c r="F5" s="71" t="str">
        <f aca="false">IF(D5&gt;=B5,"✓ Met",IF(D5&gt;=B5*0.5,"⚠ Partial","✗ Gap"))</f>
        <v>✗ Gap</v>
      </c>
      <c r="G5" s="129" t="s">
        <v>1311</v>
      </c>
      <c r="H5" s="221" t="s">
        <v>1312</v>
      </c>
      <c r="I5" s="280" t="s">
        <v>1313</v>
      </c>
    </row>
    <row r="6" customFormat="false" ht="36" hidden="false" customHeight="true" outlineLevel="0" collapsed="false">
      <c r="A6" s="126" t="s">
        <v>1314</v>
      </c>
      <c r="B6" s="69" t="s">
        <v>761</v>
      </c>
      <c r="C6" s="281" t="n">
        <f aca="false">IFERROR(IF((S_Data!$L$5+S_Data!$L$6)=0,0,IF((S_Data!$F$5+S_Data!$F$6+S_Data!$G$5+S_Data!$G$6+S_Data!$H$5+S_Data!$H$6)/(S_Data!$L$5+S_Data!$L$6)&gt;=Assumptions!$B$51,6,IF((S_Data!$F$5+S_Data!$F$6+S_Data!$G$5+S_Data!$G$6+S_Data!$H$5+S_Data!$H$6)/(S_Data!$L$5+S_Data!$L$6)&gt;=Assumptions!$B$51*Assumptions!$B$9,6*((S_Data!$F$5+S_Data!$F$6+S_Data!$G$5+S_Data!$G$6+S_Data!$H$5+S_Data!$H$6)/(S_Data!$L$5+S_Data!$L$6))/Assumptions!$B$51,0))),0)</f>
        <v>0</v>
      </c>
      <c r="D6" s="277" t="n">
        <f aca="false">MIN(C6,B6)</f>
        <v>0</v>
      </c>
      <c r="E6" s="94" t="s">
        <v>1315</v>
      </c>
      <c r="F6" s="71" t="str">
        <f aca="false">IF(D6&gt;=B6,"✓ Met",IF(D6&gt;=B6*0.5,"⚠ Partial","✗ Gap"))</f>
        <v>✗ Gap</v>
      </c>
      <c r="G6" s="129" t="s">
        <v>1316</v>
      </c>
      <c r="H6" s="221" t="s">
        <v>1317</v>
      </c>
      <c r="I6" s="280" t="s">
        <v>1318</v>
      </c>
    </row>
    <row r="7" customFormat="false" ht="36" hidden="false" customHeight="true" outlineLevel="0" collapsed="false">
      <c r="A7" s="126" t="s">
        <v>1319</v>
      </c>
      <c r="B7" s="69" t="s">
        <v>1213</v>
      </c>
      <c r="C7" s="281" t="n">
        <f aca="false">IF(EE_Scorecard!$B$9="Yes",5,IF(EE_Scorecard!$B$9="Partial",2.5,0))</f>
        <v>5</v>
      </c>
      <c r="D7" s="277" t="n">
        <f aca="false">MIN(C7,B7)</f>
        <v>5</v>
      </c>
      <c r="E7" s="94" t="s">
        <v>1320</v>
      </c>
      <c r="F7" s="71" t="str">
        <f aca="false">IF(D7&gt;=B7,"✓ Met",IF(D7&gt;=B7*0.5,"⚠ Partial","✗ Gap"))</f>
        <v>⚠ Partial</v>
      </c>
      <c r="G7" s="129" t="s">
        <v>1185</v>
      </c>
      <c r="H7" s="221" t="s">
        <v>1321</v>
      </c>
      <c r="I7" s="280" t="s">
        <v>1322</v>
      </c>
    </row>
    <row r="8" customFormat="false" ht="36" hidden="false" customHeight="true" outlineLevel="0" collapsed="false">
      <c r="A8" s="126" t="s">
        <v>1323</v>
      </c>
      <c r="B8" s="69" t="s">
        <v>1213</v>
      </c>
      <c r="C8" s="281" t="n">
        <f aca="false">IFERROR(IF(EE_Scorecard!$B$8&gt;=Assumptions!$B$52,5,IF(EE_Scorecard!$B$8&gt;=Assumptions!$B$52*Assumptions!$B$9,5*EE_Scorecard!$B$8/Assumptions!$B$52,0)),0)</f>
        <v>0</v>
      </c>
      <c r="D8" s="277" t="n">
        <f aca="false">MIN(C8,B8)</f>
        <v>0</v>
      </c>
      <c r="E8" s="94" t="s">
        <v>1315</v>
      </c>
      <c r="F8" s="71" t="str">
        <f aca="false">IF(D8&gt;=B8,"✓ Met",IF(D8&gt;=B8*0.5,"⚠ Partial","✗ Gap"))</f>
        <v>✗ Gap</v>
      </c>
      <c r="G8" s="129" t="s">
        <v>1324</v>
      </c>
      <c r="H8" s="221" t="s">
        <v>1325</v>
      </c>
      <c r="I8" s="280" t="s">
        <v>1326</v>
      </c>
    </row>
    <row r="9" customFormat="false" ht="36" hidden="false" customHeight="true" outlineLevel="0" collapsed="false">
      <c r="A9" s="126" t="s">
        <v>1327</v>
      </c>
      <c r="B9" s="69" t="s">
        <v>757</v>
      </c>
      <c r="C9" s="281" t="n">
        <f aca="false">IF(EE_Scorecard!$B$10="Yes",3,IF(EE_Scorecard!$B$10="Partial",1.5,0))</f>
        <v>3</v>
      </c>
      <c r="D9" s="277" t="n">
        <f aca="false">MIN(C9,B9)</f>
        <v>3</v>
      </c>
      <c r="E9" s="94" t="s">
        <v>29</v>
      </c>
      <c r="F9" s="71" t="str">
        <f aca="false">IF(D9&gt;=B9,"✓ Met",IF(D9&gt;=B9*0.5,"⚠ Partial","✗ Gap"))</f>
        <v>⚠ Partial</v>
      </c>
      <c r="G9" s="129" t="s">
        <v>1187</v>
      </c>
      <c r="H9" s="221" t="s">
        <v>1328</v>
      </c>
      <c r="I9" s="280" t="s">
        <v>1329</v>
      </c>
    </row>
    <row r="10" customFormat="false" ht="36" hidden="false" customHeight="true" outlineLevel="0" collapsed="false">
      <c r="A10" s="126" t="s">
        <v>1330</v>
      </c>
      <c r="B10" s="69" t="s">
        <v>757</v>
      </c>
      <c r="C10" s="281" t="n">
        <f aca="false">IF(EE_Scorecard!$B$12="Yes",3,IF(EE_Scorecard!$B$12="Partial",1.5,0))</f>
        <v>3</v>
      </c>
      <c r="D10" s="277" t="n">
        <f aca="false">MIN(C10,B10)</f>
        <v>3</v>
      </c>
      <c r="E10" s="94" t="s">
        <v>29</v>
      </c>
      <c r="F10" s="71" t="str">
        <f aca="false">IF(D10&gt;=B10,"✓ Met",IF(D10&gt;=B10*0.5,"⚠ Partial","✗ Gap"))</f>
        <v>⚠ Partial</v>
      </c>
      <c r="G10" s="129" t="s">
        <v>1191</v>
      </c>
      <c r="H10" s="221" t="s">
        <v>1331</v>
      </c>
      <c r="I10" s="280" t="s">
        <v>1332</v>
      </c>
    </row>
    <row r="11" customFormat="false" ht="12" hidden="false" customHeight="true" outlineLevel="0" collapsed="false">
      <c r="A11" s="284" t="s">
        <v>1333</v>
      </c>
      <c r="B11" s="284"/>
      <c r="C11" s="284"/>
      <c r="D11" s="284"/>
      <c r="E11" s="284"/>
      <c r="F11" s="284"/>
      <c r="G11" s="284"/>
      <c r="H11" s="284"/>
      <c r="I11" s="280"/>
    </row>
    <row r="12" customFormat="false" ht="36" hidden="false" customHeight="true" outlineLevel="0" collapsed="false">
      <c r="A12" s="126" t="s">
        <v>1334</v>
      </c>
      <c r="B12" s="69" t="s">
        <v>1213</v>
      </c>
      <c r="C12" s="219" t="n">
        <f aca="false">IF(S_Data!B45="Yes",5,0)</f>
        <v>0</v>
      </c>
      <c r="D12" s="277" t="n">
        <f aca="false">MIN(C12,B12)</f>
        <v>0</v>
      </c>
      <c r="E12" s="94" t="s">
        <v>1320</v>
      </c>
      <c r="F12" s="71" t="str">
        <f aca="false">IF(D12&gt;=B12,"✓ Met",IF(D12&gt;=B12*0.5,"⚠ Partial","✗ Gap"))</f>
        <v>✗ Gap</v>
      </c>
      <c r="G12" s="129" t="s">
        <v>1335</v>
      </c>
      <c r="H12" s="221" t="s">
        <v>1336</v>
      </c>
      <c r="I12" s="280" t="s">
        <v>1337</v>
      </c>
    </row>
    <row r="13" customFormat="false" ht="36" hidden="false" customHeight="true" outlineLevel="0" collapsed="false">
      <c r="A13" s="126" t="s">
        <v>1338</v>
      </c>
      <c r="B13" s="69" t="s">
        <v>1213</v>
      </c>
      <c r="C13" s="219" t="n">
        <f aca="false">IF(S_Data!B46="Yes",5,0)</f>
        <v>0</v>
      </c>
      <c r="D13" s="277" t="n">
        <f aca="false">MIN(C13,B13)</f>
        <v>0</v>
      </c>
      <c r="E13" s="94" t="s">
        <v>1320</v>
      </c>
      <c r="F13" s="71" t="str">
        <f aca="false">IF(D13&gt;=B13,"✓ Met",IF(D13&gt;=B13*0.5,"⚠ Partial","✗ Gap"))</f>
        <v>✗ Gap</v>
      </c>
      <c r="G13" s="129" t="s">
        <v>1335</v>
      </c>
      <c r="H13" s="221" t="s">
        <v>1339</v>
      </c>
      <c r="I13" s="280" t="s">
        <v>1340</v>
      </c>
    </row>
    <row r="14" customFormat="false" ht="36" hidden="false" customHeight="true" outlineLevel="0" collapsed="false">
      <c r="A14" s="126" t="s">
        <v>1341</v>
      </c>
      <c r="B14" s="69" t="s">
        <v>1213</v>
      </c>
      <c r="C14" s="281" t="n">
        <f aca="false">IFERROR(IF(S_Data!$L$12=0,0,IF(S_Data!$B$49/S_Data!$L$12&gt;=Assumptions!$B$53,5,IF(S_Data!$B$49/S_Data!$L$12&gt;=Assumptions!$B$53*Assumptions!$B$9,5*(S_Data!$B$49/S_Data!$L$12)/Assumptions!$B$53,0))),0)</f>
        <v>0</v>
      </c>
      <c r="D14" s="277" t="n">
        <f aca="false">MIN(C14,B14)</f>
        <v>0</v>
      </c>
      <c r="E14" s="94" t="s">
        <v>1320</v>
      </c>
      <c r="F14" s="71" t="str">
        <f aca="false">IF(D14&gt;=B14,"✓ Met",IF(D14&gt;=B14*0.5,"⚠ Partial","✗ Gap"))</f>
        <v>✗ Gap</v>
      </c>
      <c r="G14" s="129" t="s">
        <v>1342</v>
      </c>
      <c r="H14" s="221" t="s">
        <v>1343</v>
      </c>
      <c r="I14" s="280" t="s">
        <v>1344</v>
      </c>
    </row>
    <row r="15" customFormat="false" ht="36" hidden="false" customHeight="true" outlineLevel="0" collapsed="false">
      <c r="A15" s="126" t="s">
        <v>1345</v>
      </c>
      <c r="B15" s="69" t="s">
        <v>1213</v>
      </c>
      <c r="C15" s="281" t="n">
        <f aca="false">IFERROR(IF(S_Data!$B$44=0,0,IF(S_Data!$B$47/S_Data!$B$44&gt;=Assumptions!$B$54,5,IF(S_Data!$B$47/S_Data!$B$44&gt;=Assumptions!$B$54*Assumptions!$B$9,5*(S_Data!$B$47/S_Data!$B$44)/Assumptions!$B$54,0))),0)</f>
        <v>0</v>
      </c>
      <c r="D15" s="277" t="n">
        <f aca="false">MIN(C15,B15)</f>
        <v>0</v>
      </c>
      <c r="E15" s="94" t="s">
        <v>1320</v>
      </c>
      <c r="F15" s="71" t="str">
        <f aca="false">IF(D15&gt;=B15,"✓ Met",IF(D15&gt;=B15*0.5,"⚠ Partial","✗ Gap"))</f>
        <v>✗ Gap</v>
      </c>
      <c r="G15" s="129" t="s">
        <v>1346</v>
      </c>
      <c r="H15" s="221" t="s">
        <v>1347</v>
      </c>
      <c r="I15" s="280" t="s">
        <v>1348</v>
      </c>
    </row>
    <row r="16" customFormat="false" ht="12" hidden="false" customHeight="true" outlineLevel="0" collapsed="false">
      <c r="A16" s="284" t="s">
        <v>1349</v>
      </c>
      <c r="B16" s="284"/>
      <c r="C16" s="284"/>
      <c r="D16" s="284"/>
      <c r="E16" s="284"/>
      <c r="F16" s="284"/>
      <c r="G16" s="284"/>
      <c r="H16" s="284"/>
      <c r="I16" s="280"/>
    </row>
    <row r="17" customFormat="false" ht="36" hidden="false" customHeight="true" outlineLevel="0" collapsed="false">
      <c r="A17" s="126" t="s">
        <v>1350</v>
      </c>
      <c r="B17" s="69" t="s">
        <v>760</v>
      </c>
      <c r="C17" s="281" t="n">
        <f aca="false">IFERROR(IF(S_Data!$G$35=0,0,IF(S_Data!$G$35&lt;=Assumptions!$B$55,8,IF(S_Data!$G$35&lt;=Assumptions!$B$55/Assumptions!$B$9,MAX(0,8*(1+Assumptions!$B$9-S_Data!$G$35/Assumptions!$B$55)),0))),0)</f>
        <v>0</v>
      </c>
      <c r="D17" s="277" t="n">
        <f aca="false">MIN(C17,B17)</f>
        <v>0</v>
      </c>
      <c r="E17" s="94" t="s">
        <v>1351</v>
      </c>
      <c r="F17" s="71" t="str">
        <f aca="false">IF(D17&gt;=B17,"✓ Met",IF(D17&gt;=B17*0.5,"⚠ Partial","✗ Gap"))</f>
        <v>✗ Gap</v>
      </c>
      <c r="G17" s="129" t="s">
        <v>1352</v>
      </c>
      <c r="H17" s="221" t="s">
        <v>1353</v>
      </c>
      <c r="I17" s="280" t="s">
        <v>1354</v>
      </c>
    </row>
    <row r="18" customFormat="false" ht="36" hidden="false" customHeight="true" outlineLevel="0" collapsed="false">
      <c r="A18" s="126" t="s">
        <v>1355</v>
      </c>
      <c r="B18" s="69" t="s">
        <v>760</v>
      </c>
      <c r="C18" s="281" t="n">
        <f aca="false">IFERROR(IF(OR(S_Data!$G$28=0,S_Data!$G$28="—",S_Data!$G$28=""),8,0),0)</f>
        <v>8</v>
      </c>
      <c r="D18" s="277" t="n">
        <f aca="false">MIN(C18,B18)</f>
        <v>8</v>
      </c>
      <c r="E18" s="94" t="s">
        <v>1351</v>
      </c>
      <c r="F18" s="71" t="str">
        <f aca="false">IF(D18&gt;=B18,"✓ Met",IF(D18&gt;=B18*0.5,"⚠ Partial","✗ Gap"))</f>
        <v>⚠ Partial</v>
      </c>
      <c r="G18" s="129" t="s">
        <v>1356</v>
      </c>
      <c r="H18" s="221" t="s">
        <v>1357</v>
      </c>
      <c r="I18" s="280" t="s">
        <v>1358</v>
      </c>
    </row>
    <row r="19" customFormat="false" ht="36" hidden="false" customHeight="true" outlineLevel="0" collapsed="false">
      <c r="A19" s="126" t="s">
        <v>1359</v>
      </c>
      <c r="B19" s="69" t="s">
        <v>1213</v>
      </c>
      <c r="C19" s="281" t="n">
        <f aca="false">IF(S_Data!$C$59&gt;0,5,0)</f>
        <v>5</v>
      </c>
      <c r="D19" s="277" t="n">
        <f aca="false">MIN(C19,B19)</f>
        <v>5</v>
      </c>
      <c r="E19" s="94" t="s">
        <v>37</v>
      </c>
      <c r="F19" s="71" t="str">
        <f aca="false">IF(D19&gt;=B19,"✓ Met",IF(D19&gt;=B19*0.5,"⚠ Partial","✗ Gap"))</f>
        <v>⚠ Partial</v>
      </c>
      <c r="G19" s="129" t="s">
        <v>1360</v>
      </c>
      <c r="H19" s="221" t="s">
        <v>1361</v>
      </c>
      <c r="I19" s="280" t="s">
        <v>1362</v>
      </c>
    </row>
    <row r="20" customFormat="false" ht="36" hidden="false" customHeight="true" outlineLevel="0" collapsed="false">
      <c r="A20" s="126" t="s">
        <v>1363</v>
      </c>
      <c r="B20" s="69" t="s">
        <v>755</v>
      </c>
      <c r="C20" s="281" t="n">
        <f aca="false">IF(SUM(S_Data!$G$29:$G$33)&gt;0,4,0)</f>
        <v>4</v>
      </c>
      <c r="D20" s="277" t="n">
        <f aca="false">MIN(C20,B20)</f>
        <v>4</v>
      </c>
      <c r="E20" s="94" t="s">
        <v>1351</v>
      </c>
      <c r="F20" s="71" t="str">
        <f aca="false">IF(D20&gt;=B20,"✓ Met",IF(D20&gt;=B20*0.5,"⚠ Partial","✗ Gap"))</f>
        <v>⚠ Partial</v>
      </c>
      <c r="G20" s="129" t="s">
        <v>1364</v>
      </c>
      <c r="H20" s="221" t="s">
        <v>1365</v>
      </c>
      <c r="I20" s="280" t="s">
        <v>1366</v>
      </c>
    </row>
    <row r="21" customFormat="false" ht="12" hidden="false" customHeight="true" outlineLevel="0" collapsed="false">
      <c r="A21" s="284" t="s">
        <v>1367</v>
      </c>
      <c r="B21" s="284"/>
      <c r="C21" s="284"/>
      <c r="D21" s="284"/>
      <c r="E21" s="284"/>
      <c r="F21" s="284"/>
      <c r="G21" s="284"/>
      <c r="H21" s="284"/>
      <c r="I21" s="280"/>
    </row>
    <row r="22" customFormat="false" ht="36" hidden="false" customHeight="true" outlineLevel="0" collapsed="false">
      <c r="A22" s="126" t="s">
        <v>1368</v>
      </c>
      <c r="B22" s="69" t="s">
        <v>1213</v>
      </c>
      <c r="C22" s="154" t="n">
        <v>0</v>
      </c>
      <c r="D22" s="277" t="n">
        <f aca="false">MIN(C22,B22)</f>
        <v>0</v>
      </c>
      <c r="E22" s="94" t="s">
        <v>1369</v>
      </c>
      <c r="F22" s="71" t="str">
        <f aca="false">IF(D22&gt;=B22,"✓ Met",IF(D22&gt;=B22*0.5,"⚠ Partial","✗ Gap"))</f>
        <v>✗ Gap</v>
      </c>
      <c r="G22" s="129" t="s">
        <v>1370</v>
      </c>
      <c r="H22" s="221" t="s">
        <v>1371</v>
      </c>
      <c r="I22" s="280" t="s">
        <v>1372</v>
      </c>
    </row>
    <row r="23" customFormat="false" ht="36" hidden="false" customHeight="true" outlineLevel="0" collapsed="false">
      <c r="A23" s="126" t="s">
        <v>1373</v>
      </c>
      <c r="B23" s="69" t="s">
        <v>1213</v>
      </c>
      <c r="C23" s="281" t="n">
        <f aca="false">IFERROR(IF(COUNTA(S_Data!$A$72:$A$79)&gt;=6,5,IF(COUNTA(S_Data!$A$72:$A$79)&gt;=6*Assumptions!$B$9,5*COUNTA(S_Data!$A$72:$A$79)/6,0)),0)</f>
        <v>5</v>
      </c>
      <c r="D23" s="277" t="n">
        <f aca="false">MIN(C23,B23)</f>
        <v>5</v>
      </c>
      <c r="E23" s="94" t="s">
        <v>1369</v>
      </c>
      <c r="F23" s="71" t="str">
        <f aca="false">IF(D23&gt;=B23,"✓ Met",IF(D23&gt;=B23*0.5,"⚠ Partial","✗ Gap"))</f>
        <v>⚠ Partial</v>
      </c>
      <c r="G23" s="129" t="s">
        <v>1374</v>
      </c>
      <c r="H23" s="221" t="s">
        <v>1375</v>
      </c>
      <c r="I23" s="280" t="s">
        <v>1376</v>
      </c>
    </row>
    <row r="24" customFormat="false" ht="36" hidden="false" customHeight="true" outlineLevel="0" collapsed="false">
      <c r="A24" s="126" t="s">
        <v>1377</v>
      </c>
      <c r="B24" s="69" t="s">
        <v>1213</v>
      </c>
      <c r="C24" s="154" t="n">
        <v>0</v>
      </c>
      <c r="D24" s="277" t="n">
        <f aca="false">MIN(C24,B24)</f>
        <v>0</v>
      </c>
      <c r="E24" s="94" t="s">
        <v>29</v>
      </c>
      <c r="F24" s="71" t="str">
        <f aca="false">IF(D24&gt;=B24,"✓ Met",IF(D24&gt;=B24*0.5,"⚠ Partial","✗ Gap"))</f>
        <v>✗ Gap</v>
      </c>
      <c r="G24" s="129" t="s">
        <v>1378</v>
      </c>
      <c r="H24" s="221" t="s">
        <v>1379</v>
      </c>
      <c r="I24" s="280" t="s">
        <v>1380</v>
      </c>
    </row>
    <row r="25" customFormat="false" ht="12" hidden="false" customHeight="true" outlineLevel="0" collapsed="false">
      <c r="A25" s="284" t="s">
        <v>1381</v>
      </c>
      <c r="B25" s="284"/>
      <c r="C25" s="284"/>
      <c r="D25" s="284"/>
      <c r="E25" s="284"/>
      <c r="F25" s="284"/>
      <c r="G25" s="284"/>
      <c r="H25" s="284"/>
      <c r="I25" s="280"/>
    </row>
    <row r="26" customFormat="false" ht="36" hidden="false" customHeight="true" outlineLevel="0" collapsed="false">
      <c r="A26" s="126" t="s">
        <v>1382</v>
      </c>
      <c r="B26" s="69" t="s">
        <v>1213</v>
      </c>
      <c r="C26" s="154" t="n">
        <v>0</v>
      </c>
      <c r="D26" s="277" t="n">
        <f aca="false">MIN(C26,B26)</f>
        <v>0</v>
      </c>
      <c r="E26" s="94" t="s">
        <v>55</v>
      </c>
      <c r="F26" s="71" t="str">
        <f aca="false">IF(D26&gt;=B26,"✓ Met",IF(D26&gt;=B26*0.5,"⚠ Partial","✗ Gap"))</f>
        <v>✗ Gap</v>
      </c>
      <c r="G26" s="129" t="s">
        <v>1383</v>
      </c>
      <c r="H26" s="221" t="s">
        <v>1384</v>
      </c>
      <c r="I26" s="280" t="s">
        <v>1385</v>
      </c>
    </row>
    <row r="27" customFormat="false" ht="36" hidden="false" customHeight="true" outlineLevel="0" collapsed="false">
      <c r="A27" s="126" t="s">
        <v>1386</v>
      </c>
      <c r="B27" s="69" t="s">
        <v>1213</v>
      </c>
      <c r="C27" s="154" t="n">
        <v>0</v>
      </c>
      <c r="D27" s="277" t="n">
        <f aca="false">MIN(C27,B27)</f>
        <v>0</v>
      </c>
      <c r="E27" s="94" t="s">
        <v>55</v>
      </c>
      <c r="F27" s="71" t="str">
        <f aca="false">IF(D27&gt;=B27,"✓ Met",IF(D27&gt;=B27*0.5,"⚠ Partial","✗ Gap"))</f>
        <v>✗ Gap</v>
      </c>
      <c r="G27" s="129" t="s">
        <v>1387</v>
      </c>
      <c r="H27" s="221" t="s">
        <v>1388</v>
      </c>
      <c r="I27" s="280" t="s">
        <v>1389</v>
      </c>
    </row>
    <row r="28" customFormat="false" ht="18" hidden="false" customHeight="true" outlineLevel="0" collapsed="false">
      <c r="A28" s="285" t="s">
        <v>1390</v>
      </c>
      <c r="B28" s="285"/>
      <c r="C28" s="285"/>
      <c r="D28" s="277" t="n">
        <f aca="false">SUM(D5,D6,D7,D8,D9,D10,D12,D13,D14,D15,D17,D18,D19,D20,D22,D23,D24,D26,D27)</f>
        <v>33</v>
      </c>
    </row>
  </sheetData>
  <mergeCells count="7">
    <mergeCell ref="A1:H1"/>
    <mergeCell ref="A4:H4"/>
    <mergeCell ref="A11:H11"/>
    <mergeCell ref="A16:H16"/>
    <mergeCell ref="A21:H21"/>
    <mergeCell ref="A25:H25"/>
    <mergeCell ref="A28:C28"/>
  </mergeCells>
  <conditionalFormatting sqref="F4:F30">
    <cfRule type="expression" priority="2" aboveAverage="0" equalAverage="0" bottom="0" percent="0" rank="0" text="" dxfId="0">
      <formula>ISNUMBER(SEARCH("Met",F4))</formula>
    </cfRule>
    <cfRule type="expression" priority="3" aboveAverage="0" equalAverage="0" bottom="0" percent="0" rank="0" text="" dxfId="1">
      <formula>ISNUMBER(SEARCH("Partial",F4))</formula>
    </cfRule>
    <cfRule type="expression" priority="4" aboveAverage="0" equalAverage="0" bottom="0" percent="0" rank="0" text="" dxfId="2">
      <formula>ISNUMBER(SEARCH("Gap",F4))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8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8" min="8" style="1" width="16"/>
    <col collapsed="false" customWidth="true" hidden="false" outlineLevel="0" max="9" min="9" style="1" width="50"/>
  </cols>
  <sheetData>
    <row r="1" customFormat="false" ht="21.75" hidden="false" customHeight="true" outlineLevel="0" collapsed="false">
      <c r="A1" s="256" t="s">
        <v>1391</v>
      </c>
      <c r="B1" s="256"/>
      <c r="C1" s="256"/>
      <c r="D1" s="256"/>
      <c r="E1" s="256"/>
      <c r="F1" s="256"/>
      <c r="G1" s="256"/>
      <c r="H1" s="256"/>
    </row>
    <row r="3" customFormat="false" ht="27.75" hidden="false" customHeight="true" outlineLevel="0" collapsed="false">
      <c r="A3" s="258" t="s">
        <v>1205</v>
      </c>
      <c r="B3" s="258" t="s">
        <v>1206</v>
      </c>
      <c r="C3" s="258" t="s">
        <v>1172</v>
      </c>
      <c r="D3" s="258" t="s">
        <v>512</v>
      </c>
      <c r="E3" s="258" t="s">
        <v>1208</v>
      </c>
      <c r="F3" s="258" t="s">
        <v>520</v>
      </c>
      <c r="G3" s="258" t="s">
        <v>1173</v>
      </c>
      <c r="H3" s="258" t="s">
        <v>1392</v>
      </c>
      <c r="I3" s="278" t="s">
        <v>1210</v>
      </c>
    </row>
    <row r="4" customFormat="false" ht="12" hidden="false" customHeight="true" outlineLevel="0" collapsed="false">
      <c r="A4" s="286" t="s">
        <v>1393</v>
      </c>
      <c r="B4" s="286"/>
      <c r="C4" s="286"/>
      <c r="D4" s="286"/>
      <c r="E4" s="286"/>
      <c r="F4" s="286"/>
      <c r="G4" s="286"/>
      <c r="H4" s="286"/>
    </row>
    <row r="5" customFormat="false" ht="36" hidden="false" customHeight="true" outlineLevel="0" collapsed="false">
      <c r="A5" s="287" t="s">
        <v>1394</v>
      </c>
      <c r="B5" s="69" t="s">
        <v>768</v>
      </c>
      <c r="C5" s="288" t="n">
        <f aca="false">King5_Scorecard!E21/170*25</f>
        <v>19.8529411764706</v>
      </c>
      <c r="D5" s="277" t="n">
        <f aca="false">MIN(C5,B5)</f>
        <v>19.8529411764706</v>
      </c>
      <c r="E5" s="94" t="s">
        <v>47</v>
      </c>
      <c r="F5" s="71" t="str">
        <f aca="false">IF(D5&gt;=B5,"✓ Met",IF(D5&gt;=B5*0.5,"⚠ Partial","✗ Gap"))</f>
        <v>⚠ Partial</v>
      </c>
      <c r="G5" s="129" t="s">
        <v>1395</v>
      </c>
      <c r="H5" s="221" t="s">
        <v>1396</v>
      </c>
      <c r="I5" s="280" t="s">
        <v>1397</v>
      </c>
    </row>
    <row r="6" customFormat="false" ht="36" hidden="false" customHeight="true" outlineLevel="0" collapsed="false">
      <c r="A6" s="287" t="s">
        <v>1398</v>
      </c>
      <c r="B6" s="69" t="s">
        <v>1213</v>
      </c>
      <c r="C6" s="281" t="n">
        <f aca="false">G_Data!F13</f>
        <v>5</v>
      </c>
      <c r="D6" s="277" t="n">
        <f aca="false">MIN(C6,B6)</f>
        <v>5</v>
      </c>
      <c r="E6" s="94" t="s">
        <v>31</v>
      </c>
      <c r="F6" s="71" t="str">
        <f aca="false">IF(D6&gt;=B6,"✓ Met",IF(D6&gt;=B6*0.5,"⚠ Partial","✗ Gap"))</f>
        <v>⚠ Partial</v>
      </c>
      <c r="G6" s="129" t="s">
        <v>1399</v>
      </c>
      <c r="H6" s="221" t="s">
        <v>1400</v>
      </c>
      <c r="I6" s="280" t="s">
        <v>1401</v>
      </c>
    </row>
    <row r="7" customFormat="false" ht="36" hidden="false" customHeight="true" outlineLevel="0" collapsed="false">
      <c r="A7" s="287" t="s">
        <v>1402</v>
      </c>
      <c r="B7" s="69" t="s">
        <v>1213</v>
      </c>
      <c r="C7" s="281" t="n">
        <f aca="false">G_Data!F14</f>
        <v>0</v>
      </c>
      <c r="D7" s="277" t="n">
        <f aca="false">MIN(C7,B7)</f>
        <v>0</v>
      </c>
      <c r="E7" s="94" t="s">
        <v>31</v>
      </c>
      <c r="F7" s="71" t="str">
        <f aca="false">IF(D7&gt;=B7,"✓ Met",IF(D7&gt;=B7*0.5,"⚠ Partial","✗ Gap"))</f>
        <v>✗ Gap</v>
      </c>
      <c r="G7" s="129" t="s">
        <v>1403</v>
      </c>
      <c r="H7" s="221" t="s">
        <v>1404</v>
      </c>
      <c r="I7" s="280" t="s">
        <v>1405</v>
      </c>
    </row>
    <row r="8" customFormat="false" ht="12" hidden="false" customHeight="true" outlineLevel="0" collapsed="false">
      <c r="A8" s="286" t="s">
        <v>1406</v>
      </c>
      <c r="B8" s="286"/>
      <c r="C8" s="286"/>
      <c r="D8" s="286"/>
      <c r="E8" s="286"/>
      <c r="F8" s="286"/>
      <c r="G8" s="286"/>
      <c r="H8" s="286"/>
      <c r="I8" s="280"/>
    </row>
    <row r="9" customFormat="false" ht="36" hidden="false" customHeight="true" outlineLevel="0" collapsed="false">
      <c r="A9" s="287" t="s">
        <v>1407</v>
      </c>
      <c r="B9" s="69" t="s">
        <v>1219</v>
      </c>
      <c r="C9" s="281" t="n">
        <f aca="false">IFERROR(10*COUNTIF(IFRS_S1_S2!D4:D40,"Yes")/MAX(1,COUNTA(IFRS_S1_S2!A4:A40)-COUNTBLANK(IFRS_S1_S2!A4:A40)),0)</f>
        <v>0</v>
      </c>
      <c r="D9" s="277" t="n">
        <f aca="false">MIN(C9,B9)</f>
        <v>0</v>
      </c>
      <c r="E9" s="94" t="s">
        <v>49</v>
      </c>
      <c r="F9" s="71" t="str">
        <f aca="false">IF(D9&gt;=B9,"✓ Met",IF(D9&gt;=B9*0.5,"⚠ Partial","✗ Gap"))</f>
        <v>✗ Gap</v>
      </c>
      <c r="G9" s="129" t="s">
        <v>1408</v>
      </c>
      <c r="H9" s="221" t="s">
        <v>1409</v>
      </c>
      <c r="I9" s="280" t="s">
        <v>1410</v>
      </c>
    </row>
    <row r="10" customFormat="false" ht="36" hidden="false" customHeight="true" outlineLevel="0" collapsed="false">
      <c r="A10" s="287" t="s">
        <v>1411</v>
      </c>
      <c r="B10" s="69" t="s">
        <v>1213</v>
      </c>
      <c r="C10" s="281" t="n">
        <f aca="false">G_Data!F23</f>
        <v>2.5</v>
      </c>
      <c r="D10" s="277" t="n">
        <f aca="false">MIN(C10,B10)</f>
        <v>2.5</v>
      </c>
      <c r="E10" s="94" t="s">
        <v>49</v>
      </c>
      <c r="F10" s="71" t="str">
        <f aca="false">IF(D10&gt;=B10,"✓ Met",IF(D10&gt;=B10*0.5,"⚠ Partial","✗ Gap"))</f>
        <v>⚠ Partial</v>
      </c>
      <c r="G10" s="129" t="s">
        <v>1412</v>
      </c>
      <c r="H10" s="221" t="s">
        <v>1413</v>
      </c>
      <c r="I10" s="280" t="s">
        <v>1414</v>
      </c>
    </row>
    <row r="11" customFormat="false" ht="12" hidden="false" customHeight="true" outlineLevel="0" collapsed="false">
      <c r="A11" s="286" t="s">
        <v>1415</v>
      </c>
      <c r="B11" s="286"/>
      <c r="C11" s="286"/>
      <c r="D11" s="286"/>
      <c r="E11" s="286"/>
      <c r="F11" s="286"/>
      <c r="G11" s="286"/>
      <c r="H11" s="286"/>
      <c r="I11" s="280"/>
    </row>
    <row r="12" customFormat="false" ht="36" hidden="false" customHeight="true" outlineLevel="0" collapsed="false">
      <c r="A12" s="287" t="s">
        <v>1416</v>
      </c>
      <c r="B12" s="69" t="s">
        <v>760</v>
      </c>
      <c r="C12" s="281" t="n">
        <f aca="false">IF(G_Data!F21&gt;0,IF(G_Data!F23&gt;0,8,4),0)</f>
        <v>8</v>
      </c>
      <c r="D12" s="277" t="n">
        <f aca="false">MIN(C12,B12)</f>
        <v>8</v>
      </c>
      <c r="E12" s="94" t="s">
        <v>51</v>
      </c>
      <c r="F12" s="71" t="str">
        <f aca="false">IF(D12&gt;=B12,"✓ Met",IF(D12&gt;=B12*0.5,"⚠ Partial","✗ Gap"))</f>
        <v>⚠ Partial</v>
      </c>
      <c r="G12" s="129" t="s">
        <v>1417</v>
      </c>
      <c r="H12" s="221" t="s">
        <v>1418</v>
      </c>
      <c r="I12" s="280" t="s">
        <v>1419</v>
      </c>
    </row>
    <row r="13" customFormat="false" ht="12" hidden="false" customHeight="true" outlineLevel="0" collapsed="false">
      <c r="A13" s="286" t="s">
        <v>1420</v>
      </c>
      <c r="B13" s="286"/>
      <c r="C13" s="286"/>
      <c r="D13" s="286"/>
      <c r="E13" s="286"/>
      <c r="F13" s="286"/>
      <c r="G13" s="286"/>
      <c r="H13" s="286"/>
      <c r="I13" s="280"/>
    </row>
    <row r="14" customFormat="false" ht="36" hidden="false" customHeight="true" outlineLevel="0" collapsed="false">
      <c r="A14" s="287" t="s">
        <v>1421</v>
      </c>
      <c r="B14" s="69" t="s">
        <v>1213</v>
      </c>
      <c r="C14" s="281" t="n">
        <f aca="false">IF(G_Data!F5&gt;0,5,0)</f>
        <v>5</v>
      </c>
      <c r="D14" s="277" t="n">
        <f aca="false">MIN(C14,B14)</f>
        <v>5</v>
      </c>
      <c r="E14" s="94" t="s">
        <v>51</v>
      </c>
      <c r="F14" s="71" t="str">
        <f aca="false">IF(D14&gt;=B14,"✓ Met",IF(D14&gt;=B14*0.5,"⚠ Partial","✗ Gap"))</f>
        <v>⚠ Partial</v>
      </c>
      <c r="G14" s="129" t="s">
        <v>1422</v>
      </c>
      <c r="H14" s="221" t="s">
        <v>1423</v>
      </c>
      <c r="I14" s="280" t="s">
        <v>1424</v>
      </c>
    </row>
    <row r="15" customFormat="false" ht="12" hidden="false" customHeight="true" outlineLevel="0" collapsed="false">
      <c r="A15" s="286" t="s">
        <v>1425</v>
      </c>
      <c r="B15" s="286"/>
      <c r="C15" s="286"/>
      <c r="D15" s="286"/>
      <c r="E15" s="286"/>
      <c r="F15" s="286"/>
      <c r="G15" s="286"/>
      <c r="H15" s="286"/>
      <c r="I15" s="280"/>
    </row>
    <row r="16" customFormat="false" ht="36" hidden="false" customHeight="true" outlineLevel="0" collapsed="false">
      <c r="A16" s="287" t="s">
        <v>1426</v>
      </c>
      <c r="B16" s="69" t="s">
        <v>1213</v>
      </c>
      <c r="C16" s="281" t="n">
        <f aca="false">G_Data!F17</f>
        <v>2.5</v>
      </c>
      <c r="D16" s="277" t="n">
        <f aca="false">MIN(C16,B16)</f>
        <v>2.5</v>
      </c>
      <c r="E16" s="94" t="s">
        <v>53</v>
      </c>
      <c r="F16" s="71" t="str">
        <f aca="false">IF(D16&gt;=B16,"✓ Met",IF(D16&gt;=B16*0.5,"⚠ Partial","✗ Gap"))</f>
        <v>⚠ Partial</v>
      </c>
      <c r="G16" s="129" t="s">
        <v>1427</v>
      </c>
      <c r="H16" s="221" t="s">
        <v>1428</v>
      </c>
      <c r="I16" s="280" t="s">
        <v>1429</v>
      </c>
    </row>
    <row r="17" customFormat="false" ht="36" hidden="false" customHeight="true" outlineLevel="0" collapsed="false">
      <c r="A17" s="287" t="s">
        <v>1430</v>
      </c>
      <c r="B17" s="69" t="s">
        <v>1213</v>
      </c>
      <c r="C17" s="281" t="n">
        <f aca="false">G_Data!F18</f>
        <v>2.5</v>
      </c>
      <c r="D17" s="277" t="n">
        <f aca="false">MIN(C17,B17)</f>
        <v>2.5</v>
      </c>
      <c r="E17" s="94" t="s">
        <v>53</v>
      </c>
      <c r="F17" s="71" t="str">
        <f aca="false">IF(D17&gt;=B17,"✓ Met",IF(D17&gt;=B17*0.5,"⚠ Partial","✗ Gap"))</f>
        <v>⚠ Partial</v>
      </c>
      <c r="G17" s="129" t="s">
        <v>1431</v>
      </c>
      <c r="H17" s="221" t="s">
        <v>1432</v>
      </c>
      <c r="I17" s="280" t="s">
        <v>1433</v>
      </c>
    </row>
    <row r="18" customFormat="false" ht="12" hidden="false" customHeight="true" outlineLevel="0" collapsed="false">
      <c r="A18" s="286" t="s">
        <v>1434</v>
      </c>
      <c r="B18" s="286"/>
      <c r="C18" s="286"/>
      <c r="D18" s="286"/>
      <c r="E18" s="286"/>
      <c r="F18" s="286"/>
      <c r="G18" s="286"/>
      <c r="H18" s="286"/>
      <c r="I18" s="280"/>
    </row>
    <row r="19" customFormat="false" ht="36" hidden="false" customHeight="true" outlineLevel="0" collapsed="false">
      <c r="A19" s="287" t="s">
        <v>1435</v>
      </c>
      <c r="B19" s="69" t="s">
        <v>760</v>
      </c>
      <c r="C19" s="281" t="n">
        <f aca="false">G_Data!F20*8/5</f>
        <v>8</v>
      </c>
      <c r="D19" s="277" t="n">
        <f aca="false">MIN(C19,B19)</f>
        <v>8</v>
      </c>
      <c r="E19" s="94" t="s">
        <v>31</v>
      </c>
      <c r="F19" s="71" t="str">
        <f aca="false">IF(D19&gt;=B19,"✓ Met",IF(D19&gt;=B19*0.5,"⚠ Partial","✗ Gap"))</f>
        <v>⚠ Partial</v>
      </c>
      <c r="G19" s="129" t="s">
        <v>1436</v>
      </c>
      <c r="H19" s="221" t="s">
        <v>1437</v>
      </c>
      <c r="I19" s="280" t="s">
        <v>1438</v>
      </c>
    </row>
    <row r="20" customFormat="false" ht="36" hidden="false" customHeight="true" outlineLevel="0" collapsed="false">
      <c r="A20" s="287" t="s">
        <v>1439</v>
      </c>
      <c r="B20" s="69" t="s">
        <v>1213</v>
      </c>
      <c r="C20" s="281" t="n">
        <f aca="false">G_Data!F19</f>
        <v>0</v>
      </c>
      <c r="D20" s="277" t="n">
        <f aca="false">MIN(C20,B20)</f>
        <v>0</v>
      </c>
      <c r="E20" s="94" t="s">
        <v>31</v>
      </c>
      <c r="F20" s="71" t="str">
        <f aca="false">IF(D20&gt;=B20,"✓ Met",IF(D20&gt;=B20*0.5,"⚠ Partial","✗ Gap"))</f>
        <v>✗ Gap</v>
      </c>
      <c r="G20" s="129" t="s">
        <v>1440</v>
      </c>
      <c r="H20" s="221" t="s">
        <v>1441</v>
      </c>
      <c r="I20" s="280" t="s">
        <v>1442</v>
      </c>
    </row>
    <row r="21" customFormat="false" ht="12" hidden="false" customHeight="true" outlineLevel="0" collapsed="false">
      <c r="A21" s="286" t="s">
        <v>1443</v>
      </c>
      <c r="B21" s="286"/>
      <c r="C21" s="286"/>
      <c r="D21" s="286"/>
      <c r="E21" s="286"/>
      <c r="F21" s="286"/>
      <c r="G21" s="286"/>
      <c r="H21" s="286"/>
      <c r="I21" s="280"/>
    </row>
    <row r="22" customFormat="false" ht="36" hidden="false" customHeight="true" outlineLevel="0" collapsed="false">
      <c r="A22" s="287" t="s">
        <v>1444</v>
      </c>
      <c r="B22" s="69" t="s">
        <v>755</v>
      </c>
      <c r="C22" s="281" t="n">
        <f aca="false">(G_Data!F15+G_Data!F16)/2*4/5</f>
        <v>4</v>
      </c>
      <c r="D22" s="277" t="n">
        <f aca="false">MIN(C22,B22)</f>
        <v>4</v>
      </c>
      <c r="E22" s="94" t="s">
        <v>31</v>
      </c>
      <c r="F22" s="71" t="str">
        <f aca="false">IF(D22&gt;=B22,"✓ Met",IF(D22&gt;=B22*0.5,"⚠ Partial","✗ Gap"))</f>
        <v>⚠ Partial</v>
      </c>
      <c r="G22" s="129" t="s">
        <v>1445</v>
      </c>
      <c r="H22" s="221" t="s">
        <v>1446</v>
      </c>
      <c r="I22" s="280" t="s">
        <v>1447</v>
      </c>
    </row>
    <row r="23" customFormat="false" ht="12" hidden="false" customHeight="true" outlineLevel="0" collapsed="false">
      <c r="A23" s="286" t="s">
        <v>1448</v>
      </c>
      <c r="B23" s="286"/>
      <c r="C23" s="286"/>
      <c r="D23" s="286"/>
      <c r="E23" s="286"/>
      <c r="F23" s="286"/>
      <c r="G23" s="286"/>
      <c r="H23" s="286"/>
      <c r="I23" s="280"/>
    </row>
    <row r="24" customFormat="false" ht="36" hidden="false" customHeight="true" outlineLevel="0" collapsed="false">
      <c r="A24" s="287" t="s">
        <v>1449</v>
      </c>
      <c r="B24" s="69" t="s">
        <v>1213</v>
      </c>
      <c r="C24" s="281" t="n">
        <f aca="false">G_Data!F21</f>
        <v>2.5</v>
      </c>
      <c r="D24" s="277" t="n">
        <f aca="false">MIN(C24,B24)</f>
        <v>2.5</v>
      </c>
      <c r="E24" s="94" t="s">
        <v>53</v>
      </c>
      <c r="F24" s="71" t="str">
        <f aca="false">IF(D24&gt;=B24,"✓ Met",IF(D24&gt;=B24*0.5,"⚠ Partial","✗ Gap"))</f>
        <v>⚠ Partial</v>
      </c>
      <c r="G24" s="129" t="s">
        <v>1450</v>
      </c>
      <c r="H24" s="221" t="s">
        <v>1451</v>
      </c>
      <c r="I24" s="280" t="s">
        <v>1452</v>
      </c>
    </row>
    <row r="25" customFormat="false" ht="36" hidden="false" customHeight="true" outlineLevel="0" collapsed="false">
      <c r="A25" s="287" t="s">
        <v>1453</v>
      </c>
      <c r="B25" s="69" t="s">
        <v>1213</v>
      </c>
      <c r="C25" s="281" t="n">
        <f aca="false">IF(G_Data!B25="",5,IF(G_Data!B25=0,5,0))</f>
        <v>5</v>
      </c>
      <c r="D25" s="277" t="n">
        <f aca="false">MIN(C25,B25)</f>
        <v>5</v>
      </c>
      <c r="E25" s="94" t="s">
        <v>31</v>
      </c>
      <c r="F25" s="71" t="str">
        <f aca="false">IF(D25&gt;=B25,"✓ Met",IF(D25&gt;=B25*0.5,"⚠ Partial","✗ Gap"))</f>
        <v>⚠ Partial</v>
      </c>
      <c r="G25" s="129" t="s">
        <v>1454</v>
      </c>
      <c r="H25" s="221" t="s">
        <v>1455</v>
      </c>
      <c r="I25" s="280" t="s">
        <v>1456</v>
      </c>
    </row>
    <row r="26" customFormat="false" ht="18" hidden="false" customHeight="true" outlineLevel="0" collapsed="false">
      <c r="A26" s="289" t="s">
        <v>1457</v>
      </c>
      <c r="B26" s="289"/>
      <c r="C26" s="289"/>
      <c r="D26" s="277" t="n">
        <f aca="false">SUM(D5,D6,D7,D9,D10,D12,D14,D16,D17,D19,D20,D22,D24,D25)</f>
        <v>64.8529411764706</v>
      </c>
    </row>
  </sheetData>
  <mergeCells count="10">
    <mergeCell ref="A1:H1"/>
    <mergeCell ref="A4:H4"/>
    <mergeCell ref="A8:H8"/>
    <mergeCell ref="A11:H11"/>
    <mergeCell ref="A13:H13"/>
    <mergeCell ref="A15:H15"/>
    <mergeCell ref="A18:H18"/>
    <mergeCell ref="A21:H21"/>
    <mergeCell ref="A23:H23"/>
    <mergeCell ref="A26:C26"/>
  </mergeCells>
  <conditionalFormatting sqref="F4:F30">
    <cfRule type="expression" priority="2" aboveAverage="0" equalAverage="0" bottom="0" percent="0" rank="0" text="" dxfId="0">
      <formula>ISNUMBER(SEARCH("Met",F4))</formula>
    </cfRule>
    <cfRule type="expression" priority="3" aboveAverage="0" equalAverage="0" bottom="0" percent="0" rank="0" text="" dxfId="1">
      <formula>ISNUMBER(SEARCH("Partial",F4))</formula>
    </cfRule>
    <cfRule type="expression" priority="4" aboveAverage="0" equalAverage="0" bottom="0" percent="0" rank="0" text="" dxfId="2">
      <formula>ISNUMBER(SEARCH("Gap",F4))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48C"/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9" min="8" style="1" width="20"/>
  </cols>
  <sheetData>
    <row r="1" customFormat="false" ht="21.75" hidden="false" customHeight="true" outlineLevel="0" collapsed="false">
      <c r="A1" s="256" t="s">
        <v>1458</v>
      </c>
      <c r="B1" s="256"/>
      <c r="C1" s="256"/>
      <c r="D1" s="256"/>
      <c r="E1" s="256"/>
      <c r="F1" s="256"/>
      <c r="G1" s="256"/>
      <c r="H1" s="256"/>
      <c r="I1" s="256"/>
    </row>
    <row r="3" customFormat="false" ht="31.5" hidden="false" customHeight="true" outlineLevel="0" collapsed="false">
      <c r="A3" s="258" t="s">
        <v>1459</v>
      </c>
      <c r="B3" s="258" t="s">
        <v>1460</v>
      </c>
      <c r="C3" s="258" t="s">
        <v>1461</v>
      </c>
      <c r="D3" s="258" t="s">
        <v>811</v>
      </c>
      <c r="E3" s="258" t="s">
        <v>1462</v>
      </c>
      <c r="F3" s="258" t="s">
        <v>1463</v>
      </c>
      <c r="G3" s="258" t="s">
        <v>1464</v>
      </c>
      <c r="H3" s="258" t="s">
        <v>1465</v>
      </c>
      <c r="I3" s="258" t="s">
        <v>1466</v>
      </c>
    </row>
    <row r="4" customFormat="false" ht="39.75" hidden="false" customHeight="true" outlineLevel="0" collapsed="false">
      <c r="A4" s="69" t="s">
        <v>762</v>
      </c>
      <c r="B4" s="287" t="s">
        <v>1467</v>
      </c>
      <c r="C4" s="180" t="s">
        <v>1468</v>
      </c>
      <c r="D4" s="212" t="n">
        <v>8</v>
      </c>
      <c r="E4" s="251" t="n">
        <f aca="false">IF(C4="Applied",10,IF(C4="Explained",7,IF(C4="Partially Applied",5,0)))</f>
        <v>10</v>
      </c>
      <c r="F4" s="272" t="n">
        <f aca="false">E4*D4/10</f>
        <v>8</v>
      </c>
      <c r="G4" s="221" t="s">
        <v>1469</v>
      </c>
      <c r="H4" s="180" t="s">
        <v>1470</v>
      </c>
      <c r="I4" s="180" t="s">
        <v>1471</v>
      </c>
    </row>
    <row r="5" customFormat="false" ht="39.75" hidden="false" customHeight="true" outlineLevel="0" collapsed="false">
      <c r="A5" s="69" t="s">
        <v>752</v>
      </c>
      <c r="B5" s="287" t="s">
        <v>1472</v>
      </c>
      <c r="C5" s="180" t="s">
        <v>1468</v>
      </c>
      <c r="D5" s="212" t="n">
        <v>6</v>
      </c>
      <c r="E5" s="251" t="n">
        <f aca="false">IF(C5="Applied",10,IF(C5="Explained",7,IF(C5="Partially Applied",5,0)))</f>
        <v>10</v>
      </c>
      <c r="F5" s="272" t="n">
        <f aca="false">E5*D5/10</f>
        <v>6</v>
      </c>
      <c r="G5" s="221" t="s">
        <v>1473</v>
      </c>
      <c r="H5" s="180" t="s">
        <v>1474</v>
      </c>
      <c r="I5" s="180" t="s">
        <v>1475</v>
      </c>
    </row>
    <row r="6" customFormat="false" ht="39.75" hidden="false" customHeight="true" outlineLevel="0" collapsed="false">
      <c r="A6" s="69" t="s">
        <v>757</v>
      </c>
      <c r="B6" s="287" t="s">
        <v>1476</v>
      </c>
      <c r="C6" s="180" t="s">
        <v>1477</v>
      </c>
      <c r="D6" s="212" t="n">
        <v>6</v>
      </c>
      <c r="E6" s="251" t="n">
        <f aca="false">IF(C6="Applied",10,IF(C6="Explained",7,IF(C6="Partially Applied",5,0)))</f>
        <v>7</v>
      </c>
      <c r="F6" s="272" t="n">
        <f aca="false">E6*D6/10</f>
        <v>4.2</v>
      </c>
      <c r="G6" s="221" t="s">
        <v>1478</v>
      </c>
      <c r="H6" s="180" t="s">
        <v>1479</v>
      </c>
      <c r="I6" s="180" t="s">
        <v>1480</v>
      </c>
    </row>
    <row r="7" customFormat="false" ht="39.75" hidden="false" customHeight="true" outlineLevel="0" collapsed="false">
      <c r="A7" s="69" t="s">
        <v>755</v>
      </c>
      <c r="B7" s="287" t="s">
        <v>1481</v>
      </c>
      <c r="C7" s="180" t="s">
        <v>1477</v>
      </c>
      <c r="D7" s="212" t="n">
        <v>6</v>
      </c>
      <c r="E7" s="251" t="n">
        <f aca="false">IF(C7="Applied",10,IF(C7="Explained",7,IF(C7="Partially Applied",5,0)))</f>
        <v>7</v>
      </c>
      <c r="F7" s="272" t="n">
        <f aca="false">E7*D7/10</f>
        <v>4.2</v>
      </c>
      <c r="G7" s="221" t="s">
        <v>1482</v>
      </c>
      <c r="H7" s="180" t="s">
        <v>1483</v>
      </c>
      <c r="I7" s="180" t="s">
        <v>1484</v>
      </c>
    </row>
    <row r="8" customFormat="false" ht="39.75" hidden="false" customHeight="true" outlineLevel="0" collapsed="false">
      <c r="A8" s="69" t="s">
        <v>1213</v>
      </c>
      <c r="B8" s="287" t="s">
        <v>1485</v>
      </c>
      <c r="C8" s="180" t="s">
        <v>1486</v>
      </c>
      <c r="D8" s="212" t="n">
        <v>8</v>
      </c>
      <c r="E8" s="251" t="n">
        <f aca="false">IF(C8="Applied",10,IF(C8="Explained",7,IF(C8="Partially Applied",5,0)))</f>
        <v>5</v>
      </c>
      <c r="F8" s="272" t="n">
        <f aca="false">E8*D8/10</f>
        <v>4</v>
      </c>
      <c r="G8" s="221" t="s">
        <v>1487</v>
      </c>
      <c r="H8" s="180" t="s">
        <v>1488</v>
      </c>
      <c r="I8" s="180" t="s">
        <v>1489</v>
      </c>
    </row>
    <row r="9" customFormat="false" ht="39.75" hidden="false" customHeight="true" outlineLevel="0" collapsed="false">
      <c r="A9" s="69" t="s">
        <v>761</v>
      </c>
      <c r="B9" s="287" t="s">
        <v>1490</v>
      </c>
      <c r="C9" s="180" t="s">
        <v>1477</v>
      </c>
      <c r="D9" s="212" t="n">
        <v>6</v>
      </c>
      <c r="E9" s="251" t="n">
        <f aca="false">IF(C9="Applied",10,IF(C9="Explained",7,IF(C9="Partially Applied",5,0)))</f>
        <v>7</v>
      </c>
      <c r="F9" s="272" t="n">
        <f aca="false">E9*D9/10</f>
        <v>4.2</v>
      </c>
      <c r="G9" s="221" t="s">
        <v>1491</v>
      </c>
      <c r="H9" s="180" t="s">
        <v>1492</v>
      </c>
      <c r="I9" s="180" t="s">
        <v>1493</v>
      </c>
    </row>
    <row r="10" customFormat="false" ht="39.75" hidden="false" customHeight="true" outlineLevel="0" collapsed="false">
      <c r="A10" s="69" t="s">
        <v>753</v>
      </c>
      <c r="B10" s="287" t="s">
        <v>1494</v>
      </c>
      <c r="C10" s="180" t="s">
        <v>1468</v>
      </c>
      <c r="D10" s="212" t="n">
        <v>6</v>
      </c>
      <c r="E10" s="251" t="n">
        <f aca="false">IF(C10="Applied",10,IF(C10="Explained",7,IF(C10="Partially Applied",5,0)))</f>
        <v>10</v>
      </c>
      <c r="F10" s="272" t="n">
        <f aca="false">E10*D10/10</f>
        <v>6</v>
      </c>
      <c r="G10" s="221" t="s">
        <v>1495</v>
      </c>
      <c r="H10" s="180" t="s">
        <v>1496</v>
      </c>
      <c r="I10" s="180" t="s">
        <v>1497</v>
      </c>
    </row>
    <row r="11" customFormat="false" ht="39.75" hidden="false" customHeight="true" outlineLevel="0" collapsed="false">
      <c r="A11" s="69" t="s">
        <v>760</v>
      </c>
      <c r="B11" s="287" t="s">
        <v>1498</v>
      </c>
      <c r="C11" s="180" t="s">
        <v>1468</v>
      </c>
      <c r="D11" s="212" t="n">
        <v>8</v>
      </c>
      <c r="E11" s="251" t="n">
        <f aca="false">IF(C11="Applied",10,IF(C11="Explained",7,IF(C11="Partially Applied",5,0)))</f>
        <v>10</v>
      </c>
      <c r="F11" s="272" t="n">
        <f aca="false">E11*D11/10</f>
        <v>8</v>
      </c>
      <c r="G11" s="221" t="s">
        <v>1499</v>
      </c>
      <c r="H11" s="180" t="s">
        <v>1500</v>
      </c>
      <c r="I11" s="180" t="s">
        <v>1501</v>
      </c>
    </row>
    <row r="12" customFormat="false" ht="39.75" hidden="false" customHeight="true" outlineLevel="0" collapsed="false">
      <c r="A12" s="69" t="s">
        <v>1502</v>
      </c>
      <c r="B12" s="287" t="s">
        <v>1503</v>
      </c>
      <c r="C12" s="180" t="s">
        <v>1468</v>
      </c>
      <c r="D12" s="212" t="n">
        <v>6</v>
      </c>
      <c r="E12" s="251" t="n">
        <f aca="false">IF(C12="Applied",10,IF(C12="Explained",7,IF(C12="Partially Applied",5,0)))</f>
        <v>10</v>
      </c>
      <c r="F12" s="272" t="n">
        <f aca="false">E12*D12/10</f>
        <v>6</v>
      </c>
      <c r="G12" s="221" t="s">
        <v>1504</v>
      </c>
      <c r="H12" s="180" t="s">
        <v>1505</v>
      </c>
      <c r="I12" s="180" t="s">
        <v>1506</v>
      </c>
    </row>
    <row r="13" customFormat="false" ht="39.75" hidden="false" customHeight="true" outlineLevel="0" collapsed="false">
      <c r="A13" s="69" t="s">
        <v>1219</v>
      </c>
      <c r="B13" s="287" t="s">
        <v>1507</v>
      </c>
      <c r="C13" s="180" t="s">
        <v>1486</v>
      </c>
      <c r="D13" s="212" t="n">
        <v>8</v>
      </c>
      <c r="E13" s="251" t="n">
        <f aca="false">IF(C13="Applied",10,IF(C13="Explained",7,IF(C13="Partially Applied",5,0)))</f>
        <v>5</v>
      </c>
      <c r="F13" s="272" t="n">
        <f aca="false">E13*D13/10</f>
        <v>4</v>
      </c>
      <c r="G13" s="221" t="s">
        <v>1508</v>
      </c>
      <c r="H13" s="180" t="s">
        <v>1509</v>
      </c>
      <c r="I13" s="180" t="s">
        <v>1510</v>
      </c>
    </row>
    <row r="14" customFormat="false" ht="39.75" hidden="false" customHeight="true" outlineLevel="0" collapsed="false">
      <c r="A14" s="69" t="s">
        <v>765</v>
      </c>
      <c r="B14" s="287" t="s">
        <v>1511</v>
      </c>
      <c r="C14" s="180" t="s">
        <v>1486</v>
      </c>
      <c r="D14" s="212" t="n">
        <v>6</v>
      </c>
      <c r="E14" s="251" t="n">
        <f aca="false">IF(C14="Applied",10,IF(C14="Explained",7,IF(C14="Partially Applied",5,0)))</f>
        <v>5</v>
      </c>
      <c r="F14" s="272" t="n">
        <f aca="false">E14*D14/10</f>
        <v>3</v>
      </c>
      <c r="G14" s="221" t="s">
        <v>1512</v>
      </c>
      <c r="H14" s="180" t="s">
        <v>1513</v>
      </c>
      <c r="I14" s="180" t="s">
        <v>1514</v>
      </c>
    </row>
    <row r="15" customFormat="false" ht="39.75" hidden="false" customHeight="true" outlineLevel="0" collapsed="false">
      <c r="A15" s="69" t="s">
        <v>764</v>
      </c>
      <c r="B15" s="287" t="s">
        <v>1515</v>
      </c>
      <c r="C15" s="180" t="s">
        <v>1468</v>
      </c>
      <c r="D15" s="212" t="n">
        <v>8</v>
      </c>
      <c r="E15" s="251" t="n">
        <f aca="false">IF(C15="Applied",10,IF(C15="Explained",7,IF(C15="Partially Applied",5,0)))</f>
        <v>10</v>
      </c>
      <c r="F15" s="272" t="n">
        <f aca="false">E15*D15/10</f>
        <v>8</v>
      </c>
      <c r="G15" s="221" t="s">
        <v>1516</v>
      </c>
      <c r="H15" s="180" t="s">
        <v>1517</v>
      </c>
      <c r="I15" s="180" t="s">
        <v>1518</v>
      </c>
    </row>
    <row r="16" customFormat="false" ht="39.75" hidden="false" customHeight="true" outlineLevel="0" collapsed="false">
      <c r="A16" s="69" t="s">
        <v>770</v>
      </c>
      <c r="B16" s="287" t="s">
        <v>1519</v>
      </c>
      <c r="C16" s="180" t="s">
        <v>1477</v>
      </c>
      <c r="D16" s="212" t="n">
        <v>6</v>
      </c>
      <c r="E16" s="251" t="n">
        <f aca="false">IF(C16="Applied",10,IF(C16="Explained",7,IF(C16="Partially Applied",5,0)))</f>
        <v>7</v>
      </c>
      <c r="F16" s="272" t="n">
        <f aca="false">E16*D16/10</f>
        <v>4.2</v>
      </c>
      <c r="G16" s="221" t="s">
        <v>1520</v>
      </c>
      <c r="H16" s="180" t="s">
        <v>1521</v>
      </c>
      <c r="I16" s="180" t="s">
        <v>1522</v>
      </c>
    </row>
    <row r="17" customFormat="false" ht="39.75" hidden="false" customHeight="true" outlineLevel="0" collapsed="false">
      <c r="A17" s="69" t="s">
        <v>756</v>
      </c>
      <c r="B17" s="287" t="s">
        <v>1523</v>
      </c>
      <c r="C17" s="180" t="s">
        <v>1477</v>
      </c>
      <c r="D17" s="212" t="n">
        <v>6</v>
      </c>
      <c r="E17" s="251" t="n">
        <f aca="false">IF(C17="Applied",10,IF(C17="Explained",7,IF(C17="Partially Applied",5,0)))</f>
        <v>7</v>
      </c>
      <c r="F17" s="272" t="n">
        <f aca="false">E17*D17/10</f>
        <v>4.2</v>
      </c>
      <c r="G17" s="221" t="s">
        <v>1524</v>
      </c>
      <c r="H17" s="180" t="s">
        <v>1525</v>
      </c>
      <c r="I17" s="180" t="s">
        <v>1526</v>
      </c>
    </row>
    <row r="18" customFormat="false" ht="39.75" hidden="false" customHeight="true" outlineLevel="0" collapsed="false">
      <c r="A18" s="69" t="s">
        <v>1527</v>
      </c>
      <c r="B18" s="287" t="s">
        <v>1528</v>
      </c>
      <c r="C18" s="180" t="s">
        <v>1468</v>
      </c>
      <c r="D18" s="212" t="n">
        <v>6</v>
      </c>
      <c r="E18" s="251" t="n">
        <f aca="false">IF(C18="Applied",10,IF(C18="Explained",7,IF(C18="Partially Applied",5,0)))</f>
        <v>10</v>
      </c>
      <c r="F18" s="272" t="n">
        <f aca="false">E18*D18/10</f>
        <v>6</v>
      </c>
      <c r="G18" s="221" t="s">
        <v>1529</v>
      </c>
      <c r="H18" s="180" t="s">
        <v>1530</v>
      </c>
      <c r="I18" s="180" t="s">
        <v>1531</v>
      </c>
    </row>
    <row r="19" customFormat="false" ht="39.75" hidden="false" customHeight="true" outlineLevel="0" collapsed="false">
      <c r="A19" s="69" t="s">
        <v>751</v>
      </c>
      <c r="B19" s="287" t="s">
        <v>1532</v>
      </c>
      <c r="C19" s="180" t="s">
        <v>1486</v>
      </c>
      <c r="D19" s="212" t="n">
        <v>6</v>
      </c>
      <c r="E19" s="251" t="n">
        <f aca="false">IF(C19="Applied",10,IF(C19="Explained",7,IF(C19="Partially Applied",5,0)))</f>
        <v>5</v>
      </c>
      <c r="F19" s="272" t="n">
        <f aca="false">E19*D19/10</f>
        <v>3</v>
      </c>
      <c r="G19" s="221" t="s">
        <v>1533</v>
      </c>
      <c r="H19" s="180" t="s">
        <v>1534</v>
      </c>
      <c r="I19" s="180" t="s">
        <v>1535</v>
      </c>
    </row>
    <row r="20" customFormat="false" ht="39.75" hidden="false" customHeight="true" outlineLevel="0" collapsed="false">
      <c r="A20" s="69" t="s">
        <v>1536</v>
      </c>
      <c r="B20" s="287" t="s">
        <v>1537</v>
      </c>
      <c r="C20" s="180" t="s">
        <v>1468</v>
      </c>
      <c r="D20" s="212" t="n">
        <v>4</v>
      </c>
      <c r="E20" s="251" t="n">
        <f aca="false">IF(C20="Applied",10,IF(C20="Explained",7,IF(C20="Partially Applied",5,0)))</f>
        <v>10</v>
      </c>
      <c r="F20" s="272" t="n">
        <f aca="false">E20*D20/10</f>
        <v>4</v>
      </c>
      <c r="G20" s="221" t="s">
        <v>1538</v>
      </c>
      <c r="H20" s="180" t="s">
        <v>1539</v>
      </c>
      <c r="I20" s="180" t="s">
        <v>1540</v>
      </c>
    </row>
    <row r="21" customFormat="false" ht="19.5" hidden="false" customHeight="true" outlineLevel="0" collapsed="false">
      <c r="A21" s="289" t="s">
        <v>1541</v>
      </c>
      <c r="B21" s="289"/>
      <c r="C21" s="289"/>
      <c r="D21" s="289"/>
      <c r="E21" s="277" t="n">
        <f aca="false">SUM(E4,E5,E6,E7,E8,E9,E10,E11,E12,E13,E14,E15,E16,E17,E18,E19,E20)</f>
        <v>135</v>
      </c>
      <c r="F21" s="272" t="n">
        <f aca="false">SUM(F4,F5,F6,F7,F8,F9,F10,F11,F12,F13,F14,F15,F16,F17,F18,F19,F20)</f>
        <v>87</v>
      </c>
      <c r="G21" s="264" t="s">
        <v>1542</v>
      </c>
    </row>
    <row r="22" customFormat="false" ht="15" hidden="false" customHeight="true" outlineLevel="0" collapsed="false">
      <c r="E22" s="70" t="n">
        <f aca="false">IFERROR(E21/170,0)</f>
        <v>0.794117647058824</v>
      </c>
      <c r="F22" s="274" t="str">
        <f aca="false">IF(F21&gt;=120,"Excellent",IF(F21&gt;=90,"Good",IF(F21&gt;=60,"Adequate","Needs Attention")))</f>
        <v>Adequate</v>
      </c>
    </row>
  </sheetData>
  <mergeCells count="2">
    <mergeCell ref="A1:I1"/>
    <mergeCell ref="A21:D21"/>
  </mergeCells>
  <dataValidations count="17">
    <dataValidation allowBlank="true" errorStyle="stop" operator="between" showDropDown="false" showErrorMessage="false" showInputMessage="false" sqref="C4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5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6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7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8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9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0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1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2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3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4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5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6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7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8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19" type="list">
      <formula1>"Applied,Explained,Partially Applied,Not Applied"</formula1>
      <formula2>0</formula2>
    </dataValidation>
    <dataValidation allowBlank="true" errorStyle="stop" operator="between" showDropDown="false" showErrorMessage="false" showInputMessage="false" sqref="C20" type="list">
      <formula1>"Applied,Explained,Partially Applied,Not Applied"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565A7"/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5" min="4" style="1" width="10"/>
    <col collapsed="false" customWidth="true" hidden="false" outlineLevel="0" max="6" min="6" style="1" width="18"/>
    <col collapsed="false" customWidth="true" hidden="false" outlineLevel="0" max="7" min="7" style="1" width="24"/>
    <col collapsed="false" customWidth="true" hidden="false" outlineLevel="0" max="8" min="8" style="1" width="20"/>
  </cols>
  <sheetData>
    <row r="1" customFormat="false" ht="21.75" hidden="false" customHeight="true" outlineLevel="0" collapsed="false">
      <c r="A1" s="228" t="s">
        <v>1543</v>
      </c>
      <c r="B1" s="228"/>
      <c r="C1" s="228"/>
      <c r="D1" s="228"/>
      <c r="E1" s="228"/>
      <c r="F1" s="228"/>
      <c r="G1" s="228"/>
      <c r="H1" s="228"/>
    </row>
    <row r="3" customFormat="false" ht="13.5" hidden="false" customHeight="true" outlineLevel="0" collapsed="false">
      <c r="A3" s="122" t="s">
        <v>1544</v>
      </c>
      <c r="B3" s="122"/>
      <c r="C3" s="122"/>
      <c r="D3" s="122"/>
      <c r="E3" s="122"/>
      <c r="F3" s="122"/>
      <c r="G3" s="122"/>
      <c r="H3" s="122"/>
    </row>
    <row r="4" customFormat="false" ht="13.5" hidden="false" customHeight="true" outlineLevel="0" collapsed="false">
      <c r="B4" s="290" t="s">
        <v>1545</v>
      </c>
      <c r="C4" s="125" t="s">
        <v>511</v>
      </c>
      <c r="D4" s="125" t="s">
        <v>520</v>
      </c>
      <c r="E4" s="125" t="s">
        <v>1007</v>
      </c>
      <c r="F4" s="229" t="s">
        <v>1208</v>
      </c>
      <c r="G4" s="229" t="s">
        <v>1465</v>
      </c>
      <c r="H4" s="229" t="s">
        <v>1466</v>
      </c>
    </row>
    <row r="5" customFormat="false" ht="36" hidden="false" customHeight="true" outlineLevel="0" collapsed="false">
      <c r="B5" s="126" t="s">
        <v>1546</v>
      </c>
      <c r="C5" s="99" t="s">
        <v>282</v>
      </c>
      <c r="D5" s="180" t="s">
        <v>1547</v>
      </c>
      <c r="E5" s="251" t="n">
        <f aca="false">IF(D5="Disclosed",5,IF(D5="Partially Disclosed",3,IF(D5="N/A",5,0)))</f>
        <v>3</v>
      </c>
      <c r="F5" s="94" t="s">
        <v>1548</v>
      </c>
      <c r="G5" s="129" t="s">
        <v>1549</v>
      </c>
      <c r="H5" s="129" t="s">
        <v>1550</v>
      </c>
    </row>
    <row r="6" customFormat="false" ht="36" hidden="false" customHeight="true" outlineLevel="0" collapsed="false">
      <c r="B6" s="126" t="s">
        <v>1551</v>
      </c>
      <c r="C6" s="99" t="s">
        <v>282</v>
      </c>
      <c r="D6" s="180" t="s">
        <v>1552</v>
      </c>
      <c r="E6" s="251" t="n">
        <f aca="false">IF(D6="Disclosed",5,IF(D6="Partially Disclosed",3,IF(D6="N/A",5,0)))</f>
        <v>0</v>
      </c>
      <c r="F6" s="94" t="s">
        <v>31</v>
      </c>
      <c r="G6" s="129" t="s">
        <v>1553</v>
      </c>
      <c r="H6" s="129" t="s">
        <v>1554</v>
      </c>
    </row>
    <row r="7" customFormat="false" ht="36" hidden="false" customHeight="true" outlineLevel="0" collapsed="false">
      <c r="B7" s="126" t="s">
        <v>1555</v>
      </c>
      <c r="C7" s="99" t="s">
        <v>1556</v>
      </c>
      <c r="D7" s="180" t="s">
        <v>1547</v>
      </c>
      <c r="E7" s="251" t="n">
        <f aca="false">IF(D7="Disclosed",5,IF(D7="Partially Disclosed",3,IF(D7="N/A",5,0)))</f>
        <v>3</v>
      </c>
      <c r="F7" s="94" t="s">
        <v>1557</v>
      </c>
      <c r="G7" s="129" t="s">
        <v>1558</v>
      </c>
      <c r="H7" s="129" t="s">
        <v>1559</v>
      </c>
    </row>
    <row r="8" customFormat="false" ht="36" hidden="false" customHeight="true" outlineLevel="0" collapsed="false">
      <c r="B8" s="126" t="s">
        <v>1560</v>
      </c>
      <c r="C8" s="99" t="s">
        <v>1556</v>
      </c>
      <c r="D8" s="180" t="s">
        <v>1547</v>
      </c>
      <c r="E8" s="251" t="n">
        <f aca="false">IF(D8="Disclosed",5,IF(D8="Partially Disclosed",3,IF(D8="N/A",5,0)))</f>
        <v>3</v>
      </c>
      <c r="F8" s="94" t="s">
        <v>1561</v>
      </c>
      <c r="G8" s="129" t="s">
        <v>1562</v>
      </c>
      <c r="H8" s="129" t="s">
        <v>1563</v>
      </c>
    </row>
    <row r="9" customFormat="false" ht="36" hidden="false" customHeight="true" outlineLevel="0" collapsed="false">
      <c r="B9" s="126" t="s">
        <v>1564</v>
      </c>
      <c r="C9" s="99" t="s">
        <v>1556</v>
      </c>
      <c r="D9" s="180" t="s">
        <v>1552</v>
      </c>
      <c r="E9" s="251" t="n">
        <f aca="false">IF(D9="Disclosed",5,IF(D9="Partially Disclosed",3,IF(D9="N/A",5,0)))</f>
        <v>0</v>
      </c>
      <c r="F9" s="94" t="s">
        <v>57</v>
      </c>
      <c r="G9" s="129" t="s">
        <v>1565</v>
      </c>
      <c r="H9" s="129" t="s">
        <v>1566</v>
      </c>
    </row>
    <row r="10" customFormat="false" ht="36" hidden="false" customHeight="true" outlineLevel="0" collapsed="false">
      <c r="B10" s="126" t="s">
        <v>1567</v>
      </c>
      <c r="C10" s="99" t="s">
        <v>1568</v>
      </c>
      <c r="D10" s="180" t="s">
        <v>1547</v>
      </c>
      <c r="E10" s="251" t="n">
        <f aca="false">IF(D10="Disclosed",5,IF(D10="Partially Disclosed",3,IF(D10="N/A",5,0)))</f>
        <v>3</v>
      </c>
      <c r="F10" s="94" t="s">
        <v>31</v>
      </c>
      <c r="G10" s="129" t="s">
        <v>1569</v>
      </c>
      <c r="H10" s="129" t="s">
        <v>1570</v>
      </c>
    </row>
    <row r="11" customFormat="false" ht="36" hidden="false" customHeight="true" outlineLevel="0" collapsed="false">
      <c r="B11" s="126" t="s">
        <v>1571</v>
      </c>
      <c r="C11" s="99" t="s">
        <v>1568</v>
      </c>
      <c r="D11" s="180" t="s">
        <v>1547</v>
      </c>
      <c r="E11" s="251" t="n">
        <f aca="false">IF(D11="Disclosed",5,IF(D11="Partially Disclosed",3,IF(D11="N/A",5,0)))</f>
        <v>3</v>
      </c>
      <c r="F11" s="94" t="s">
        <v>31</v>
      </c>
      <c r="G11" s="129" t="s">
        <v>1572</v>
      </c>
      <c r="H11" s="129" t="s">
        <v>1573</v>
      </c>
    </row>
    <row r="12" customFormat="false" ht="36" hidden="false" customHeight="true" outlineLevel="0" collapsed="false">
      <c r="B12" s="126" t="s">
        <v>1574</v>
      </c>
      <c r="C12" s="99" t="s">
        <v>1575</v>
      </c>
      <c r="D12" s="180"/>
      <c r="E12" s="251" t="n">
        <f aca="false">IF(D12="Disclosed",5,IF(D12="Partially Disclosed",3,IF(D12="N/A",5,0)))</f>
        <v>0</v>
      </c>
      <c r="F12" s="94" t="s">
        <v>1576</v>
      </c>
      <c r="G12" s="129" t="s">
        <v>1577</v>
      </c>
      <c r="H12" s="129"/>
    </row>
    <row r="13" customFormat="false" ht="36" hidden="false" customHeight="true" outlineLevel="0" collapsed="false">
      <c r="B13" s="126" t="s">
        <v>1578</v>
      </c>
      <c r="C13" s="99" t="s">
        <v>1575</v>
      </c>
      <c r="D13" s="180"/>
      <c r="E13" s="251" t="n">
        <f aca="false">IF(D13="Disclosed",5,IF(D13="Partially Disclosed",3,IF(D13="N/A",5,0)))</f>
        <v>0</v>
      </c>
      <c r="F13" s="94" t="s">
        <v>1579</v>
      </c>
      <c r="G13" s="129" t="s">
        <v>1580</v>
      </c>
      <c r="H13" s="129"/>
    </row>
    <row r="14" customFormat="false" ht="36" hidden="false" customHeight="true" outlineLevel="0" collapsed="false">
      <c r="B14" s="126" t="s">
        <v>1581</v>
      </c>
      <c r="C14" s="99" t="s">
        <v>1575</v>
      </c>
      <c r="D14" s="180"/>
      <c r="E14" s="251" t="n">
        <f aca="false">IF(D14="Disclosed",5,IF(D14="Partially Disclosed",3,IF(D14="N/A",5,0)))</f>
        <v>0</v>
      </c>
      <c r="F14" s="94" t="s">
        <v>1230</v>
      </c>
      <c r="G14" s="129" t="s">
        <v>1582</v>
      </c>
      <c r="H14" s="129"/>
    </row>
    <row r="15" customFormat="false" ht="36" hidden="false" customHeight="true" outlineLevel="0" collapsed="false">
      <c r="B15" s="126" t="s">
        <v>1583</v>
      </c>
      <c r="C15" s="99" t="s">
        <v>1575</v>
      </c>
      <c r="D15" s="180" t="s">
        <v>1547</v>
      </c>
      <c r="E15" s="251" t="n">
        <f aca="false">IF(D15="Disclosed",5,IF(D15="Partially Disclosed",3,IF(D15="N/A",5,0)))</f>
        <v>3</v>
      </c>
      <c r="F15" s="94" t="s">
        <v>57</v>
      </c>
      <c r="G15" s="129" t="s">
        <v>1584</v>
      </c>
      <c r="H15" s="129" t="s">
        <v>1585</v>
      </c>
    </row>
    <row r="16" customFormat="false" ht="36" hidden="false" customHeight="true" outlineLevel="0" collapsed="false">
      <c r="B16" s="126" t="s">
        <v>1586</v>
      </c>
      <c r="C16" s="99" t="s">
        <v>1575</v>
      </c>
      <c r="D16" s="180"/>
      <c r="E16" s="251" t="n">
        <f aca="false">IF(D16="Disclosed",5,IF(D16="Partially Disclosed",3,IF(D16="N/A",5,0)))</f>
        <v>0</v>
      </c>
      <c r="F16" s="94" t="s">
        <v>57</v>
      </c>
      <c r="G16" s="129" t="s">
        <v>1587</v>
      </c>
      <c r="H16" s="129"/>
    </row>
    <row r="17" customFormat="false" ht="13.5" hidden="false" customHeight="true" outlineLevel="0" collapsed="false">
      <c r="A17" s="122" t="s">
        <v>1588</v>
      </c>
      <c r="B17" s="122"/>
      <c r="C17" s="122"/>
      <c r="D17" s="122"/>
      <c r="E17" s="122"/>
      <c r="F17" s="122"/>
      <c r="G17" s="122"/>
      <c r="H17" s="122"/>
    </row>
    <row r="18" customFormat="false" ht="13.5" hidden="false" customHeight="true" outlineLevel="0" collapsed="false">
      <c r="B18" s="290" t="s">
        <v>1545</v>
      </c>
      <c r="C18" s="125" t="s">
        <v>511</v>
      </c>
      <c r="D18" s="125" t="s">
        <v>520</v>
      </c>
      <c r="E18" s="125" t="s">
        <v>1007</v>
      </c>
      <c r="F18" s="229" t="s">
        <v>1208</v>
      </c>
      <c r="G18" s="229" t="s">
        <v>1465</v>
      </c>
      <c r="H18" s="229" t="s">
        <v>1466</v>
      </c>
    </row>
    <row r="19" customFormat="false" ht="36" hidden="false" customHeight="true" outlineLevel="0" collapsed="false">
      <c r="B19" s="126" t="s">
        <v>1589</v>
      </c>
      <c r="C19" s="99" t="s">
        <v>282</v>
      </c>
      <c r="D19" s="180" t="s">
        <v>1552</v>
      </c>
      <c r="E19" s="251" t="n">
        <f aca="false">IF(D19="Disclosed",5,IF(D19="Partially Disclosed",3,IF(D19="N/A",5,0)))</f>
        <v>0</v>
      </c>
      <c r="F19" s="94" t="s">
        <v>31</v>
      </c>
      <c r="G19" s="129" t="s">
        <v>1590</v>
      </c>
      <c r="H19" s="129" t="s">
        <v>1591</v>
      </c>
    </row>
    <row r="20" customFormat="false" ht="36" hidden="false" customHeight="true" outlineLevel="0" collapsed="false">
      <c r="B20" s="126" t="s">
        <v>1592</v>
      </c>
      <c r="C20" s="99" t="s">
        <v>282</v>
      </c>
      <c r="D20" s="180" t="s">
        <v>1552</v>
      </c>
      <c r="E20" s="251" t="n">
        <f aca="false">IF(D20="Disclosed",5,IF(D20="Partially Disclosed",3,IF(D20="N/A",5,0)))</f>
        <v>0</v>
      </c>
      <c r="F20" s="94" t="s">
        <v>31</v>
      </c>
      <c r="G20" s="129" t="s">
        <v>1593</v>
      </c>
      <c r="H20" s="129" t="s">
        <v>1594</v>
      </c>
    </row>
    <row r="21" customFormat="false" ht="36" hidden="false" customHeight="true" outlineLevel="0" collapsed="false">
      <c r="B21" s="126" t="s">
        <v>1595</v>
      </c>
      <c r="C21" s="99" t="s">
        <v>1556</v>
      </c>
      <c r="D21" s="180"/>
      <c r="E21" s="251" t="n">
        <f aca="false">IF(D21="Disclosed",5,IF(D21="Partially Disclosed",3,IF(D21="N/A",5,0)))</f>
        <v>0</v>
      </c>
      <c r="F21" s="94" t="s">
        <v>1596</v>
      </c>
      <c r="G21" s="129" t="s">
        <v>1597</v>
      </c>
      <c r="H21" s="129"/>
    </row>
    <row r="22" customFormat="false" ht="36" hidden="false" customHeight="true" outlineLevel="0" collapsed="false">
      <c r="B22" s="126" t="s">
        <v>1598</v>
      </c>
      <c r="C22" s="99" t="s">
        <v>1556</v>
      </c>
      <c r="D22" s="180"/>
      <c r="E22" s="251" t="n">
        <f aca="false">IF(D22="Disclosed",5,IF(D22="Partially Disclosed",3,IF(D22="N/A",5,0)))</f>
        <v>0</v>
      </c>
      <c r="F22" s="94" t="s">
        <v>57</v>
      </c>
      <c r="G22" s="129" t="s">
        <v>1599</v>
      </c>
      <c r="H22" s="129"/>
    </row>
    <row r="23" customFormat="false" ht="36" hidden="false" customHeight="true" outlineLevel="0" collapsed="false">
      <c r="B23" s="126" t="s">
        <v>1600</v>
      </c>
      <c r="C23" s="99" t="s">
        <v>1601</v>
      </c>
      <c r="D23" s="180"/>
      <c r="E23" s="251" t="n">
        <f aca="false">IF(D23="Disclosed",5,IF(D23="Partially Disclosed",3,IF(D23="N/A",5,0)))</f>
        <v>0</v>
      </c>
      <c r="F23" s="94" t="s">
        <v>1602</v>
      </c>
      <c r="G23" s="129" t="s">
        <v>1603</v>
      </c>
      <c r="H23" s="129"/>
    </row>
    <row r="24" customFormat="false" ht="36" hidden="false" customHeight="true" outlineLevel="0" collapsed="false">
      <c r="B24" s="126" t="s">
        <v>1604</v>
      </c>
      <c r="C24" s="99" t="s">
        <v>1601</v>
      </c>
      <c r="D24" s="180"/>
      <c r="E24" s="251" t="n">
        <f aca="false">IF(D24="Disclosed",5,IF(D24="Partially Disclosed",3,IF(D24="N/A",5,0)))</f>
        <v>0</v>
      </c>
      <c r="F24" s="94" t="s">
        <v>1605</v>
      </c>
      <c r="G24" s="129" t="s">
        <v>1606</v>
      </c>
      <c r="H24" s="129"/>
    </row>
    <row r="25" customFormat="false" ht="36" hidden="false" customHeight="true" outlineLevel="0" collapsed="false">
      <c r="B25" s="126" t="s">
        <v>1607</v>
      </c>
      <c r="C25" s="99" t="s">
        <v>1601</v>
      </c>
      <c r="D25" s="180"/>
      <c r="E25" s="251" t="n">
        <f aca="false">IF(D25="Disclosed",5,IF(D25="Partially Disclosed",3,IF(D25="N/A",5,0)))</f>
        <v>0</v>
      </c>
      <c r="F25" s="94" t="s">
        <v>1608</v>
      </c>
      <c r="G25" s="129" t="s">
        <v>1609</v>
      </c>
      <c r="H25" s="129"/>
    </row>
    <row r="26" customFormat="false" ht="36" hidden="false" customHeight="true" outlineLevel="0" collapsed="false">
      <c r="B26" s="126" t="s">
        <v>1610</v>
      </c>
      <c r="C26" s="99" t="s">
        <v>1601</v>
      </c>
      <c r="D26" s="180"/>
      <c r="E26" s="251" t="n">
        <f aca="false">IF(D26="Disclosed",5,IF(D26="Partially Disclosed",3,IF(D26="N/A",5,0)))</f>
        <v>0</v>
      </c>
      <c r="F26" s="94" t="s">
        <v>1611</v>
      </c>
      <c r="G26" s="129" t="s">
        <v>1612</v>
      </c>
      <c r="H26" s="129"/>
    </row>
    <row r="27" customFormat="false" ht="36" hidden="false" customHeight="true" outlineLevel="0" collapsed="false">
      <c r="B27" s="126" t="s">
        <v>1613</v>
      </c>
      <c r="C27" s="99" t="s">
        <v>1601</v>
      </c>
      <c r="D27" s="180"/>
      <c r="E27" s="251" t="n">
        <f aca="false">IF(D27="Disclosed",5,IF(D27="Partially Disclosed",3,IF(D27="N/A",5,0)))</f>
        <v>0</v>
      </c>
      <c r="F27" s="94" t="s">
        <v>1614</v>
      </c>
      <c r="G27" s="129" t="s">
        <v>1615</v>
      </c>
      <c r="H27" s="129"/>
    </row>
    <row r="28" customFormat="false" ht="36" hidden="false" customHeight="true" outlineLevel="0" collapsed="false">
      <c r="B28" s="126" t="s">
        <v>1616</v>
      </c>
      <c r="C28" s="99" t="s">
        <v>1601</v>
      </c>
      <c r="D28" s="180"/>
      <c r="E28" s="251" t="n">
        <f aca="false">IF(D28="Disclosed",5,IF(D28="Partially Disclosed",3,IF(D28="N/A",5,0)))</f>
        <v>0</v>
      </c>
      <c r="F28" s="94" t="s">
        <v>57</v>
      </c>
      <c r="G28" s="129" t="s">
        <v>1617</v>
      </c>
      <c r="H28" s="129"/>
    </row>
    <row r="29" customFormat="false" ht="15.75" hidden="false" customHeight="true" outlineLevel="0" collapsed="false">
      <c r="A29" s="291" t="s">
        <v>1618</v>
      </c>
      <c r="B29" s="291"/>
      <c r="C29" s="291"/>
      <c r="D29" s="291"/>
      <c r="E29" s="277" t="n">
        <f aca="false">SUMIF(E5:E28,"&lt;&gt;0",E5:E28)</f>
        <v>18</v>
      </c>
    </row>
    <row r="30" customFormat="false" ht="15" hidden="false" customHeight="true" outlineLevel="0" collapsed="false">
      <c r="E30" s="70" t="n">
        <f aca="false">IFERROR(E29/110,0)</f>
        <v>0.163636363636364</v>
      </c>
    </row>
  </sheetData>
  <mergeCells count="4">
    <mergeCell ref="A1:H1"/>
    <mergeCell ref="A3:H3"/>
    <mergeCell ref="A17:H17"/>
    <mergeCell ref="A29:D29"/>
  </mergeCells>
  <dataValidations count="22">
    <dataValidation allowBlank="true" errorStyle="stop" operator="between" showDropDown="false" showErrorMessage="false" showInputMessage="false" sqref="D5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6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7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8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9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0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1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2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3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4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5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6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19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0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1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2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3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4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5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6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7" type="list">
      <formula1>"Disclosed,Partially Disclosed,Not Disclosed,N/A"</formula1>
      <formula2>0</formula2>
    </dataValidation>
    <dataValidation allowBlank="true" errorStyle="stop" operator="between" showDropDown="false" showErrorMessage="false" showInputMessage="false" sqref="D28" type="list">
      <formula1>"Disclosed,Partially Disclosed,Not Disclosed,N/A"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000"/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1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8" min="7" style="1" width="20"/>
    <col collapsed="false" customWidth="true" hidden="false" outlineLevel="0" max="9" min="9" style="1" width="14"/>
    <col collapsed="false" customWidth="true" hidden="false" outlineLevel="0" max="10" min="10" style="1" width="12"/>
    <col collapsed="false" customWidth="true" hidden="false" outlineLevel="0" max="11" min="11" style="1" width="14"/>
  </cols>
  <sheetData>
    <row r="1" customFormat="false" ht="21.75" hidden="false" customHeight="true" outlineLevel="0" collapsed="false">
      <c r="A1" s="292" t="s">
        <v>1619</v>
      </c>
      <c r="B1" s="292"/>
      <c r="C1" s="292"/>
      <c r="D1" s="292"/>
      <c r="E1" s="292"/>
      <c r="F1" s="292"/>
      <c r="G1" s="292"/>
      <c r="H1" s="292"/>
    </row>
    <row r="3" customFormat="false" ht="13.5" hidden="false" customHeight="true" outlineLevel="0" collapsed="false">
      <c r="A3" s="239" t="s">
        <v>1620</v>
      </c>
      <c r="B3" s="239"/>
      <c r="C3" s="239"/>
      <c r="D3" s="239"/>
      <c r="E3" s="239"/>
      <c r="F3" s="239"/>
      <c r="G3" s="239"/>
      <c r="H3" s="239"/>
    </row>
    <row r="4" customFormat="false" ht="13.5" hidden="false" customHeight="true" outlineLevel="0" collapsed="false">
      <c r="B4" s="293" t="s">
        <v>1621</v>
      </c>
      <c r="C4" s="240" t="s">
        <v>21</v>
      </c>
      <c r="D4" s="240" t="s">
        <v>1208</v>
      </c>
      <c r="E4" s="241" t="s">
        <v>595</v>
      </c>
      <c r="F4" s="241" t="s">
        <v>1622</v>
      </c>
      <c r="G4" s="240" t="s">
        <v>1623</v>
      </c>
      <c r="H4" s="240" t="s">
        <v>1624</v>
      </c>
      <c r="I4" s="29" t="s">
        <v>1625</v>
      </c>
      <c r="J4" s="29" t="s">
        <v>597</v>
      </c>
      <c r="K4" s="29" t="s">
        <v>1626</v>
      </c>
    </row>
    <row r="5" customFormat="false" ht="36" hidden="false" customHeight="true" outlineLevel="0" collapsed="false">
      <c r="B5" s="294" t="s">
        <v>1627</v>
      </c>
      <c r="C5" s="94" t="s">
        <v>1628</v>
      </c>
      <c r="D5" s="94" t="s">
        <v>26</v>
      </c>
      <c r="E5" s="295" t="s">
        <v>1629</v>
      </c>
      <c r="F5" s="180"/>
      <c r="G5" s="129" t="s">
        <v>1630</v>
      </c>
      <c r="H5" s="129"/>
      <c r="I5" s="47" t="n">
        <v>4</v>
      </c>
      <c r="J5" s="296" t="n">
        <f aca="false">IF(E5="High",5,IF(E5="Medium",3,IF(E5="Low",1,IF(E5="Req",4,0))))*I5</f>
        <v>20</v>
      </c>
      <c r="K5" s="297" t="str">
        <f aca="false">IF(J5&gt;=12,"✓ Material",IF(J5&gt;=6,"⚠ Monitor","○ Low"))</f>
        <v>✓ Material</v>
      </c>
    </row>
    <row r="6" customFormat="false" ht="36" hidden="false" customHeight="true" outlineLevel="0" collapsed="false">
      <c r="B6" s="294" t="s">
        <v>1631</v>
      </c>
      <c r="C6" s="94" t="s">
        <v>1632</v>
      </c>
      <c r="D6" s="94" t="s">
        <v>26</v>
      </c>
      <c r="E6" s="295" t="s">
        <v>1629</v>
      </c>
      <c r="F6" s="180"/>
      <c r="G6" s="129" t="s">
        <v>1633</v>
      </c>
      <c r="H6" s="129"/>
      <c r="I6" s="47" t="n">
        <v>5</v>
      </c>
      <c r="J6" s="296" t="n">
        <f aca="false">IF(E6="High",5,IF(E6="Medium",3,IF(E6="Low",1,IF(E6="Req",4,0))))*I6</f>
        <v>25</v>
      </c>
      <c r="K6" s="297" t="str">
        <f aca="false">IF(J6&gt;=12,"✓ Material",IF(J6&gt;=6,"⚠ Monitor","○ Low"))</f>
        <v>✓ Material</v>
      </c>
    </row>
    <row r="7" customFormat="false" ht="36" hidden="false" customHeight="true" outlineLevel="0" collapsed="false">
      <c r="B7" s="294" t="s">
        <v>1634</v>
      </c>
      <c r="C7" s="94" t="s">
        <v>1635</v>
      </c>
      <c r="D7" s="94" t="s">
        <v>1636</v>
      </c>
      <c r="E7" s="295" t="s">
        <v>1629</v>
      </c>
      <c r="F7" s="180"/>
      <c r="G7" s="129" t="s">
        <v>1637</v>
      </c>
      <c r="H7" s="129"/>
      <c r="I7" s="47" t="n">
        <v>5</v>
      </c>
      <c r="J7" s="296" t="n">
        <f aca="false">IF(E7="High",5,IF(E7="Medium",3,IF(E7="Low",1,IF(E7="Req",4,0))))*I7</f>
        <v>25</v>
      </c>
      <c r="K7" s="297" t="str">
        <f aca="false">IF(J7&gt;=12,"✓ Material",IF(J7&gt;=6,"⚠ Monitor","○ Low"))</f>
        <v>✓ Material</v>
      </c>
    </row>
    <row r="8" customFormat="false" ht="36" hidden="false" customHeight="true" outlineLevel="0" collapsed="false">
      <c r="B8" s="294" t="s">
        <v>1638</v>
      </c>
      <c r="C8" s="94" t="s">
        <v>1639</v>
      </c>
      <c r="D8" s="94" t="s">
        <v>1315</v>
      </c>
      <c r="E8" s="298" t="s">
        <v>822</v>
      </c>
      <c r="F8" s="180"/>
      <c r="G8" s="129" t="s">
        <v>1640</v>
      </c>
      <c r="H8" s="129"/>
      <c r="I8" s="47" t="n">
        <v>3</v>
      </c>
      <c r="J8" s="296" t="n">
        <f aca="false">IF(E8="High",5,IF(E8="Medium",3,IF(E8="Low",1,IF(E8="Req",4,0))))*I8</f>
        <v>9</v>
      </c>
      <c r="K8" s="297" t="str">
        <f aca="false">IF(J8&gt;=12,"✓ Material",IF(J8&gt;=6,"⚠ Monitor","○ Low"))</f>
        <v>⚠ Monitor</v>
      </c>
    </row>
    <row r="9" customFormat="false" ht="36" hidden="false" customHeight="true" outlineLevel="0" collapsed="false">
      <c r="B9" s="294" t="s">
        <v>1641</v>
      </c>
      <c r="C9" s="94" t="s">
        <v>1642</v>
      </c>
      <c r="D9" s="94" t="s">
        <v>31</v>
      </c>
      <c r="E9" s="298" t="s">
        <v>822</v>
      </c>
      <c r="F9" s="180"/>
      <c r="G9" s="129" t="s">
        <v>1643</v>
      </c>
      <c r="H9" s="129"/>
      <c r="I9" s="47" t="n">
        <v>3</v>
      </c>
      <c r="J9" s="296" t="n">
        <f aca="false">IF(E9="High",5,IF(E9="Medium",3,IF(E9="Low",1,IF(E9="Req",4,0))))*I9</f>
        <v>9</v>
      </c>
      <c r="K9" s="297" t="str">
        <f aca="false">IF(J9&gt;=12,"✓ Material",IF(J9&gt;=6,"⚠ Monitor","○ Low"))</f>
        <v>⚠ Monitor</v>
      </c>
    </row>
    <row r="10" customFormat="false" ht="36" hidden="false" customHeight="true" outlineLevel="0" collapsed="false">
      <c r="B10" s="294" t="s">
        <v>1644</v>
      </c>
      <c r="C10" s="94" t="s">
        <v>1645</v>
      </c>
      <c r="D10" s="94" t="s">
        <v>1320</v>
      </c>
      <c r="E10" s="298" t="s">
        <v>822</v>
      </c>
      <c r="F10" s="180"/>
      <c r="G10" s="129" t="s">
        <v>1646</v>
      </c>
      <c r="H10" s="129"/>
      <c r="I10" s="47" t="n">
        <v>3</v>
      </c>
      <c r="J10" s="296" t="n">
        <f aca="false">IF(E10="High",5,IF(E10="Medium",3,IF(E10="Low",1,IF(E10="Req",4,0))))*I10</f>
        <v>9</v>
      </c>
      <c r="K10" s="297" t="str">
        <f aca="false">IF(J10&gt;=12,"✓ Material",IF(J10&gt;=6,"⚠ Monitor","○ Low"))</f>
        <v>⚠ Monitor</v>
      </c>
    </row>
    <row r="11" customFormat="false" ht="36" hidden="false" customHeight="true" outlineLevel="0" collapsed="false">
      <c r="B11" s="294" t="s">
        <v>1647</v>
      </c>
      <c r="C11" s="94" t="s">
        <v>1648</v>
      </c>
      <c r="D11" s="94" t="s">
        <v>23</v>
      </c>
      <c r="E11" s="298" t="s">
        <v>822</v>
      </c>
      <c r="F11" s="180"/>
      <c r="G11" s="129" t="s">
        <v>1649</v>
      </c>
      <c r="H11" s="129"/>
      <c r="I11" s="47" t="n">
        <v>3</v>
      </c>
      <c r="J11" s="296" t="n">
        <f aca="false">IF(E11="High",5,IF(E11="Medium",3,IF(E11="Low",1,IF(E11="Req",4,0))))*I11</f>
        <v>9</v>
      </c>
      <c r="K11" s="297" t="str">
        <f aca="false">IF(J11&gt;=12,"✓ Material",IF(J11&gt;=6,"⚠ Monitor","○ Low"))</f>
        <v>⚠ Monitor</v>
      </c>
    </row>
    <row r="12" customFormat="false" ht="36" hidden="false" customHeight="true" outlineLevel="0" collapsed="false">
      <c r="B12" s="294" t="s">
        <v>1650</v>
      </c>
      <c r="C12" s="94" t="s">
        <v>1651</v>
      </c>
      <c r="D12" s="94" t="s">
        <v>1271</v>
      </c>
      <c r="E12" s="175" t="s">
        <v>1652</v>
      </c>
      <c r="F12" s="180"/>
      <c r="G12" s="129" t="s">
        <v>1653</v>
      </c>
      <c r="H12" s="129"/>
      <c r="I12" s="47" t="n">
        <v>2</v>
      </c>
      <c r="J12" s="296" t="n">
        <f aca="false">IF(E12="High",5,IF(E12="Medium",3,IF(E12="Low",1,IF(E12="Req",4,0))))*I12</f>
        <v>2</v>
      </c>
      <c r="K12" s="297" t="str">
        <f aca="false">IF(J12&gt;=12,"✓ Material",IF(J12&gt;=6,"⚠ Monitor","○ Low"))</f>
        <v>○ Low</v>
      </c>
    </row>
    <row r="13" customFormat="false" ht="36" hidden="false" customHeight="true" outlineLevel="0" collapsed="false">
      <c r="B13" s="294" t="s">
        <v>1654</v>
      </c>
      <c r="C13" s="94" t="s">
        <v>1655</v>
      </c>
      <c r="D13" s="94" t="s">
        <v>55</v>
      </c>
      <c r="E13" s="298" t="s">
        <v>822</v>
      </c>
      <c r="F13" s="180"/>
      <c r="G13" s="129" t="s">
        <v>1656</v>
      </c>
      <c r="H13" s="129"/>
      <c r="I13" s="47" t="n">
        <v>4</v>
      </c>
      <c r="J13" s="296" t="n">
        <f aca="false">IF(E13="High",5,IF(E13="Medium",3,IF(E13="Low",1,IF(E13="Req",4,0))))*I13</f>
        <v>12</v>
      </c>
      <c r="K13" s="297" t="str">
        <f aca="false">IF(J13&gt;=12,"✓ Material",IF(J13&gt;=6,"⚠ Monitor","○ Low"))</f>
        <v>✓ Material</v>
      </c>
    </row>
    <row r="14" customFormat="false" ht="36" hidden="false" customHeight="true" outlineLevel="0" collapsed="false">
      <c r="B14" s="294" t="s">
        <v>1657</v>
      </c>
      <c r="C14" s="94" t="s">
        <v>1658</v>
      </c>
      <c r="D14" s="94" t="s">
        <v>31</v>
      </c>
      <c r="E14" s="175" t="s">
        <v>1652</v>
      </c>
      <c r="F14" s="180"/>
      <c r="G14" s="129" t="s">
        <v>1659</v>
      </c>
      <c r="H14" s="129"/>
      <c r="I14" s="47" t="n">
        <v>2</v>
      </c>
      <c r="J14" s="296" t="n">
        <f aca="false">IF(E14="High",5,IF(E14="Medium",3,IF(E14="Low",1,IF(E14="Req",4,0))))*I14</f>
        <v>2</v>
      </c>
      <c r="K14" s="297" t="str">
        <f aca="false">IF(J14&gt;=12,"✓ Material",IF(J14&gt;=6,"⚠ Monitor","○ Low"))</f>
        <v>○ Low</v>
      </c>
    </row>
    <row r="15" customFormat="false" ht="13.5" hidden="false" customHeight="true" outlineLevel="0" collapsed="false">
      <c r="A15" s="257" t="s">
        <v>1660</v>
      </c>
      <c r="B15" s="257"/>
      <c r="C15" s="257"/>
      <c r="D15" s="257"/>
      <c r="E15" s="257"/>
      <c r="F15" s="257"/>
      <c r="G15" s="257"/>
      <c r="H15" s="257"/>
    </row>
    <row r="16" customFormat="false" ht="13.5" hidden="false" customHeight="true" outlineLevel="0" collapsed="false">
      <c r="B16" s="299" t="s">
        <v>1621</v>
      </c>
      <c r="C16" s="258" t="s">
        <v>21</v>
      </c>
      <c r="D16" s="258" t="s">
        <v>1208</v>
      </c>
      <c r="E16" s="259" t="s">
        <v>595</v>
      </c>
      <c r="F16" s="259" t="s">
        <v>1622</v>
      </c>
      <c r="G16" s="258" t="s">
        <v>1623</v>
      </c>
      <c r="H16" s="258" t="s">
        <v>1624</v>
      </c>
    </row>
    <row r="17" customFormat="false" ht="36" hidden="false" customHeight="true" outlineLevel="0" collapsed="false">
      <c r="B17" s="294" t="s">
        <v>1661</v>
      </c>
      <c r="C17" s="94" t="s">
        <v>1662</v>
      </c>
      <c r="D17" s="94" t="s">
        <v>31</v>
      </c>
      <c r="E17" s="295" t="s">
        <v>1663</v>
      </c>
      <c r="F17" s="180"/>
      <c r="G17" s="129" t="s">
        <v>1664</v>
      </c>
      <c r="H17" s="129"/>
      <c r="I17" s="47" t="n">
        <v>3</v>
      </c>
      <c r="J17" s="296" t="n">
        <f aca="false">IF(E17="High",5,IF(E17="Medium",3,IF(E17="Low",1,IF(E17="Req",4,0))))*I17</f>
        <v>12</v>
      </c>
      <c r="K17" s="297" t="str">
        <f aca="false">IF(J17&gt;=12,"✓ Material",IF(J17&gt;=6,"⚠ Monitor","○ Low"))</f>
        <v>✓ Material</v>
      </c>
    </row>
    <row r="18" customFormat="false" ht="36" hidden="false" customHeight="true" outlineLevel="0" collapsed="false">
      <c r="B18" s="294" t="s">
        <v>1665</v>
      </c>
      <c r="C18" s="94" t="s">
        <v>1666</v>
      </c>
      <c r="D18" s="94" t="s">
        <v>31</v>
      </c>
      <c r="E18" s="295" t="s">
        <v>1663</v>
      </c>
      <c r="F18" s="180"/>
      <c r="G18" s="129" t="s">
        <v>1667</v>
      </c>
      <c r="H18" s="129"/>
      <c r="I18" s="47" t="n">
        <v>3</v>
      </c>
      <c r="J18" s="296" t="n">
        <f aca="false">IF(E18="High",5,IF(E18="Medium",3,IF(E18="Low",1,IF(E18="Req",4,0))))*I18</f>
        <v>12</v>
      </c>
      <c r="K18" s="297" t="str">
        <f aca="false">IF(J18&gt;=12,"✓ Material",IF(J18&gt;=6,"⚠ Monitor","○ Low"))</f>
        <v>✓ Material</v>
      </c>
    </row>
    <row r="19" customFormat="false" ht="36" hidden="false" customHeight="true" outlineLevel="0" collapsed="false">
      <c r="B19" s="294" t="s">
        <v>1668</v>
      </c>
      <c r="C19" s="94" t="s">
        <v>1669</v>
      </c>
      <c r="D19" s="94" t="s">
        <v>29</v>
      </c>
      <c r="E19" s="295" t="s">
        <v>1663</v>
      </c>
      <c r="F19" s="180"/>
      <c r="G19" s="129" t="s">
        <v>1670</v>
      </c>
      <c r="H19" s="129"/>
      <c r="I19" s="47" t="n">
        <v>3</v>
      </c>
      <c r="J19" s="296" t="n">
        <f aca="false">IF(E19="High",5,IF(E19="Medium",3,IF(E19="Low",1,IF(E19="Req",4,0))))*I19</f>
        <v>12</v>
      </c>
      <c r="K19" s="297" t="str">
        <f aca="false">IF(J19&gt;=12,"✓ Material",IF(J19&gt;=6,"⚠ Monitor","○ Low"))</f>
        <v>✓ Material</v>
      </c>
    </row>
    <row r="20" customFormat="false" ht="36" hidden="false" customHeight="true" outlineLevel="0" collapsed="false">
      <c r="B20" s="294" t="s">
        <v>1671</v>
      </c>
      <c r="C20" s="94" t="s">
        <v>1672</v>
      </c>
      <c r="D20" s="94" t="s">
        <v>26</v>
      </c>
      <c r="E20" s="295" t="s">
        <v>1663</v>
      </c>
      <c r="F20" s="180"/>
      <c r="G20" s="129" t="s">
        <v>1673</v>
      </c>
      <c r="H20" s="129"/>
      <c r="I20" s="47" t="n">
        <v>3</v>
      </c>
      <c r="J20" s="296" t="n">
        <f aca="false">IF(E20="High",5,IF(E20="Medium",3,IF(E20="Low",1,IF(E20="Req",4,0))))*I20</f>
        <v>12</v>
      </c>
      <c r="K20" s="297" t="str">
        <f aca="false">IF(J20&gt;=12,"✓ Material",IF(J20&gt;=6,"⚠ Monitor","○ Low"))</f>
        <v>✓ Material</v>
      </c>
    </row>
    <row r="21" customFormat="false" ht="36" hidden="false" customHeight="true" outlineLevel="0" collapsed="false">
      <c r="B21" s="294" t="s">
        <v>1674</v>
      </c>
      <c r="C21" s="94" t="s">
        <v>1675</v>
      </c>
      <c r="D21" s="94" t="s">
        <v>31</v>
      </c>
      <c r="E21" s="295" t="s">
        <v>1663</v>
      </c>
      <c r="F21" s="180"/>
      <c r="G21" s="129" t="s">
        <v>1676</v>
      </c>
      <c r="H21" s="129"/>
      <c r="I21" s="47" t="n">
        <v>3</v>
      </c>
      <c r="J21" s="296" t="n">
        <f aca="false">IF(E21="High",5,IF(E21="Medium",3,IF(E21="Low",1,IF(E21="Req",4,0))))*I21</f>
        <v>12</v>
      </c>
      <c r="K21" s="297" t="str">
        <f aca="false">IF(J21&gt;=12,"✓ Material",IF(J21&gt;=6,"⚠ Monitor","○ Low"))</f>
        <v>✓ Material</v>
      </c>
    </row>
    <row r="22" customFormat="false" ht="36" hidden="false" customHeight="true" outlineLevel="0" collapsed="false">
      <c r="B22" s="294" t="s">
        <v>1677</v>
      </c>
      <c r="C22" s="94" t="s">
        <v>1678</v>
      </c>
      <c r="D22" s="94" t="s">
        <v>1679</v>
      </c>
      <c r="E22" s="295" t="s">
        <v>1663</v>
      </c>
      <c r="F22" s="180"/>
      <c r="G22" s="129" t="s">
        <v>1680</v>
      </c>
      <c r="H22" s="129"/>
      <c r="I22" s="47" t="n">
        <v>3</v>
      </c>
      <c r="J22" s="296" t="n">
        <f aca="false">IF(E22="High",5,IF(E22="Medium",3,IF(E22="Low",1,IF(E22="Req",4,0))))*I22</f>
        <v>12</v>
      </c>
      <c r="K22" s="297" t="str">
        <f aca="false">IF(J22&gt;=12,"✓ Material",IF(J22&gt;=6,"⚠ Monitor","○ Low"))</f>
        <v>✓ Material</v>
      </c>
    </row>
    <row r="23" customFormat="false" ht="36" hidden="false" customHeight="true" outlineLevel="0" collapsed="false">
      <c r="B23" s="294" t="s">
        <v>1681</v>
      </c>
      <c r="C23" s="94" t="s">
        <v>1682</v>
      </c>
      <c r="D23" s="94" t="s">
        <v>29</v>
      </c>
      <c r="E23" s="295" t="s">
        <v>1663</v>
      </c>
      <c r="F23" s="180"/>
      <c r="G23" s="129" t="s">
        <v>1683</v>
      </c>
      <c r="H23" s="129"/>
      <c r="I23" s="47" t="n">
        <v>3</v>
      </c>
      <c r="J23" s="296" t="n">
        <f aca="false">IF(E23="High",5,IF(E23="Medium",3,IF(E23="Low",1,IF(E23="Req",4,0))))*I23</f>
        <v>12</v>
      </c>
      <c r="K23" s="297" t="str">
        <f aca="false">IF(J23&gt;=12,"✓ Material",IF(J23&gt;=6,"⚠ Monitor","○ Low"))</f>
        <v>✓ Material</v>
      </c>
    </row>
    <row r="24" customFormat="false" ht="36" hidden="false" customHeight="true" outlineLevel="0" collapsed="false">
      <c r="B24" s="294" t="s">
        <v>1684</v>
      </c>
      <c r="C24" s="94" t="s">
        <v>1685</v>
      </c>
      <c r="D24" s="94" t="s">
        <v>31</v>
      </c>
      <c r="E24" s="295" t="s">
        <v>1663</v>
      </c>
      <c r="F24" s="180"/>
      <c r="G24" s="129" t="s">
        <v>1686</v>
      </c>
      <c r="H24" s="129"/>
      <c r="I24" s="47" t="n">
        <v>3</v>
      </c>
      <c r="J24" s="296" t="n">
        <f aca="false">IF(E24="High",5,IF(E24="Medium",3,IF(E24="Low",1,IF(E24="Req",4,0))))*I24</f>
        <v>12</v>
      </c>
      <c r="K24" s="297" t="str">
        <f aca="false">IF(J24&gt;=12,"✓ Material",IF(J24&gt;=6,"⚠ Monitor","○ Low"))</f>
        <v>✓ Material</v>
      </c>
    </row>
    <row r="26" customFormat="false" ht="15" hidden="false" customHeight="true" outlineLevel="0" collapsed="false">
      <c r="B26" s="300" t="s">
        <v>1687</v>
      </c>
      <c r="C26" s="300"/>
      <c r="D26" s="300"/>
      <c r="E26" s="300"/>
      <c r="F26" s="300"/>
      <c r="G26" s="300"/>
      <c r="H26" s="300"/>
      <c r="I26" s="300"/>
      <c r="J26" s="300"/>
      <c r="K26" s="300"/>
    </row>
    <row r="27" customFormat="false" ht="15" hidden="false" customHeight="true" outlineLevel="0" collapsed="false">
      <c r="B27" s="301" t="s">
        <v>1688</v>
      </c>
      <c r="C27" s="302" t="n">
        <f aca="false">COUNTA(B5:B14)+COUNTA(B17:B24)</f>
        <v>18</v>
      </c>
    </row>
    <row r="28" customFormat="false" ht="15" hidden="false" customHeight="true" outlineLevel="0" collapsed="false">
      <c r="B28" s="301" t="s">
        <v>1689</v>
      </c>
      <c r="C28" s="302" t="n">
        <f aca="false">COUNTIF(K5:K14,"✓ Material")+COUNTIF(K17:K24,"✓ Material")</f>
        <v>12</v>
      </c>
    </row>
    <row r="29" customFormat="false" ht="15" hidden="false" customHeight="true" outlineLevel="0" collapsed="false">
      <c r="B29" s="301" t="s">
        <v>1690</v>
      </c>
      <c r="C29" s="302" t="n">
        <f aca="false">COUNTIF(K5:K14,"⚠ Monitor")+COUNTIF(K17:K24,"⚠ Monitor")</f>
        <v>4</v>
      </c>
    </row>
    <row r="30" customFormat="false" ht="15" hidden="false" customHeight="true" outlineLevel="0" collapsed="false">
      <c r="B30" s="301" t="s">
        <v>1691</v>
      </c>
      <c r="C30" s="302" t="n">
        <f aca="false">MAX(J5:J14,J17:J24)</f>
        <v>25</v>
      </c>
    </row>
  </sheetData>
  <mergeCells count="4">
    <mergeCell ref="A1:H1"/>
    <mergeCell ref="A3:H3"/>
    <mergeCell ref="A15:H15"/>
    <mergeCell ref="B26:K26"/>
  </mergeCells>
  <conditionalFormatting sqref="K5:K24">
    <cfRule type="expression" priority="2" aboveAverage="0" equalAverage="0" bottom="0" percent="0" rank="0" text="" dxfId="2">
      <formula>ISNUMBER(SEARCH("Material",K5))</formula>
    </cfRule>
    <cfRule type="expression" priority="3" aboveAverage="0" equalAverage="0" bottom="0" percent="0" rank="0" text="" dxfId="1">
      <formula>ISNUMBER(SEARCH("Monitor",K5))</formula>
    </cfRule>
    <cfRule type="expression" priority="4" aboveAverage="0" equalAverage="0" bottom="0" percent="0" rank="0" text="" dxfId="0">
      <formula>ISNUMBER(SEARCH("Low",K5))</formula>
    </cfRule>
  </conditionalFormatting>
  <dataValidations count="18">
    <dataValidation allowBlank="true" errorStyle="stop" operator="between" showDropDown="false" showErrorMessage="false" showInputMessage="false" sqref="F5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6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7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8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9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0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1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2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3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4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7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8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19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20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21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22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23" type="list">
      <formula1>"Effective,Partially Effective,Ineffective,Not Assessed"</formula1>
      <formula2>0</formula2>
    </dataValidation>
    <dataValidation allowBlank="true" errorStyle="stop" operator="between" showDropDown="false" showErrorMessage="false" showInputMessage="false" sqref="F24" type="list">
      <formula1>"Effective,Partially Effective,Ineffective,Not Assessed"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I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0"/>
    <col collapsed="false" customWidth="true" hidden="false" outlineLevel="0" max="7" min="7" style="1" width="18"/>
    <col collapsed="false" customWidth="true" hidden="false" outlineLevel="0" max="8" min="8" style="1" width="20"/>
    <col collapsed="false" customWidth="true" hidden="false" outlineLevel="0" max="9" min="9" style="1" width="16"/>
  </cols>
  <sheetData>
    <row r="1" customFormat="false" ht="21.75" hidden="false" customHeight="true" outlineLevel="0" collapsed="false">
      <c r="A1" s="102" t="s">
        <v>1692</v>
      </c>
      <c r="B1" s="102"/>
      <c r="C1" s="102"/>
      <c r="D1" s="102"/>
      <c r="E1" s="102"/>
      <c r="F1" s="102"/>
      <c r="G1" s="102"/>
      <c r="H1" s="102"/>
      <c r="I1" s="102"/>
    </row>
    <row r="3" customFormat="false" ht="13.5" hidden="false" customHeight="true" outlineLevel="0" collapsed="false">
      <c r="A3" s="118" t="s">
        <v>1693</v>
      </c>
      <c r="B3" s="118"/>
      <c r="C3" s="118"/>
      <c r="D3" s="118"/>
      <c r="E3" s="118"/>
      <c r="F3" s="118"/>
      <c r="G3" s="118"/>
      <c r="H3" s="118"/>
      <c r="I3" s="118"/>
    </row>
    <row r="4" customFormat="false" ht="13.5" hidden="false" customHeight="true" outlineLevel="0" collapsed="false">
      <c r="B4" s="303" t="s">
        <v>1694</v>
      </c>
      <c r="C4" s="111" t="s">
        <v>1695</v>
      </c>
      <c r="D4" s="111" t="s">
        <v>520</v>
      </c>
      <c r="E4" s="111" t="s">
        <v>1007</v>
      </c>
      <c r="F4" s="111" t="s">
        <v>811</v>
      </c>
      <c r="G4" s="112" t="s">
        <v>1696</v>
      </c>
      <c r="H4" s="112" t="s">
        <v>1697</v>
      </c>
      <c r="I4" s="112" t="s">
        <v>1698</v>
      </c>
    </row>
    <row r="5" customFormat="false" ht="36" hidden="false" customHeight="true" outlineLevel="0" collapsed="false">
      <c r="B5" s="304" t="s">
        <v>1699</v>
      </c>
      <c r="C5" s="113" t="s">
        <v>1700</v>
      </c>
      <c r="D5" s="180"/>
      <c r="E5" s="251" t="n">
        <f aca="false">IF(D5="Fully Compliant",5,IF(D5="Partially Compliant",3,IF(D5="Not Applicable",5,0)))</f>
        <v>0</v>
      </c>
      <c r="F5" s="212" t="s">
        <v>762</v>
      </c>
      <c r="G5" s="221" t="s">
        <v>1701</v>
      </c>
      <c r="H5" s="129"/>
      <c r="I5" s="305" t="s">
        <v>1702</v>
      </c>
    </row>
    <row r="6" customFormat="false" ht="36" hidden="false" customHeight="true" outlineLevel="0" collapsed="false">
      <c r="B6" s="304" t="s">
        <v>1703</v>
      </c>
      <c r="C6" s="113" t="s">
        <v>1704</v>
      </c>
      <c r="D6" s="180"/>
      <c r="E6" s="251" t="n">
        <f aca="false">IF(D6="Fully Compliant",5,IF(D6="Partially Compliant",3,IF(D6="Not Applicable",5,0)))</f>
        <v>0</v>
      </c>
      <c r="F6" s="212" t="s">
        <v>762</v>
      </c>
      <c r="G6" s="221" t="s">
        <v>1705</v>
      </c>
      <c r="H6" s="129"/>
      <c r="I6" s="305" t="s">
        <v>1706</v>
      </c>
    </row>
    <row r="7" customFormat="false" ht="36" hidden="false" customHeight="true" outlineLevel="0" collapsed="false">
      <c r="B7" s="304" t="s">
        <v>1707</v>
      </c>
      <c r="C7" s="113" t="s">
        <v>1708</v>
      </c>
      <c r="D7" s="180"/>
      <c r="E7" s="251" t="n">
        <f aca="false">IF(D7="Fully Compliant",5,IF(D7="Partially Compliant",3,IF(D7="Not Applicable",5,0)))</f>
        <v>0</v>
      </c>
      <c r="F7" s="212" t="s">
        <v>762</v>
      </c>
      <c r="G7" s="221" t="s">
        <v>1709</v>
      </c>
      <c r="H7" s="129"/>
      <c r="I7" s="305" t="s">
        <v>1710</v>
      </c>
    </row>
    <row r="8" customFormat="false" ht="36" hidden="false" customHeight="true" outlineLevel="0" collapsed="false">
      <c r="B8" s="304" t="s">
        <v>1711</v>
      </c>
      <c r="C8" s="113" t="s">
        <v>1712</v>
      </c>
      <c r="D8" s="180" t="s">
        <v>1713</v>
      </c>
      <c r="E8" s="251" t="n">
        <f aca="false">IF(D8="Fully Compliant",5,IF(D8="Partially Compliant",3,IF(D8="Not Applicable",5,0)))</f>
        <v>3</v>
      </c>
      <c r="F8" s="212" t="s">
        <v>762</v>
      </c>
      <c r="G8" s="221" t="s">
        <v>1714</v>
      </c>
      <c r="H8" s="129" t="s">
        <v>1715</v>
      </c>
      <c r="I8" s="305" t="s">
        <v>1716</v>
      </c>
    </row>
    <row r="9" customFormat="false" ht="36" hidden="false" customHeight="true" outlineLevel="0" collapsed="false">
      <c r="B9" s="304" t="s">
        <v>1717</v>
      </c>
      <c r="C9" s="113" t="s">
        <v>1718</v>
      </c>
      <c r="D9" s="180" t="s">
        <v>1713</v>
      </c>
      <c r="E9" s="251" t="n">
        <f aca="false">IF(D9="Fully Compliant",5,IF(D9="Partially Compliant",3,IF(D9="Not Applicable",5,0)))</f>
        <v>3</v>
      </c>
      <c r="F9" s="212" t="s">
        <v>762</v>
      </c>
      <c r="G9" s="221" t="s">
        <v>1719</v>
      </c>
      <c r="H9" s="129" t="s">
        <v>1720</v>
      </c>
      <c r="I9" s="305" t="s">
        <v>1721</v>
      </c>
    </row>
    <row r="10" customFormat="false" ht="36" hidden="false" customHeight="true" outlineLevel="0" collapsed="false">
      <c r="B10" s="304" t="s">
        <v>1722</v>
      </c>
      <c r="C10" s="113" t="s">
        <v>1723</v>
      </c>
      <c r="D10" s="180" t="s">
        <v>1713</v>
      </c>
      <c r="E10" s="251" t="n">
        <f aca="false">IF(D10="Fully Compliant",5,IF(D10="Partially Compliant",3,IF(D10="Not Applicable",5,0)))</f>
        <v>3</v>
      </c>
      <c r="F10" s="212" t="s">
        <v>762</v>
      </c>
      <c r="G10" s="221" t="s">
        <v>1724</v>
      </c>
      <c r="H10" s="129" t="s">
        <v>1725</v>
      </c>
      <c r="I10" s="305" t="s">
        <v>1726</v>
      </c>
    </row>
    <row r="11" customFormat="false" ht="36" hidden="false" customHeight="true" outlineLevel="0" collapsed="false">
      <c r="B11" s="304" t="s">
        <v>1727</v>
      </c>
      <c r="C11" s="113" t="s">
        <v>1728</v>
      </c>
      <c r="D11" s="180" t="s">
        <v>1713</v>
      </c>
      <c r="E11" s="251" t="n">
        <f aca="false">IF(D11="Fully Compliant",5,IF(D11="Partially Compliant",3,IF(D11="Not Applicable",5,0)))</f>
        <v>3</v>
      </c>
      <c r="F11" s="212" t="s">
        <v>762</v>
      </c>
      <c r="G11" s="221" t="s">
        <v>1729</v>
      </c>
      <c r="H11" s="129" t="s">
        <v>1730</v>
      </c>
      <c r="I11" s="305" t="s">
        <v>1731</v>
      </c>
    </row>
    <row r="12" customFormat="false" ht="36" hidden="false" customHeight="true" outlineLevel="0" collapsed="false">
      <c r="B12" s="304" t="s">
        <v>1732</v>
      </c>
      <c r="C12" s="113" t="s">
        <v>1733</v>
      </c>
      <c r="D12" s="180" t="s">
        <v>1713</v>
      </c>
      <c r="E12" s="251" t="n">
        <f aca="false">IF(D12="Fully Compliant",5,IF(D12="Partially Compliant",3,IF(D12="Not Applicable",5,0)))</f>
        <v>3</v>
      </c>
      <c r="F12" s="212" t="s">
        <v>762</v>
      </c>
      <c r="G12" s="221" t="s">
        <v>1734</v>
      </c>
      <c r="H12" s="129" t="s">
        <v>1735</v>
      </c>
      <c r="I12" s="305" t="s">
        <v>1736</v>
      </c>
    </row>
    <row r="13" customFormat="false" ht="36" hidden="false" customHeight="true" outlineLevel="0" collapsed="false">
      <c r="B13" s="304" t="s">
        <v>1737</v>
      </c>
      <c r="C13" s="113" t="s">
        <v>1738</v>
      </c>
      <c r="D13" s="180"/>
      <c r="E13" s="251" t="n">
        <f aca="false">IF(D13="Fully Compliant",5,IF(D13="Partially Compliant",3,IF(D13="Not Applicable",5,0)))</f>
        <v>0</v>
      </c>
      <c r="F13" s="212" t="s">
        <v>762</v>
      </c>
      <c r="G13" s="221" t="s">
        <v>1739</v>
      </c>
      <c r="H13" s="129"/>
      <c r="I13" s="305" t="s">
        <v>1740</v>
      </c>
    </row>
    <row r="14" customFormat="false" ht="36" hidden="false" customHeight="true" outlineLevel="0" collapsed="false">
      <c r="B14" s="304" t="s">
        <v>1741</v>
      </c>
      <c r="C14" s="113" t="s">
        <v>1742</v>
      </c>
      <c r="D14" s="180"/>
      <c r="E14" s="251" t="n">
        <f aca="false">IF(D14="Fully Compliant",5,IF(D14="Partially Compliant",3,IF(D14="Not Applicable",5,0)))</f>
        <v>0</v>
      </c>
      <c r="F14" s="212" t="s">
        <v>762</v>
      </c>
      <c r="G14" s="221" t="s">
        <v>1743</v>
      </c>
      <c r="H14" s="129"/>
      <c r="I14" s="305" t="s">
        <v>1744</v>
      </c>
    </row>
    <row r="15" customFormat="false" ht="36" hidden="false" customHeight="true" outlineLevel="0" collapsed="false">
      <c r="B15" s="304" t="s">
        <v>1745</v>
      </c>
      <c r="C15" s="113" t="s">
        <v>1746</v>
      </c>
      <c r="D15" s="180"/>
      <c r="E15" s="251" t="n">
        <f aca="false">IF(D15="Fully Compliant",5,IF(D15="Partially Compliant",3,IF(D15="Not Applicable",5,0)))</f>
        <v>0</v>
      </c>
      <c r="F15" s="212" t="s">
        <v>762</v>
      </c>
      <c r="G15" s="221" t="s">
        <v>1747</v>
      </c>
      <c r="H15" s="129"/>
      <c r="I15" s="305" t="s">
        <v>1748</v>
      </c>
    </row>
    <row r="16" customFormat="false" ht="36" hidden="false" customHeight="true" outlineLevel="0" collapsed="false">
      <c r="B16" s="304" t="s">
        <v>1749</v>
      </c>
      <c r="C16" s="113" t="s">
        <v>1219</v>
      </c>
      <c r="D16" s="180"/>
      <c r="E16" s="251" t="n">
        <f aca="false">IF(D16="Fully Compliant",5,IF(D16="Partially Compliant",3,IF(D16="Not Applicable",5,0)))</f>
        <v>0</v>
      </c>
      <c r="F16" s="212" t="s">
        <v>762</v>
      </c>
      <c r="G16" s="221" t="s">
        <v>1750</v>
      </c>
      <c r="H16" s="129"/>
      <c r="I16" s="305" t="s">
        <v>1751</v>
      </c>
    </row>
    <row r="17" customFormat="false" ht="13.5" hidden="false" customHeight="true" outlineLevel="0" collapsed="false">
      <c r="B17" s="306" t="s">
        <v>1752</v>
      </c>
      <c r="E17" s="307" t="n">
        <f aca="false">SUM(E5,E6,E7,E8,E9,E10,E11,E12,E13,E14,E15,E16)</f>
        <v>15</v>
      </c>
    </row>
    <row r="19" customFormat="false" ht="13.5" hidden="false" customHeight="true" outlineLevel="0" collapsed="false">
      <c r="A19" s="308" t="s">
        <v>1753</v>
      </c>
      <c r="B19" s="308"/>
      <c r="C19" s="308"/>
      <c r="D19" s="308"/>
      <c r="E19" s="308"/>
      <c r="F19" s="308"/>
      <c r="G19" s="308"/>
      <c r="H19" s="308"/>
      <c r="I19" s="308"/>
    </row>
    <row r="20" customFormat="false" ht="13.5" hidden="false" customHeight="true" outlineLevel="0" collapsed="false">
      <c r="B20" s="309" t="s">
        <v>1694</v>
      </c>
      <c r="C20" s="310" t="s">
        <v>1695</v>
      </c>
      <c r="D20" s="310" t="s">
        <v>520</v>
      </c>
      <c r="E20" s="310" t="s">
        <v>1007</v>
      </c>
      <c r="F20" s="310" t="s">
        <v>811</v>
      </c>
      <c r="G20" s="311" t="s">
        <v>1696</v>
      </c>
      <c r="H20" s="311" t="s">
        <v>1697</v>
      </c>
      <c r="I20" s="311" t="s">
        <v>1698</v>
      </c>
    </row>
    <row r="21" customFormat="false" ht="36" hidden="false" customHeight="true" outlineLevel="0" collapsed="false">
      <c r="B21" s="304" t="s">
        <v>1754</v>
      </c>
      <c r="C21" s="113" t="s">
        <v>1712</v>
      </c>
      <c r="D21" s="180" t="s">
        <v>1713</v>
      </c>
      <c r="E21" s="251" t="n">
        <f aca="false">IF(D21="Fully Compliant",5,IF(D21="Partially Compliant",3,IF(D21="Not Applicable",5,0)))</f>
        <v>3</v>
      </c>
      <c r="F21" s="212" t="s">
        <v>762</v>
      </c>
      <c r="G21" s="221" t="s">
        <v>1755</v>
      </c>
      <c r="H21" s="129" t="s">
        <v>1756</v>
      </c>
      <c r="I21" s="305" t="s">
        <v>1757</v>
      </c>
    </row>
    <row r="22" customFormat="false" ht="36" hidden="false" customHeight="true" outlineLevel="0" collapsed="false">
      <c r="B22" s="304" t="s">
        <v>1758</v>
      </c>
      <c r="C22" s="113" t="s">
        <v>1723</v>
      </c>
      <c r="D22" s="180"/>
      <c r="E22" s="251" t="n">
        <f aca="false">IF(D22="Fully Compliant",5,IF(D22="Partially Compliant",3,IF(D22="Not Applicable",5,0)))</f>
        <v>0</v>
      </c>
      <c r="F22" s="212" t="s">
        <v>762</v>
      </c>
      <c r="G22" s="221" t="s">
        <v>1759</v>
      </c>
      <c r="H22" s="129"/>
      <c r="I22" s="305" t="s">
        <v>1760</v>
      </c>
    </row>
    <row r="23" customFormat="false" ht="36" hidden="false" customHeight="true" outlineLevel="0" collapsed="false">
      <c r="B23" s="304" t="s">
        <v>1761</v>
      </c>
      <c r="C23" s="113" t="s">
        <v>1728</v>
      </c>
      <c r="D23" s="180" t="s">
        <v>1713</v>
      </c>
      <c r="E23" s="251" t="n">
        <f aca="false">IF(D23="Fully Compliant",5,IF(D23="Partially Compliant",3,IF(D23="Not Applicable",5,0)))</f>
        <v>3</v>
      </c>
      <c r="F23" s="212" t="s">
        <v>762</v>
      </c>
      <c r="G23" s="221" t="s">
        <v>1762</v>
      </c>
      <c r="H23" s="129" t="s">
        <v>1763</v>
      </c>
      <c r="I23" s="305" t="s">
        <v>1731</v>
      </c>
    </row>
    <row r="24" customFormat="false" ht="36" hidden="false" customHeight="true" outlineLevel="0" collapsed="false">
      <c r="B24" s="304" t="s">
        <v>1764</v>
      </c>
      <c r="C24" s="113" t="s">
        <v>1765</v>
      </c>
      <c r="D24" s="180"/>
      <c r="E24" s="251" t="n">
        <f aca="false">IF(D24="Fully Compliant",5,IF(D24="Partially Compliant",3,IF(D24="Not Applicable",5,0)))</f>
        <v>0</v>
      </c>
      <c r="F24" s="212" t="s">
        <v>762</v>
      </c>
      <c r="G24" s="221" t="s">
        <v>1766</v>
      </c>
      <c r="H24" s="129"/>
      <c r="I24" s="305" t="s">
        <v>1767</v>
      </c>
    </row>
    <row r="25" customFormat="false" ht="36" hidden="false" customHeight="true" outlineLevel="0" collapsed="false">
      <c r="B25" s="304" t="s">
        <v>1768</v>
      </c>
      <c r="C25" s="113" t="s">
        <v>1733</v>
      </c>
      <c r="D25" s="180"/>
      <c r="E25" s="251" t="n">
        <f aca="false">IF(D25="Fully Compliant",5,IF(D25="Partially Compliant",3,IF(D25="Not Applicable",5,0)))</f>
        <v>0</v>
      </c>
      <c r="F25" s="212" t="s">
        <v>762</v>
      </c>
      <c r="G25" s="221" t="s">
        <v>1769</v>
      </c>
      <c r="H25" s="129"/>
      <c r="I25" s="305" t="s">
        <v>1770</v>
      </c>
    </row>
    <row r="26" customFormat="false" ht="36" hidden="false" customHeight="true" outlineLevel="0" collapsed="false">
      <c r="B26" s="304" t="s">
        <v>1771</v>
      </c>
      <c r="C26" s="113" t="s">
        <v>1738</v>
      </c>
      <c r="D26" s="180"/>
      <c r="E26" s="251" t="n">
        <f aca="false">IF(D26="Fully Compliant",5,IF(D26="Partially Compliant",3,IF(D26="Not Applicable",5,0)))</f>
        <v>0</v>
      </c>
      <c r="F26" s="212" t="s">
        <v>762</v>
      </c>
      <c r="G26" s="221" t="s">
        <v>1772</v>
      </c>
      <c r="H26" s="129"/>
      <c r="I26" s="305" t="s">
        <v>1773</v>
      </c>
    </row>
    <row r="27" customFormat="false" ht="36" hidden="false" customHeight="true" outlineLevel="0" collapsed="false">
      <c r="B27" s="304" t="s">
        <v>1774</v>
      </c>
      <c r="C27" s="113" t="s">
        <v>1775</v>
      </c>
      <c r="D27" s="180"/>
      <c r="E27" s="251" t="n">
        <f aca="false">IF(D27="Fully Compliant",5,IF(D27="Partially Compliant",3,IF(D27="Not Applicable",5,0)))</f>
        <v>0</v>
      </c>
      <c r="F27" s="212" t="s">
        <v>762</v>
      </c>
      <c r="G27" s="221" t="s">
        <v>1776</v>
      </c>
      <c r="H27" s="129"/>
      <c r="I27" s="305" t="s">
        <v>1777</v>
      </c>
    </row>
    <row r="28" customFormat="false" ht="36" hidden="false" customHeight="true" outlineLevel="0" collapsed="false">
      <c r="B28" s="304" t="s">
        <v>1778</v>
      </c>
      <c r="C28" s="113" t="s">
        <v>1779</v>
      </c>
      <c r="D28" s="180"/>
      <c r="E28" s="251" t="n">
        <f aca="false">IF(D28="Fully Compliant",5,IF(D28="Partially Compliant",3,IF(D28="Not Applicable",5,0)))</f>
        <v>0</v>
      </c>
      <c r="F28" s="212" t="s">
        <v>762</v>
      </c>
      <c r="G28" s="221" t="s">
        <v>1780</v>
      </c>
      <c r="H28" s="129"/>
      <c r="I28" s="305" t="s">
        <v>1781</v>
      </c>
    </row>
    <row r="29" customFormat="false" ht="36" hidden="false" customHeight="true" outlineLevel="0" collapsed="false">
      <c r="B29" s="304" t="s">
        <v>1782</v>
      </c>
      <c r="C29" s="113" t="s">
        <v>1219</v>
      </c>
      <c r="D29" s="180"/>
      <c r="E29" s="251" t="n">
        <f aca="false">IF(D29="Fully Compliant",5,IF(D29="Partially Compliant",3,IF(D29="Not Applicable",5,0)))</f>
        <v>0</v>
      </c>
      <c r="F29" s="212" t="s">
        <v>762</v>
      </c>
      <c r="G29" s="221" t="s">
        <v>1750</v>
      </c>
      <c r="H29" s="129"/>
      <c r="I29" s="305" t="s">
        <v>1783</v>
      </c>
    </row>
    <row r="30" customFormat="false" ht="13.5" hidden="false" customHeight="true" outlineLevel="0" collapsed="false">
      <c r="B30" s="312" t="s">
        <v>1784</v>
      </c>
      <c r="E30" s="313" t="n">
        <f aca="false">SUM(E21,E22,E23,E24,E25,E26,E27,E28,E29)</f>
        <v>6</v>
      </c>
    </row>
    <row r="32" customFormat="false" ht="13.5" hidden="false" customHeight="true" outlineLevel="0" collapsed="false">
      <c r="A32" s="122" t="s">
        <v>1785</v>
      </c>
      <c r="B32" s="122"/>
      <c r="C32" s="122"/>
      <c r="D32" s="122"/>
      <c r="E32" s="122"/>
      <c r="F32" s="122"/>
      <c r="G32" s="122"/>
      <c r="H32" s="122"/>
      <c r="I32" s="122"/>
    </row>
    <row r="33" customFormat="false" ht="13.5" hidden="false" customHeight="true" outlineLevel="0" collapsed="false">
      <c r="B33" s="270" t="s">
        <v>1694</v>
      </c>
      <c r="C33" s="123" t="s">
        <v>1695</v>
      </c>
      <c r="D33" s="123" t="s">
        <v>520</v>
      </c>
      <c r="E33" s="123" t="s">
        <v>1007</v>
      </c>
      <c r="F33" s="123" t="s">
        <v>811</v>
      </c>
      <c r="G33" s="124" t="s">
        <v>1696</v>
      </c>
      <c r="H33" s="124" t="s">
        <v>1697</v>
      </c>
      <c r="I33" s="124" t="s">
        <v>1698</v>
      </c>
    </row>
    <row r="34" customFormat="false" ht="36" hidden="false" customHeight="true" outlineLevel="0" collapsed="false">
      <c r="B34" s="304" t="s">
        <v>1786</v>
      </c>
      <c r="C34" s="113" t="s">
        <v>1712</v>
      </c>
      <c r="D34" s="180" t="s">
        <v>1713</v>
      </c>
      <c r="E34" s="251" t="n">
        <f aca="false">IF(D34="Fully Compliant",5,IF(D34="Partially Compliant",3,IF(D34="Not Applicable",5,0)))</f>
        <v>3</v>
      </c>
      <c r="F34" s="212" t="s">
        <v>762</v>
      </c>
      <c r="G34" s="221" t="s">
        <v>1787</v>
      </c>
      <c r="H34" s="129" t="s">
        <v>1788</v>
      </c>
      <c r="I34" s="305" t="s">
        <v>1789</v>
      </c>
    </row>
    <row r="35" customFormat="false" ht="36" hidden="false" customHeight="true" outlineLevel="0" collapsed="false">
      <c r="B35" s="304" t="s">
        <v>1790</v>
      </c>
      <c r="C35" s="113" t="s">
        <v>1791</v>
      </c>
      <c r="D35" s="180" t="s">
        <v>1713</v>
      </c>
      <c r="E35" s="251" t="n">
        <f aca="false">IF(D35="Fully Compliant",5,IF(D35="Partially Compliant",3,IF(D35="Not Applicable",5,0)))</f>
        <v>3</v>
      </c>
      <c r="F35" s="212" t="s">
        <v>762</v>
      </c>
      <c r="G35" s="221" t="s">
        <v>1792</v>
      </c>
      <c r="H35" s="129" t="s">
        <v>1793</v>
      </c>
      <c r="I35" s="305" t="s">
        <v>1794</v>
      </c>
    </row>
    <row r="36" customFormat="false" ht="36" hidden="false" customHeight="true" outlineLevel="0" collapsed="false">
      <c r="B36" s="304" t="s">
        <v>1795</v>
      </c>
      <c r="C36" s="113" t="s">
        <v>1765</v>
      </c>
      <c r="D36" s="180"/>
      <c r="E36" s="251" t="n">
        <f aca="false">IF(D36="Fully Compliant",5,IF(D36="Partially Compliant",3,IF(D36="Not Applicable",5,0)))</f>
        <v>0</v>
      </c>
      <c r="F36" s="212" t="s">
        <v>762</v>
      </c>
      <c r="G36" s="221" t="s">
        <v>1796</v>
      </c>
      <c r="H36" s="129"/>
      <c r="I36" s="305" t="s">
        <v>1797</v>
      </c>
    </row>
    <row r="37" customFormat="false" ht="36" hidden="false" customHeight="true" outlineLevel="0" collapsed="false">
      <c r="B37" s="304" t="s">
        <v>1798</v>
      </c>
      <c r="C37" s="113" t="s">
        <v>1799</v>
      </c>
      <c r="D37" s="180"/>
      <c r="E37" s="251" t="n">
        <f aca="false">IF(D37="Fully Compliant",5,IF(D37="Partially Compliant",3,IF(D37="Not Applicable",5,0)))</f>
        <v>0</v>
      </c>
      <c r="F37" s="212" t="s">
        <v>762</v>
      </c>
      <c r="G37" s="221" t="s">
        <v>1800</v>
      </c>
      <c r="H37" s="129"/>
      <c r="I37" s="305" t="s">
        <v>1801</v>
      </c>
    </row>
    <row r="38" customFormat="false" ht="36" hidden="false" customHeight="true" outlineLevel="0" collapsed="false">
      <c r="B38" s="304" t="s">
        <v>1802</v>
      </c>
      <c r="C38" s="113" t="s">
        <v>1803</v>
      </c>
      <c r="D38" s="180" t="s">
        <v>1713</v>
      </c>
      <c r="E38" s="251" t="n">
        <f aca="false">IF(D38="Fully Compliant",5,IF(D38="Partially Compliant",3,IF(D38="Not Applicable",5,0)))</f>
        <v>3</v>
      </c>
      <c r="F38" s="212" t="s">
        <v>762</v>
      </c>
      <c r="G38" s="221" t="s">
        <v>1804</v>
      </c>
      <c r="H38" s="129" t="s">
        <v>1805</v>
      </c>
      <c r="I38" s="305" t="s">
        <v>1806</v>
      </c>
    </row>
    <row r="39" customFormat="false" ht="36" hidden="false" customHeight="true" outlineLevel="0" collapsed="false">
      <c r="B39" s="304" t="s">
        <v>1807</v>
      </c>
      <c r="C39" s="113" t="s">
        <v>1808</v>
      </c>
      <c r="D39" s="180" t="s">
        <v>1713</v>
      </c>
      <c r="E39" s="251" t="n">
        <f aca="false">IF(D39="Fully Compliant",5,IF(D39="Partially Compliant",3,IF(D39="Not Applicable",5,0)))</f>
        <v>3</v>
      </c>
      <c r="F39" s="212" t="s">
        <v>762</v>
      </c>
      <c r="G39" s="221" t="s">
        <v>1809</v>
      </c>
      <c r="H39" s="129" t="s">
        <v>1810</v>
      </c>
      <c r="I39" s="305" t="s">
        <v>1811</v>
      </c>
    </row>
    <row r="40" customFormat="false" ht="36" hidden="false" customHeight="true" outlineLevel="0" collapsed="false">
      <c r="B40" s="304" t="s">
        <v>1812</v>
      </c>
      <c r="C40" s="113" t="s">
        <v>1723</v>
      </c>
      <c r="D40" s="180"/>
      <c r="E40" s="251" t="n">
        <f aca="false">IF(D40="Fully Compliant",5,IF(D40="Partially Compliant",3,IF(D40="Not Applicable",5,0)))</f>
        <v>0</v>
      </c>
      <c r="F40" s="212" t="s">
        <v>762</v>
      </c>
      <c r="G40" s="221" t="s">
        <v>1813</v>
      </c>
      <c r="H40" s="129"/>
      <c r="I40" s="305" t="s">
        <v>1814</v>
      </c>
    </row>
    <row r="41" customFormat="false" ht="36" hidden="false" customHeight="true" outlineLevel="0" collapsed="false">
      <c r="B41" s="304" t="s">
        <v>1815</v>
      </c>
      <c r="C41" s="113" t="s">
        <v>1219</v>
      </c>
      <c r="D41" s="180"/>
      <c r="E41" s="251" t="n">
        <f aca="false">IF(D41="Fully Compliant",5,IF(D41="Partially Compliant",3,IF(D41="Not Applicable",5,0)))</f>
        <v>0</v>
      </c>
      <c r="F41" s="212" t="s">
        <v>762</v>
      </c>
      <c r="G41" s="221" t="s">
        <v>1750</v>
      </c>
      <c r="H41" s="129"/>
      <c r="I41" s="305" t="s">
        <v>1783</v>
      </c>
    </row>
    <row r="42" customFormat="false" ht="13.5" hidden="false" customHeight="true" outlineLevel="0" collapsed="false">
      <c r="B42" s="314" t="s">
        <v>1816</v>
      </c>
      <c r="E42" s="315" t="n">
        <f aca="false">SUM(E34,E35,E36,E37,E38,E39,E40,E41)</f>
        <v>12</v>
      </c>
    </row>
    <row r="44" customFormat="false" ht="13.5" hidden="false" customHeight="true" outlineLevel="0" collapsed="false">
      <c r="A44" s="146" t="s">
        <v>1817</v>
      </c>
      <c r="B44" s="146"/>
      <c r="C44" s="146"/>
      <c r="D44" s="146"/>
      <c r="E44" s="146"/>
      <c r="F44" s="146"/>
      <c r="G44" s="146"/>
      <c r="H44" s="146"/>
      <c r="I44" s="146"/>
    </row>
    <row r="45" customFormat="false" ht="13.5" hidden="false" customHeight="true" outlineLevel="0" collapsed="false">
      <c r="B45" s="316" t="s">
        <v>1694</v>
      </c>
      <c r="C45" s="147" t="s">
        <v>1695</v>
      </c>
      <c r="D45" s="147" t="s">
        <v>520</v>
      </c>
      <c r="E45" s="147" t="s">
        <v>1007</v>
      </c>
      <c r="F45" s="147" t="s">
        <v>811</v>
      </c>
      <c r="G45" s="148" t="s">
        <v>1696</v>
      </c>
      <c r="H45" s="148" t="s">
        <v>1697</v>
      </c>
      <c r="I45" s="148" t="s">
        <v>1698</v>
      </c>
    </row>
    <row r="46" customFormat="false" ht="36" hidden="false" customHeight="true" outlineLevel="0" collapsed="false">
      <c r="B46" s="304" t="s">
        <v>1818</v>
      </c>
      <c r="C46" s="113" t="s">
        <v>1819</v>
      </c>
      <c r="D46" s="180" t="s">
        <v>1713</v>
      </c>
      <c r="E46" s="251" t="n">
        <f aca="false">IF(D46="Fully Compliant",5,IF(D46="Partially Compliant",3,IF(D46="Not Applicable",5,0)))</f>
        <v>3</v>
      </c>
      <c r="F46" s="212" t="s">
        <v>762</v>
      </c>
      <c r="G46" s="221" t="s">
        <v>1820</v>
      </c>
      <c r="H46" s="129" t="s">
        <v>1821</v>
      </c>
      <c r="I46" s="305" t="s">
        <v>1822</v>
      </c>
    </row>
    <row r="47" customFormat="false" ht="36" hidden="false" customHeight="true" outlineLevel="0" collapsed="false">
      <c r="B47" s="304" t="s">
        <v>1823</v>
      </c>
      <c r="C47" s="113" t="s">
        <v>1824</v>
      </c>
      <c r="D47" s="180" t="s">
        <v>1713</v>
      </c>
      <c r="E47" s="251" t="n">
        <f aca="false">IF(D47="Fully Compliant",5,IF(D47="Partially Compliant",3,IF(D47="Not Applicable",5,0)))</f>
        <v>3</v>
      </c>
      <c r="F47" s="212" t="s">
        <v>762</v>
      </c>
      <c r="G47" s="221" t="s">
        <v>1825</v>
      </c>
      <c r="H47" s="129" t="s">
        <v>1826</v>
      </c>
      <c r="I47" s="305" t="s">
        <v>1827</v>
      </c>
    </row>
    <row r="48" customFormat="false" ht="36" hidden="false" customHeight="true" outlineLevel="0" collapsed="false">
      <c r="B48" s="304" t="s">
        <v>1828</v>
      </c>
      <c r="C48" s="113" t="s">
        <v>1829</v>
      </c>
      <c r="D48" s="180" t="s">
        <v>1830</v>
      </c>
      <c r="E48" s="251" t="n">
        <f aca="false">IF(D48="Fully Compliant",5,IF(D48="Partially Compliant",3,IF(D48="Not Applicable",5,0)))</f>
        <v>5</v>
      </c>
      <c r="F48" s="212" t="s">
        <v>762</v>
      </c>
      <c r="G48" s="221" t="s">
        <v>1831</v>
      </c>
      <c r="H48" s="129" t="s">
        <v>1832</v>
      </c>
      <c r="I48" s="305" t="s">
        <v>1833</v>
      </c>
    </row>
    <row r="49" customFormat="false" ht="36" hidden="false" customHeight="true" outlineLevel="0" collapsed="false">
      <c r="B49" s="304" t="s">
        <v>1834</v>
      </c>
      <c r="C49" s="113" t="s">
        <v>1835</v>
      </c>
      <c r="D49" s="180" t="s">
        <v>1713</v>
      </c>
      <c r="E49" s="251" t="n">
        <f aca="false">IF(D49="Fully Compliant",5,IF(D49="Partially Compliant",3,IF(D49="Not Applicable",5,0)))</f>
        <v>3</v>
      </c>
      <c r="F49" s="212" t="s">
        <v>762</v>
      </c>
      <c r="G49" s="221" t="s">
        <v>1836</v>
      </c>
      <c r="H49" s="129" t="s">
        <v>1837</v>
      </c>
      <c r="I49" s="305" t="s">
        <v>1838</v>
      </c>
    </row>
    <row r="50" customFormat="false" ht="36" hidden="false" customHeight="true" outlineLevel="0" collapsed="false">
      <c r="B50" s="304" t="s">
        <v>1839</v>
      </c>
      <c r="C50" s="113" t="s">
        <v>1840</v>
      </c>
      <c r="D50" s="180" t="s">
        <v>1830</v>
      </c>
      <c r="E50" s="251" t="n">
        <f aca="false">IF(D50="Fully Compliant",5,IF(D50="Partially Compliant",3,IF(D50="Not Applicable",5,0)))</f>
        <v>5</v>
      </c>
      <c r="F50" s="212" t="s">
        <v>762</v>
      </c>
      <c r="G50" s="221" t="s">
        <v>1841</v>
      </c>
      <c r="H50" s="129" t="s">
        <v>1842</v>
      </c>
      <c r="I50" s="305" t="s">
        <v>1843</v>
      </c>
    </row>
    <row r="51" customFormat="false" ht="36" hidden="false" customHeight="true" outlineLevel="0" collapsed="false">
      <c r="B51" s="304" t="s">
        <v>1844</v>
      </c>
      <c r="C51" s="113" t="s">
        <v>1845</v>
      </c>
      <c r="D51" s="180"/>
      <c r="E51" s="251" t="n">
        <f aca="false">IF(D51="Fully Compliant",5,IF(D51="Partially Compliant",3,IF(D51="Not Applicable",5,0)))</f>
        <v>0</v>
      </c>
      <c r="F51" s="212" t="s">
        <v>762</v>
      </c>
      <c r="G51" s="221" t="s">
        <v>1846</v>
      </c>
      <c r="H51" s="129"/>
      <c r="I51" s="305" t="s">
        <v>1847</v>
      </c>
    </row>
    <row r="52" customFormat="false" ht="36" hidden="false" customHeight="true" outlineLevel="0" collapsed="false">
      <c r="B52" s="304" t="s">
        <v>1848</v>
      </c>
      <c r="C52" s="113" t="s">
        <v>1849</v>
      </c>
      <c r="D52" s="180" t="s">
        <v>1830</v>
      </c>
      <c r="E52" s="251" t="n">
        <f aca="false">IF(D52="Fully Compliant",5,IF(D52="Partially Compliant",3,IF(D52="Not Applicable",5,0)))</f>
        <v>5</v>
      </c>
      <c r="F52" s="212" t="s">
        <v>762</v>
      </c>
      <c r="G52" s="221" t="s">
        <v>1850</v>
      </c>
      <c r="H52" s="129" t="s">
        <v>1851</v>
      </c>
      <c r="I52" s="305" t="s">
        <v>1852</v>
      </c>
    </row>
    <row r="53" customFormat="false" ht="13.5" hidden="false" customHeight="true" outlineLevel="0" collapsed="false">
      <c r="B53" s="317" t="s">
        <v>1853</v>
      </c>
      <c r="E53" s="318" t="n">
        <f aca="false">SUM(E46,E47,E48,E49,E50,E51,E52)</f>
        <v>24</v>
      </c>
    </row>
    <row r="55" customFormat="false" ht="13.5" hidden="false" customHeight="true" outlineLevel="0" collapsed="false">
      <c r="A55" s="319" t="s">
        <v>1854</v>
      </c>
      <c r="B55" s="319"/>
      <c r="C55" s="319"/>
      <c r="D55" s="319"/>
      <c r="E55" s="319"/>
      <c r="F55" s="319"/>
      <c r="G55" s="319"/>
      <c r="H55" s="319"/>
      <c r="I55" s="319"/>
    </row>
    <row r="56" customFormat="false" ht="13.5" hidden="false" customHeight="true" outlineLevel="0" collapsed="false">
      <c r="B56" s="320" t="s">
        <v>1694</v>
      </c>
      <c r="C56" s="321" t="s">
        <v>1695</v>
      </c>
      <c r="D56" s="321" t="s">
        <v>520</v>
      </c>
      <c r="E56" s="321" t="s">
        <v>1007</v>
      </c>
      <c r="F56" s="321" t="s">
        <v>811</v>
      </c>
      <c r="G56" s="322" t="s">
        <v>1696</v>
      </c>
      <c r="H56" s="322" t="s">
        <v>1697</v>
      </c>
      <c r="I56" s="322" t="s">
        <v>1698</v>
      </c>
    </row>
    <row r="57" customFormat="false" ht="36" hidden="false" customHeight="true" outlineLevel="0" collapsed="false">
      <c r="B57" s="304" t="s">
        <v>1855</v>
      </c>
      <c r="C57" s="113" t="s">
        <v>1712</v>
      </c>
      <c r="D57" s="180"/>
      <c r="E57" s="251" t="n">
        <f aca="false">IF(D57="Fully Compliant",5,IF(D57="Partially Compliant",3,IF(D57="Not Applicable",5,0)))</f>
        <v>0</v>
      </c>
      <c r="F57" s="212" t="s">
        <v>762</v>
      </c>
      <c r="G57" s="221" t="s">
        <v>1856</v>
      </c>
      <c r="H57" s="129"/>
      <c r="I57" s="305" t="s">
        <v>1857</v>
      </c>
    </row>
    <row r="58" customFormat="false" ht="36" hidden="false" customHeight="true" outlineLevel="0" collapsed="false">
      <c r="B58" s="304" t="s">
        <v>1858</v>
      </c>
      <c r="C58" s="113" t="s">
        <v>1859</v>
      </c>
      <c r="D58" s="180"/>
      <c r="E58" s="251" t="n">
        <f aca="false">IF(D58="Fully Compliant",5,IF(D58="Partially Compliant",3,IF(D58="Not Applicable",5,0)))</f>
        <v>0</v>
      </c>
      <c r="F58" s="212" t="s">
        <v>762</v>
      </c>
      <c r="G58" s="221" t="s">
        <v>1860</v>
      </c>
      <c r="H58" s="129"/>
      <c r="I58" s="305" t="s">
        <v>1861</v>
      </c>
    </row>
    <row r="59" customFormat="false" ht="36" hidden="false" customHeight="true" outlineLevel="0" collapsed="false">
      <c r="B59" s="304" t="s">
        <v>1862</v>
      </c>
      <c r="C59" s="113" t="s">
        <v>1733</v>
      </c>
      <c r="D59" s="180"/>
      <c r="E59" s="251" t="n">
        <f aca="false">IF(D59="Fully Compliant",5,IF(D59="Partially Compliant",3,IF(D59="Not Applicable",5,0)))</f>
        <v>0</v>
      </c>
      <c r="F59" s="212" t="s">
        <v>762</v>
      </c>
      <c r="G59" s="221" t="s">
        <v>1863</v>
      </c>
      <c r="H59" s="129"/>
      <c r="I59" s="305" t="s">
        <v>1864</v>
      </c>
    </row>
    <row r="60" customFormat="false" ht="36" hidden="false" customHeight="true" outlineLevel="0" collapsed="false">
      <c r="B60" s="304" t="s">
        <v>1865</v>
      </c>
      <c r="C60" s="113" t="s">
        <v>1803</v>
      </c>
      <c r="D60" s="180"/>
      <c r="E60" s="251" t="n">
        <f aca="false">IF(D60="Fully Compliant",5,IF(D60="Partially Compliant",3,IF(D60="Not Applicable",5,0)))</f>
        <v>0</v>
      </c>
      <c r="F60" s="212" t="s">
        <v>762</v>
      </c>
      <c r="G60" s="221" t="s">
        <v>1866</v>
      </c>
      <c r="H60" s="129"/>
      <c r="I60" s="305" t="s">
        <v>1867</v>
      </c>
    </row>
    <row r="61" customFormat="false" ht="36" hidden="false" customHeight="true" outlineLevel="0" collapsed="false">
      <c r="B61" s="304" t="s">
        <v>1868</v>
      </c>
      <c r="C61" s="113" t="s">
        <v>1869</v>
      </c>
      <c r="D61" s="180"/>
      <c r="E61" s="251" t="n">
        <f aca="false">IF(D61="Fully Compliant",5,IF(D61="Partially Compliant",3,IF(D61="Not Applicable",5,0)))</f>
        <v>0</v>
      </c>
      <c r="F61" s="212" t="s">
        <v>762</v>
      </c>
      <c r="G61" s="221" t="s">
        <v>1870</v>
      </c>
      <c r="H61" s="129"/>
      <c r="I61" s="305" t="s">
        <v>1744</v>
      </c>
    </row>
    <row r="62" customFormat="false" ht="36" hidden="false" customHeight="true" outlineLevel="0" collapsed="false">
      <c r="B62" s="304" t="s">
        <v>1871</v>
      </c>
      <c r="C62" s="113" t="s">
        <v>1872</v>
      </c>
      <c r="D62" s="180"/>
      <c r="E62" s="251" t="n">
        <f aca="false">IF(D62="Fully Compliant",5,IF(D62="Partially Compliant",3,IF(D62="Not Applicable",5,0)))</f>
        <v>0</v>
      </c>
      <c r="F62" s="212" t="s">
        <v>762</v>
      </c>
      <c r="G62" s="221" t="s">
        <v>1873</v>
      </c>
      <c r="H62" s="129"/>
      <c r="I62" s="305" t="s">
        <v>1874</v>
      </c>
    </row>
    <row r="63" customFormat="false" ht="36" hidden="false" customHeight="true" outlineLevel="0" collapsed="false">
      <c r="B63" s="304" t="s">
        <v>1875</v>
      </c>
      <c r="C63" s="113" t="s">
        <v>1876</v>
      </c>
      <c r="D63" s="180"/>
      <c r="E63" s="251" t="n">
        <f aca="false">IF(D63="Fully Compliant",5,IF(D63="Partially Compliant",3,IF(D63="Not Applicable",5,0)))</f>
        <v>0</v>
      </c>
      <c r="F63" s="212" t="s">
        <v>762</v>
      </c>
      <c r="G63" s="221" t="s">
        <v>1769</v>
      </c>
      <c r="H63" s="129"/>
      <c r="I63" s="305" t="s">
        <v>1877</v>
      </c>
    </row>
    <row r="64" customFormat="false" ht="13.5" hidden="false" customHeight="true" outlineLevel="0" collapsed="false">
      <c r="B64" s="323" t="s">
        <v>1878</v>
      </c>
      <c r="E64" s="324" t="n">
        <f aca="false">SUM(E57,E58,E59,E60,E61,E62,E63)</f>
        <v>0</v>
      </c>
    </row>
  </sheetData>
  <mergeCells count="6">
    <mergeCell ref="A1:I1"/>
    <mergeCell ref="A3:I3"/>
    <mergeCell ref="A19:I19"/>
    <mergeCell ref="A32:I32"/>
    <mergeCell ref="A44:I44"/>
    <mergeCell ref="A55:I55"/>
  </mergeCells>
  <dataValidations count="43">
    <dataValidation allowBlank="true" errorStyle="stop" operator="between" showDropDown="false" showErrorMessage="false" showInputMessage="false" sqref="D5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6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7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8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9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0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1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2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3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4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5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16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1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2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3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4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5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6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7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8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29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4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5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6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7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8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39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0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1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6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7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8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49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0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1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2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7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8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59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60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61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62" type="list">
      <formula1>"Fully Compliant,Partially Compliant,Gap,Not Applicable"</formula1>
      <formula2>0</formula2>
    </dataValidation>
    <dataValidation allowBlank="true" errorStyle="stop" operator="between" showDropDown="false" showErrorMessage="false" showInputMessage="false" sqref="D63" type="list">
      <formula1>"Fully Compliant,Partially Compliant,Gap,Not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4F12"/>
    <pageSetUpPr fitToPage="false"/>
  </sheetPr>
  <dimension ref="A1:K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0"/>
    <col collapsed="false" customWidth="true" hidden="false" outlineLevel="0" max="10" min="9" style="1" width="12"/>
    <col collapsed="false" customWidth="true" hidden="false" outlineLevel="0" max="11" min="11" style="1" width="14"/>
  </cols>
  <sheetData>
    <row r="1" customFormat="false" ht="21.75" hidden="false" customHeight="true" outlineLevel="0" collapsed="false">
      <c r="A1" s="204" t="s">
        <v>1879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</row>
    <row r="3" customFormat="false" ht="13.5" hidden="false" customHeight="true" outlineLevel="0" collapsed="false">
      <c r="A3" s="146" t="s">
        <v>1880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customFormat="false" ht="27.75" hidden="false" customHeight="true" outlineLevel="0" collapsed="false">
      <c r="A4" s="316" t="s">
        <v>1881</v>
      </c>
      <c r="B4" s="325" t="s">
        <v>1882</v>
      </c>
      <c r="C4" s="325" t="s">
        <v>1883</v>
      </c>
      <c r="D4" s="325" t="s">
        <v>1884</v>
      </c>
      <c r="E4" s="325" t="s">
        <v>1885</v>
      </c>
      <c r="F4" s="325" t="s">
        <v>1886</v>
      </c>
      <c r="G4" s="325" t="s">
        <v>1887</v>
      </c>
      <c r="H4" s="325" t="s">
        <v>1888</v>
      </c>
      <c r="I4" s="147" t="s">
        <v>514</v>
      </c>
      <c r="J4" s="147" t="s">
        <v>515</v>
      </c>
      <c r="K4" s="148" t="s">
        <v>1889</v>
      </c>
    </row>
    <row r="5" customFormat="false" ht="12.75" hidden="false" customHeight="true" outlineLevel="0" collapsed="false">
      <c r="A5" s="150" t="s">
        <v>1890</v>
      </c>
      <c r="B5" s="154" t="n">
        <v>3</v>
      </c>
      <c r="C5" s="154" t="n">
        <v>3</v>
      </c>
      <c r="D5" s="154" t="n">
        <v>3</v>
      </c>
      <c r="E5" s="154" t="n">
        <v>3</v>
      </c>
      <c r="F5" s="154" t="n">
        <v>3</v>
      </c>
      <c r="G5" s="154" t="n">
        <v>3</v>
      </c>
      <c r="H5" s="154" t="n">
        <v>3</v>
      </c>
      <c r="I5" s="326" t="n">
        <f aca="false">IFERROR(SUM(B5:H5)/(COUNTIF(B5:H5,"&lt;&gt;"&amp;"N/A")*5)*100,0)</f>
        <v>60</v>
      </c>
      <c r="J5" s="274" t="str">
        <f aca="false">IF(I5&gt;=90,"A",IF(I5&gt;=80,"B","C"))</f>
        <v>C</v>
      </c>
      <c r="K5" s="221" t="s">
        <v>1891</v>
      </c>
    </row>
    <row r="6" customFormat="false" ht="12.75" hidden="false" customHeight="true" outlineLevel="0" collapsed="false">
      <c r="A6" s="150" t="s">
        <v>1892</v>
      </c>
      <c r="B6" s="154" t="n">
        <v>3</v>
      </c>
      <c r="C6" s="154" t="n">
        <v>3</v>
      </c>
      <c r="D6" s="154" t="n">
        <v>3</v>
      </c>
      <c r="E6" s="154" t="n">
        <v>3</v>
      </c>
      <c r="F6" s="154" t="n">
        <v>3</v>
      </c>
      <c r="G6" s="154" t="n">
        <v>3</v>
      </c>
      <c r="H6" s="154" t="n">
        <v>3</v>
      </c>
      <c r="I6" s="326" t="n">
        <f aca="false">IFERROR(SUM(B6:H6)/(COUNTIF(B6:H6,"&lt;&gt;"&amp;"N/A")*5)*100,0)</f>
        <v>60</v>
      </c>
      <c r="J6" s="274" t="str">
        <f aca="false">IF(I6&gt;=90,"A",IF(I6&gt;=80,"B","C"))</f>
        <v>C</v>
      </c>
      <c r="K6" s="221" t="s">
        <v>1893</v>
      </c>
    </row>
    <row r="7" customFormat="false" ht="12.75" hidden="false" customHeight="true" outlineLevel="0" collapsed="false">
      <c r="A7" s="150" t="s">
        <v>1894</v>
      </c>
      <c r="B7" s="154" t="n">
        <v>3</v>
      </c>
      <c r="C7" s="154" t="n">
        <v>3</v>
      </c>
      <c r="D7" s="154" t="n">
        <v>3</v>
      </c>
      <c r="E7" s="154" t="n">
        <v>3</v>
      </c>
      <c r="F7" s="154" t="n">
        <v>3</v>
      </c>
      <c r="G7" s="154" t="n">
        <v>3</v>
      </c>
      <c r="H7" s="154" t="n">
        <v>3</v>
      </c>
      <c r="I7" s="326" t="n">
        <f aca="false">IFERROR(SUM(B7:H7)/(COUNTIF(B7:H7,"&lt;&gt;"&amp;"N/A")*5)*100,0)</f>
        <v>60</v>
      </c>
      <c r="J7" s="274" t="str">
        <f aca="false">IF(I7&gt;=90,"A",IF(I7&gt;=80,"B","C"))</f>
        <v>C</v>
      </c>
      <c r="K7" s="221" t="s">
        <v>1893</v>
      </c>
    </row>
    <row r="8" customFormat="false" ht="12.75" hidden="false" customHeight="true" outlineLevel="0" collapsed="false">
      <c r="A8" s="150" t="s">
        <v>1895</v>
      </c>
      <c r="B8" s="154" t="n">
        <v>3</v>
      </c>
      <c r="C8" s="154" t="n">
        <v>3</v>
      </c>
      <c r="D8" s="154" t="n">
        <v>3</v>
      </c>
      <c r="E8" s="154" t="n">
        <v>3</v>
      </c>
      <c r="F8" s="154" t="n">
        <v>3</v>
      </c>
      <c r="G8" s="154" t="n">
        <v>3</v>
      </c>
      <c r="H8" s="154" t="n">
        <v>3</v>
      </c>
      <c r="I8" s="326" t="n">
        <f aca="false">IFERROR(SUM(B8:H8)/(COUNTIF(B8:H8,"&lt;&gt;"&amp;"N/A")*5)*100,0)</f>
        <v>60</v>
      </c>
      <c r="J8" s="274" t="str">
        <f aca="false">IF(I8&gt;=90,"A",IF(I8&gt;=80,"B","C"))</f>
        <v>C</v>
      </c>
      <c r="K8" s="221" t="s">
        <v>1893</v>
      </c>
    </row>
    <row r="9" customFormat="false" ht="12.75" hidden="false" customHeight="true" outlineLevel="0" collapsed="false">
      <c r="A9" s="150" t="s">
        <v>1896</v>
      </c>
      <c r="B9" s="154" t="n">
        <v>3</v>
      </c>
      <c r="C9" s="154" t="n">
        <v>3</v>
      </c>
      <c r="D9" s="154" t="n">
        <v>3</v>
      </c>
      <c r="E9" s="154" t="n">
        <v>3</v>
      </c>
      <c r="F9" s="154" t="n">
        <v>3</v>
      </c>
      <c r="G9" s="154" t="n">
        <v>3</v>
      </c>
      <c r="H9" s="154" t="n">
        <v>3</v>
      </c>
      <c r="I9" s="326" t="n">
        <f aca="false">IFERROR(SUM(B9:H9)/(COUNTIF(B9:H9,"&lt;&gt;"&amp;"N/A")*5)*100,0)</f>
        <v>60</v>
      </c>
      <c r="J9" s="274" t="str">
        <f aca="false">IF(I9&gt;=90,"A",IF(I9&gt;=80,"B","C"))</f>
        <v>C</v>
      </c>
      <c r="K9" s="221" t="s">
        <v>1897</v>
      </c>
    </row>
    <row r="10" customFormat="false" ht="12.75" hidden="false" customHeight="true" outlineLevel="0" collapsed="false">
      <c r="A10" s="150" t="s">
        <v>1898</v>
      </c>
      <c r="B10" s="154" t="n">
        <v>3</v>
      </c>
      <c r="C10" s="154" t="n">
        <v>3</v>
      </c>
      <c r="D10" s="154" t="n">
        <v>3</v>
      </c>
      <c r="E10" s="154" t="n">
        <v>3</v>
      </c>
      <c r="F10" s="154" t="n">
        <v>3</v>
      </c>
      <c r="G10" s="154" t="n">
        <v>3</v>
      </c>
      <c r="H10" s="154" t="n">
        <v>3</v>
      </c>
      <c r="I10" s="326" t="n">
        <f aca="false">IFERROR(SUM(B10:H10)/(COUNTIF(B10:H10,"&lt;&gt;"&amp;"N/A")*5)*100,0)</f>
        <v>60</v>
      </c>
      <c r="J10" s="274" t="str">
        <f aca="false">IF(I10&gt;=90,"A",IF(I10&gt;=80,"B","C"))</f>
        <v>C</v>
      </c>
      <c r="K10" s="221" t="s">
        <v>1899</v>
      </c>
    </row>
    <row r="11" customFormat="false" ht="12.75" hidden="false" customHeight="true" outlineLevel="0" collapsed="false">
      <c r="A11" s="150" t="s">
        <v>1900</v>
      </c>
      <c r="B11" s="154" t="n">
        <v>3</v>
      </c>
      <c r="C11" s="154" t="n">
        <v>3</v>
      </c>
      <c r="D11" s="154" t="n">
        <v>3</v>
      </c>
      <c r="E11" s="154" t="n">
        <v>3</v>
      </c>
      <c r="F11" s="154" t="n">
        <v>3</v>
      </c>
      <c r="G11" s="154" t="n">
        <v>3</v>
      </c>
      <c r="H11" s="154" t="n">
        <v>3</v>
      </c>
      <c r="I11" s="326" t="n">
        <f aca="false">IFERROR(SUM(B11:H11)/(COUNTIF(B11:H11,"&lt;&gt;"&amp;"N/A")*5)*100,0)</f>
        <v>60</v>
      </c>
      <c r="J11" s="274" t="str">
        <f aca="false">IF(I11&gt;=90,"A",IF(I11&gt;=80,"B","C"))</f>
        <v>C</v>
      </c>
      <c r="K11" s="221" t="s">
        <v>1901</v>
      </c>
    </row>
    <row r="12" customFormat="false" ht="12.75" hidden="false" customHeight="true" outlineLevel="0" collapsed="false">
      <c r="A12" s="150" t="s">
        <v>1902</v>
      </c>
      <c r="B12" s="154" t="n">
        <v>3</v>
      </c>
      <c r="C12" s="154" t="n">
        <v>3</v>
      </c>
      <c r="D12" s="154" t="n">
        <v>3</v>
      </c>
      <c r="E12" s="154" t="n">
        <v>3</v>
      </c>
      <c r="F12" s="154" t="n">
        <v>3</v>
      </c>
      <c r="G12" s="154" t="n">
        <v>3</v>
      </c>
      <c r="H12" s="154" t="n">
        <v>3</v>
      </c>
      <c r="I12" s="326" t="n">
        <f aca="false">IFERROR(SUM(B12:H12)/(COUNTIF(B12:H12,"&lt;&gt;"&amp;"N/A")*5)*100,0)</f>
        <v>60</v>
      </c>
      <c r="J12" s="274" t="str">
        <f aca="false">IF(I12&gt;=90,"A",IF(I12&gt;=80,"B","C"))</f>
        <v>C</v>
      </c>
      <c r="K12" s="221" t="s">
        <v>1903</v>
      </c>
    </row>
    <row r="13" customFormat="false" ht="12.75" hidden="false" customHeight="true" outlineLevel="0" collapsed="false">
      <c r="A13" s="150" t="s">
        <v>1904</v>
      </c>
      <c r="B13" s="154" t="n">
        <v>3</v>
      </c>
      <c r="C13" s="154" t="n">
        <v>3</v>
      </c>
      <c r="D13" s="154" t="n">
        <v>3</v>
      </c>
      <c r="E13" s="154" t="n">
        <v>3</v>
      </c>
      <c r="F13" s="154" t="n">
        <v>3</v>
      </c>
      <c r="G13" s="154" t="n">
        <v>3</v>
      </c>
      <c r="H13" s="154" t="n">
        <v>3</v>
      </c>
      <c r="I13" s="326" t="n">
        <f aca="false">IFERROR(SUM(B13:H13)/(COUNTIF(B13:H13,"&lt;&gt;"&amp;"N/A")*5)*100,0)</f>
        <v>60</v>
      </c>
      <c r="J13" s="274" t="str">
        <f aca="false">IF(I13&gt;=90,"A",IF(I13&gt;=80,"B","C"))</f>
        <v>C</v>
      </c>
      <c r="K13" s="221" t="s">
        <v>1905</v>
      </c>
    </row>
    <row r="14" customFormat="false" ht="12.75" hidden="false" customHeight="true" outlineLevel="0" collapsed="false">
      <c r="A14" s="150" t="s">
        <v>1906</v>
      </c>
      <c r="B14" s="154" t="n">
        <v>3</v>
      </c>
      <c r="C14" s="154" t="n">
        <v>3</v>
      </c>
      <c r="D14" s="154" t="n">
        <v>3</v>
      </c>
      <c r="E14" s="154" t="n">
        <v>3</v>
      </c>
      <c r="F14" s="154" t="n">
        <v>3</v>
      </c>
      <c r="G14" s="154" t="n">
        <v>3</v>
      </c>
      <c r="H14" s="154" t="n">
        <v>3</v>
      </c>
      <c r="I14" s="326" t="n">
        <f aca="false">IFERROR(SUM(B14:H14)/(COUNTIF(B14:H14,"&lt;&gt;"&amp;"N/A")*5)*100,0)</f>
        <v>60</v>
      </c>
      <c r="J14" s="274" t="str">
        <f aca="false">IF(I14&gt;=90,"A",IF(I14&gt;=80,"B","C"))</f>
        <v>C</v>
      </c>
      <c r="K14" s="221" t="s">
        <v>1907</v>
      </c>
    </row>
    <row r="15" customFormat="false" ht="12.75" hidden="false" customHeight="true" outlineLevel="0" collapsed="false">
      <c r="A15" s="150" t="s">
        <v>1908</v>
      </c>
      <c r="B15" s="154" t="n">
        <v>3</v>
      </c>
      <c r="C15" s="154" t="n">
        <v>3</v>
      </c>
      <c r="D15" s="154" t="n">
        <v>3</v>
      </c>
      <c r="E15" s="154" t="n">
        <v>3</v>
      </c>
      <c r="F15" s="154" t="n">
        <v>3</v>
      </c>
      <c r="G15" s="154" t="n">
        <v>3</v>
      </c>
      <c r="H15" s="154" t="n">
        <v>3</v>
      </c>
      <c r="I15" s="326" t="n">
        <f aca="false">IFERROR(SUM(B15:H15)/(COUNTIF(B15:H15,"&lt;&gt;"&amp;"N/A")*5)*100,0)</f>
        <v>60</v>
      </c>
      <c r="J15" s="274" t="str">
        <f aca="false">IF(I15&gt;=90,"A",IF(I15&gt;=80,"B","C"))</f>
        <v>C</v>
      </c>
      <c r="K15" s="221" t="s">
        <v>1909</v>
      </c>
    </row>
    <row r="16" customFormat="false" ht="12.75" hidden="false" customHeight="true" outlineLevel="0" collapsed="false">
      <c r="A16" s="150" t="s">
        <v>1910</v>
      </c>
      <c r="B16" s="154" t="n">
        <v>3</v>
      </c>
      <c r="C16" s="154" t="n">
        <v>3</v>
      </c>
      <c r="D16" s="154" t="n">
        <v>3</v>
      </c>
      <c r="E16" s="154" t="n">
        <v>3</v>
      </c>
      <c r="F16" s="154" t="n">
        <v>3</v>
      </c>
      <c r="G16" s="154" t="n">
        <v>3</v>
      </c>
      <c r="H16" s="154" t="n">
        <v>3</v>
      </c>
      <c r="I16" s="326" t="n">
        <f aca="false">IFERROR(SUM(B16:H16)/(COUNTIF(B16:H16,"&lt;&gt;"&amp;"N/A")*5)*100,0)</f>
        <v>60</v>
      </c>
      <c r="J16" s="274" t="str">
        <f aca="false">IF(I16&gt;=90,"A",IF(I16&gt;=80,"B","C"))</f>
        <v>C</v>
      </c>
      <c r="K16" s="221" t="s">
        <v>1911</v>
      </c>
    </row>
    <row r="18" customFormat="false" ht="13.5" hidden="false" customHeight="true" outlineLevel="0" collapsed="false">
      <c r="A18" s="146" t="s">
        <v>1912</v>
      </c>
      <c r="B18" s="146"/>
      <c r="C18" s="146"/>
      <c r="D18" s="146"/>
      <c r="E18" s="146"/>
      <c r="F18" s="146"/>
      <c r="G18" s="146"/>
      <c r="H18" s="146"/>
      <c r="I18" s="146"/>
      <c r="J18" s="146"/>
      <c r="K18" s="146"/>
    </row>
    <row r="19" customFormat="false" ht="13.5" hidden="false" customHeight="true" outlineLevel="0" collapsed="false">
      <c r="A19" s="148" t="s">
        <v>619</v>
      </c>
      <c r="B19" s="147" t="s">
        <v>1913</v>
      </c>
      <c r="C19" s="147" t="s">
        <v>1914</v>
      </c>
      <c r="D19" s="147" t="s">
        <v>1915</v>
      </c>
      <c r="E19" s="147" t="s">
        <v>1916</v>
      </c>
      <c r="F19" s="147" t="s">
        <v>1917</v>
      </c>
      <c r="G19" s="147" t="s">
        <v>1918</v>
      </c>
      <c r="H19" s="147" t="s">
        <v>1919</v>
      </c>
      <c r="I19" s="147" t="s">
        <v>1920</v>
      </c>
      <c r="J19" s="147" t="s">
        <v>1921</v>
      </c>
      <c r="K19" s="147" t="s">
        <v>1922</v>
      </c>
    </row>
    <row r="20" customFormat="false" ht="12.75" hidden="false" customHeight="true" outlineLevel="0" collapsed="false">
      <c r="A20" s="260" t="s">
        <v>1923</v>
      </c>
      <c r="B20" s="260" t="s">
        <v>1924</v>
      </c>
      <c r="C20" s="327" t="n">
        <v>5701</v>
      </c>
      <c r="D20" s="327" t="n">
        <v>3.97</v>
      </c>
      <c r="E20" s="327" t="s">
        <v>812</v>
      </c>
      <c r="F20" s="327" t="s">
        <v>1925</v>
      </c>
      <c r="G20" s="327" t="s">
        <v>1926</v>
      </c>
      <c r="H20" s="327" t="s">
        <v>1927</v>
      </c>
      <c r="I20" s="327" t="n">
        <v>19</v>
      </c>
      <c r="J20" s="327" t="n">
        <v>40</v>
      </c>
      <c r="K20" s="327" t="n">
        <v>83000</v>
      </c>
    </row>
    <row r="21" customFormat="false" ht="12.75" hidden="false" customHeight="true" outlineLevel="0" collapsed="false">
      <c r="A21" s="328" t="s">
        <v>1923</v>
      </c>
      <c r="B21" s="328" t="s">
        <v>1928</v>
      </c>
      <c r="C21" s="212" t="n">
        <v>4712</v>
      </c>
      <c r="D21" s="212" t="n">
        <v>4.33</v>
      </c>
      <c r="E21" s="212" t="s">
        <v>812</v>
      </c>
      <c r="F21" s="212" t="s">
        <v>1925</v>
      </c>
      <c r="G21" s="212" t="s">
        <v>1926</v>
      </c>
      <c r="H21" s="212" t="s">
        <v>1927</v>
      </c>
      <c r="I21" s="212" t="n">
        <v>21</v>
      </c>
      <c r="J21" s="212" t="n">
        <v>40</v>
      </c>
      <c r="K21" s="212" t="n">
        <v>83000</v>
      </c>
    </row>
    <row r="22" customFormat="false" ht="12.75" hidden="false" customHeight="true" outlineLevel="0" collapsed="false">
      <c r="A22" s="260" t="s">
        <v>1929</v>
      </c>
      <c r="B22" s="260" t="s">
        <v>1924</v>
      </c>
      <c r="C22" s="327" t="n">
        <v>646</v>
      </c>
      <c r="D22" s="327" t="n">
        <v>2.24</v>
      </c>
      <c r="E22" s="327" t="s">
        <v>812</v>
      </c>
      <c r="F22" s="327" t="s">
        <v>1930</v>
      </c>
      <c r="G22" s="327" t="s">
        <v>1926</v>
      </c>
      <c r="H22" s="327" t="s">
        <v>1927</v>
      </c>
      <c r="I22" s="327" t="n">
        <v>3</v>
      </c>
      <c r="J22" s="327" t="n">
        <v>9</v>
      </c>
      <c r="K22" s="327" t="n">
        <v>0</v>
      </c>
    </row>
    <row r="23" customFormat="false" ht="12.75" hidden="false" customHeight="true" outlineLevel="0" collapsed="false">
      <c r="A23" s="328" t="s">
        <v>1929</v>
      </c>
      <c r="B23" s="328" t="s">
        <v>1928</v>
      </c>
      <c r="C23" s="212" t="n">
        <v>510</v>
      </c>
      <c r="D23" s="212" t="n">
        <v>2.75</v>
      </c>
      <c r="E23" s="212" t="s">
        <v>812</v>
      </c>
      <c r="F23" s="212" t="s">
        <v>1930</v>
      </c>
      <c r="G23" s="212" t="s">
        <v>1926</v>
      </c>
      <c r="H23" s="212" t="s">
        <v>1927</v>
      </c>
      <c r="I23" s="212" t="n">
        <v>3</v>
      </c>
      <c r="J23" s="212" t="n">
        <v>9</v>
      </c>
      <c r="K23" s="212" t="n">
        <v>0</v>
      </c>
    </row>
    <row r="24" customFormat="false" ht="12.75" hidden="false" customHeight="true" outlineLevel="0" collapsed="false">
      <c r="A24" s="260" t="s">
        <v>1931</v>
      </c>
      <c r="B24" s="260" t="s">
        <v>1924</v>
      </c>
      <c r="C24" s="327" t="n">
        <v>0</v>
      </c>
      <c r="D24" s="327" t="n">
        <v>3.36</v>
      </c>
      <c r="E24" s="327" t="s">
        <v>1932</v>
      </c>
      <c r="F24" s="327" t="s">
        <v>279</v>
      </c>
      <c r="G24" s="327" t="s">
        <v>1926</v>
      </c>
      <c r="H24" s="327" t="s">
        <v>1927</v>
      </c>
      <c r="I24" s="327" t="n">
        <v>2</v>
      </c>
      <c r="J24" s="327" t="n">
        <v>6</v>
      </c>
      <c r="K24" s="327" t="n">
        <v>0</v>
      </c>
    </row>
    <row r="25" customFormat="false" ht="12.75" hidden="false" customHeight="true" outlineLevel="0" collapsed="false">
      <c r="A25" s="260" t="s">
        <v>1933</v>
      </c>
      <c r="B25" s="260" t="s">
        <v>1924</v>
      </c>
      <c r="C25" s="327" t="n">
        <v>0</v>
      </c>
      <c r="D25" s="327" t="n">
        <v>5.53</v>
      </c>
      <c r="E25" s="327" t="s">
        <v>1932</v>
      </c>
      <c r="F25" s="327" t="s">
        <v>279</v>
      </c>
      <c r="G25" s="327" t="s">
        <v>1926</v>
      </c>
      <c r="H25" s="327" t="s">
        <v>1927</v>
      </c>
      <c r="I25" s="327" t="n">
        <v>4</v>
      </c>
      <c r="J25" s="327" t="n">
        <v>8</v>
      </c>
      <c r="K25" s="327" t="n">
        <v>0</v>
      </c>
    </row>
    <row r="26" customFormat="false" ht="12.75" hidden="false" customHeight="true" outlineLevel="0" collapsed="false">
      <c r="A26" s="260" t="s">
        <v>1934</v>
      </c>
      <c r="B26" s="260" t="s">
        <v>1924</v>
      </c>
      <c r="C26" s="327" t="n">
        <v>0</v>
      </c>
      <c r="D26" s="327" t="n">
        <v>5.87</v>
      </c>
      <c r="E26" s="327" t="s">
        <v>1932</v>
      </c>
      <c r="F26" s="327" t="s">
        <v>279</v>
      </c>
      <c r="G26" s="327" t="s">
        <v>1926</v>
      </c>
      <c r="H26" s="327" t="s">
        <v>1927</v>
      </c>
      <c r="I26" s="327" t="n">
        <v>3</v>
      </c>
      <c r="J26" s="327" t="n">
        <v>3</v>
      </c>
      <c r="K26" s="327" t="n">
        <v>13000</v>
      </c>
    </row>
    <row r="28" customFormat="false" ht="13.5" hidden="false" customHeight="true" outlineLevel="0" collapsed="false">
      <c r="A28" s="146" t="s">
        <v>1935</v>
      </c>
      <c r="B28" s="146"/>
      <c r="C28" s="146"/>
      <c r="D28" s="146"/>
      <c r="E28" s="146"/>
      <c r="F28" s="146"/>
      <c r="G28" s="146"/>
      <c r="H28" s="146"/>
      <c r="I28" s="146"/>
      <c r="J28" s="146"/>
      <c r="K28" s="146"/>
    </row>
    <row r="29" customFormat="false" ht="13.5" hidden="false" customHeight="true" outlineLevel="0" collapsed="false">
      <c r="A29" s="316" t="s">
        <v>1936</v>
      </c>
      <c r="B29" s="147" t="s">
        <v>1084</v>
      </c>
      <c r="C29" s="147" t="s">
        <v>1937</v>
      </c>
      <c r="I29" s="147" t="s">
        <v>512</v>
      </c>
    </row>
    <row r="30" customFormat="false" ht="27.75" hidden="false" customHeight="true" outlineLevel="0" collapsed="false">
      <c r="A30" s="329" t="s">
        <v>1938</v>
      </c>
      <c r="B30" s="330" t="s">
        <v>1939</v>
      </c>
      <c r="C30" s="331" t="s">
        <v>1940</v>
      </c>
      <c r="D30" s="331"/>
      <c r="E30" s="331"/>
      <c r="F30" s="331"/>
      <c r="G30" s="331"/>
      <c r="H30" s="331"/>
      <c r="I30" s="154" t="n">
        <v>5</v>
      </c>
    </row>
    <row r="31" customFormat="false" ht="27.75" hidden="false" customHeight="true" outlineLevel="0" collapsed="false">
      <c r="A31" s="329" t="s">
        <v>1941</v>
      </c>
      <c r="B31" s="330" t="s">
        <v>1942</v>
      </c>
      <c r="C31" s="331" t="s">
        <v>1943</v>
      </c>
      <c r="D31" s="331"/>
      <c r="E31" s="331"/>
      <c r="F31" s="331"/>
      <c r="G31" s="331"/>
      <c r="H31" s="331"/>
      <c r="I31" s="154" t="n">
        <v>5</v>
      </c>
    </row>
    <row r="32" customFormat="false" ht="27.75" hidden="false" customHeight="true" outlineLevel="0" collapsed="false">
      <c r="A32" s="329" t="s">
        <v>1944</v>
      </c>
      <c r="B32" s="330" t="s">
        <v>1942</v>
      </c>
      <c r="C32" s="331" t="s">
        <v>1945</v>
      </c>
      <c r="D32" s="331"/>
      <c r="E32" s="331"/>
      <c r="F32" s="331"/>
      <c r="G32" s="331"/>
      <c r="H32" s="331"/>
      <c r="I32" s="154" t="n">
        <v>4</v>
      </c>
    </row>
    <row r="33" customFormat="false" ht="27.75" hidden="false" customHeight="true" outlineLevel="0" collapsed="false">
      <c r="A33" s="329" t="s">
        <v>1946</v>
      </c>
      <c r="B33" s="330" t="s">
        <v>1942</v>
      </c>
      <c r="C33" s="331" t="s">
        <v>1947</v>
      </c>
      <c r="D33" s="331"/>
      <c r="E33" s="331"/>
      <c r="F33" s="331"/>
      <c r="G33" s="331"/>
      <c r="H33" s="331"/>
      <c r="I33" s="154" t="n">
        <v>5</v>
      </c>
    </row>
    <row r="34" customFormat="false" ht="27.75" hidden="false" customHeight="true" outlineLevel="0" collapsed="false">
      <c r="A34" s="329" t="s">
        <v>1948</v>
      </c>
      <c r="B34" s="330" t="s">
        <v>1949</v>
      </c>
      <c r="C34" s="331" t="s">
        <v>1950</v>
      </c>
      <c r="D34" s="331"/>
      <c r="E34" s="331"/>
      <c r="F34" s="331"/>
      <c r="G34" s="331"/>
      <c r="H34" s="331"/>
      <c r="I34" s="154" t="n">
        <v>2</v>
      </c>
    </row>
    <row r="35" customFormat="false" ht="27.75" hidden="false" customHeight="true" outlineLevel="0" collapsed="false">
      <c r="A35" s="329" t="s">
        <v>1951</v>
      </c>
      <c r="B35" s="330" t="s">
        <v>1952</v>
      </c>
      <c r="C35" s="331" t="s">
        <v>1953</v>
      </c>
      <c r="D35" s="331"/>
      <c r="E35" s="331"/>
      <c r="F35" s="331"/>
      <c r="G35" s="331"/>
      <c r="H35" s="331"/>
      <c r="I35" s="154" t="n">
        <v>5</v>
      </c>
    </row>
    <row r="36" customFormat="false" ht="27.75" hidden="false" customHeight="true" outlineLevel="0" collapsed="false">
      <c r="A36" s="329" t="s">
        <v>1954</v>
      </c>
      <c r="B36" s="330" t="s">
        <v>1955</v>
      </c>
      <c r="C36" s="331" t="s">
        <v>1956</v>
      </c>
      <c r="D36" s="331"/>
      <c r="E36" s="331"/>
      <c r="F36" s="331"/>
      <c r="G36" s="331"/>
      <c r="H36" s="331"/>
      <c r="I36" s="154" t="n">
        <v>4</v>
      </c>
    </row>
    <row r="37" customFormat="false" ht="27.75" hidden="false" customHeight="true" outlineLevel="0" collapsed="false">
      <c r="A37" s="329" t="s">
        <v>1957</v>
      </c>
      <c r="B37" s="330" t="s">
        <v>1958</v>
      </c>
      <c r="C37" s="331" t="s">
        <v>1959</v>
      </c>
      <c r="D37" s="331"/>
      <c r="E37" s="331"/>
      <c r="F37" s="331"/>
      <c r="G37" s="331"/>
      <c r="H37" s="331"/>
      <c r="I37" s="154" t="n">
        <v>4</v>
      </c>
    </row>
    <row r="38" customFormat="false" ht="27.75" hidden="false" customHeight="true" outlineLevel="0" collapsed="false">
      <c r="A38" s="329" t="s">
        <v>1960</v>
      </c>
      <c r="B38" s="330" t="s">
        <v>1939</v>
      </c>
      <c r="C38" s="331" t="s">
        <v>1961</v>
      </c>
      <c r="D38" s="331"/>
      <c r="E38" s="331"/>
      <c r="F38" s="331"/>
      <c r="G38" s="331"/>
      <c r="H38" s="331"/>
      <c r="I38" s="154" t="n">
        <v>1</v>
      </c>
    </row>
    <row r="39" customFormat="false" ht="27.75" hidden="false" customHeight="true" outlineLevel="0" collapsed="false">
      <c r="A39" s="329" t="s">
        <v>1962</v>
      </c>
      <c r="B39" s="330" t="s">
        <v>1963</v>
      </c>
      <c r="C39" s="331" t="s">
        <v>1964</v>
      </c>
      <c r="D39" s="331"/>
      <c r="E39" s="331"/>
      <c r="F39" s="331"/>
      <c r="G39" s="331"/>
      <c r="H39" s="331"/>
      <c r="I39" s="154" t="n">
        <v>4</v>
      </c>
    </row>
    <row r="41" customFormat="false" ht="15" hidden="false" customHeight="true" outlineLevel="0" collapsed="false">
      <c r="A41" s="332" t="s">
        <v>1965</v>
      </c>
    </row>
    <row r="42" customFormat="false" ht="15" hidden="false" customHeight="true" outlineLevel="0" collapsed="false">
      <c r="A42" s="1" t="s">
        <v>1966</v>
      </c>
      <c r="B42" s="1" t="s">
        <v>1967</v>
      </c>
      <c r="J42" s="1" t="s">
        <v>1968</v>
      </c>
    </row>
    <row r="43" customFormat="false" ht="15" hidden="false" customHeight="true" outlineLevel="0" collapsed="false">
      <c r="A43" s="1" t="s">
        <v>1969</v>
      </c>
      <c r="B43" s="1" t="s">
        <v>1970</v>
      </c>
    </row>
    <row r="44" customFormat="false" ht="15" hidden="false" customHeight="true" outlineLevel="0" collapsed="false">
      <c r="A44" s="1" t="s">
        <v>1971</v>
      </c>
      <c r="B44" s="1" t="s">
        <v>1972</v>
      </c>
    </row>
    <row r="45" customFormat="false" ht="15" hidden="false" customHeight="true" outlineLevel="0" collapsed="false">
      <c r="A45" s="1" t="s">
        <v>1973</v>
      </c>
      <c r="B45" s="1" t="s">
        <v>1974</v>
      </c>
    </row>
    <row r="46" customFormat="false" ht="15" hidden="false" customHeight="true" outlineLevel="0" collapsed="false">
      <c r="A46" s="1" t="s">
        <v>1975</v>
      </c>
      <c r="B46" s="1" t="s">
        <v>1976</v>
      </c>
    </row>
  </sheetData>
  <mergeCells count="14">
    <mergeCell ref="A1:K1"/>
    <mergeCell ref="A3:K3"/>
    <mergeCell ref="A18:K18"/>
    <mergeCell ref="A28:K28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</mergeCells>
  <dataValidations count="84">
    <dataValidation allowBlank="true" errorStyle="stop" operator="between" showDropDown="false" showErrorMessage="false" showInputMessage="false" sqref="B5" type="list">
      <formula1>"5,4,3,2,1,N/A"</formula1>
      <formula2>0</formula2>
    </dataValidation>
    <dataValidation allowBlank="true" errorStyle="stop" operator="between" showDropDown="false" showErrorMessage="false" showInputMessage="false" sqref="C5" type="list">
      <formula1>"5,4,3,2,1,N/A"</formula1>
      <formula2>0</formula2>
    </dataValidation>
    <dataValidation allowBlank="true" errorStyle="stop" operator="between" showDropDown="false" showErrorMessage="false" showInputMessage="false" sqref="D5" type="list">
      <formula1>"5,4,3,2,1,N/A"</formula1>
      <formula2>0</formula2>
    </dataValidation>
    <dataValidation allowBlank="true" errorStyle="stop" operator="between" showDropDown="false" showErrorMessage="false" showInputMessage="false" sqref="E5" type="list">
      <formula1>"5,4,3,2,1,N/A"</formula1>
      <formula2>0</formula2>
    </dataValidation>
    <dataValidation allowBlank="true" errorStyle="stop" operator="between" showDropDown="false" showErrorMessage="false" showInputMessage="false" sqref="F5" type="list">
      <formula1>"5,4,3,2,1,N/A"</formula1>
      <formula2>0</formula2>
    </dataValidation>
    <dataValidation allowBlank="true" errorStyle="stop" operator="between" showDropDown="false" showErrorMessage="false" showInputMessage="false" sqref="G5" type="list">
      <formula1>"5,4,3,2,1,N/A"</formula1>
      <formula2>0</formula2>
    </dataValidation>
    <dataValidation allowBlank="true" errorStyle="stop" operator="between" showDropDown="false" showErrorMessage="false" showInputMessage="false" sqref="H5" type="list">
      <formula1>"5,4,3,2,1,N/A"</formula1>
      <formula2>0</formula2>
    </dataValidation>
    <dataValidation allowBlank="true" errorStyle="stop" operator="between" showDropDown="false" showErrorMessage="false" showInputMessage="false" sqref="B6" type="list">
      <formula1>"5,4,3,2,1,N/A"</formula1>
      <formula2>0</formula2>
    </dataValidation>
    <dataValidation allowBlank="true" errorStyle="stop" operator="between" showDropDown="false" showErrorMessage="false" showInputMessage="false" sqref="C6" type="list">
      <formula1>"5,4,3,2,1,N/A"</formula1>
      <formula2>0</formula2>
    </dataValidation>
    <dataValidation allowBlank="true" errorStyle="stop" operator="between" showDropDown="false" showErrorMessage="false" showInputMessage="false" sqref="D6" type="list">
      <formula1>"5,4,3,2,1,N/A"</formula1>
      <formula2>0</formula2>
    </dataValidation>
    <dataValidation allowBlank="true" errorStyle="stop" operator="between" showDropDown="false" showErrorMessage="false" showInputMessage="false" sqref="E6" type="list">
      <formula1>"5,4,3,2,1,N/A"</formula1>
      <formula2>0</formula2>
    </dataValidation>
    <dataValidation allowBlank="true" errorStyle="stop" operator="between" showDropDown="false" showErrorMessage="false" showInputMessage="false" sqref="F6" type="list">
      <formula1>"5,4,3,2,1,N/A"</formula1>
      <formula2>0</formula2>
    </dataValidation>
    <dataValidation allowBlank="true" errorStyle="stop" operator="between" showDropDown="false" showErrorMessage="false" showInputMessage="false" sqref="G6" type="list">
      <formula1>"5,4,3,2,1,N/A"</formula1>
      <formula2>0</formula2>
    </dataValidation>
    <dataValidation allowBlank="true" errorStyle="stop" operator="between" showDropDown="false" showErrorMessage="false" showInputMessage="false" sqref="H6" type="list">
      <formula1>"5,4,3,2,1,N/A"</formula1>
      <formula2>0</formula2>
    </dataValidation>
    <dataValidation allowBlank="true" errorStyle="stop" operator="between" showDropDown="false" showErrorMessage="false" showInputMessage="false" sqref="B7" type="list">
      <formula1>"5,4,3,2,1,N/A"</formula1>
      <formula2>0</formula2>
    </dataValidation>
    <dataValidation allowBlank="true" errorStyle="stop" operator="between" showDropDown="false" showErrorMessage="false" showInputMessage="false" sqref="C7" type="list">
      <formula1>"5,4,3,2,1,N/A"</formula1>
      <formula2>0</formula2>
    </dataValidation>
    <dataValidation allowBlank="true" errorStyle="stop" operator="between" showDropDown="false" showErrorMessage="false" showInputMessage="false" sqref="D7" type="list">
      <formula1>"5,4,3,2,1,N/A"</formula1>
      <formula2>0</formula2>
    </dataValidation>
    <dataValidation allowBlank="true" errorStyle="stop" operator="between" showDropDown="false" showErrorMessage="false" showInputMessage="false" sqref="E7" type="list">
      <formula1>"5,4,3,2,1,N/A"</formula1>
      <formula2>0</formula2>
    </dataValidation>
    <dataValidation allowBlank="true" errorStyle="stop" operator="between" showDropDown="false" showErrorMessage="false" showInputMessage="false" sqref="F7" type="list">
      <formula1>"5,4,3,2,1,N/A"</formula1>
      <formula2>0</formula2>
    </dataValidation>
    <dataValidation allowBlank="true" errorStyle="stop" operator="between" showDropDown="false" showErrorMessage="false" showInputMessage="false" sqref="G7" type="list">
      <formula1>"5,4,3,2,1,N/A"</formula1>
      <formula2>0</formula2>
    </dataValidation>
    <dataValidation allowBlank="true" errorStyle="stop" operator="between" showDropDown="false" showErrorMessage="false" showInputMessage="false" sqref="H7" type="list">
      <formula1>"5,4,3,2,1,N/A"</formula1>
      <formula2>0</formula2>
    </dataValidation>
    <dataValidation allowBlank="true" errorStyle="stop" operator="between" showDropDown="false" showErrorMessage="false" showInputMessage="false" sqref="B8" type="list">
      <formula1>"5,4,3,2,1,N/A"</formula1>
      <formula2>0</formula2>
    </dataValidation>
    <dataValidation allowBlank="true" errorStyle="stop" operator="between" showDropDown="false" showErrorMessage="false" showInputMessage="false" sqref="C8" type="list">
      <formula1>"5,4,3,2,1,N/A"</formula1>
      <formula2>0</formula2>
    </dataValidation>
    <dataValidation allowBlank="true" errorStyle="stop" operator="between" showDropDown="false" showErrorMessage="false" showInputMessage="false" sqref="D8" type="list">
      <formula1>"5,4,3,2,1,N/A"</formula1>
      <formula2>0</formula2>
    </dataValidation>
    <dataValidation allowBlank="true" errorStyle="stop" operator="between" showDropDown="false" showErrorMessage="false" showInputMessage="false" sqref="E8" type="list">
      <formula1>"5,4,3,2,1,N/A"</formula1>
      <formula2>0</formula2>
    </dataValidation>
    <dataValidation allowBlank="true" errorStyle="stop" operator="between" showDropDown="false" showErrorMessage="false" showInputMessage="false" sqref="F8" type="list">
      <formula1>"5,4,3,2,1,N/A"</formula1>
      <formula2>0</formula2>
    </dataValidation>
    <dataValidation allowBlank="true" errorStyle="stop" operator="between" showDropDown="false" showErrorMessage="false" showInputMessage="false" sqref="G8" type="list">
      <formula1>"5,4,3,2,1,N/A"</formula1>
      <formula2>0</formula2>
    </dataValidation>
    <dataValidation allowBlank="true" errorStyle="stop" operator="between" showDropDown="false" showErrorMessage="false" showInputMessage="false" sqref="H8" type="list">
      <formula1>"5,4,3,2,1,N/A"</formula1>
      <formula2>0</formula2>
    </dataValidation>
    <dataValidation allowBlank="true" errorStyle="stop" operator="between" showDropDown="false" showErrorMessage="false" showInputMessage="false" sqref="B9" type="list">
      <formula1>"5,4,3,2,1,N/A"</formula1>
      <formula2>0</formula2>
    </dataValidation>
    <dataValidation allowBlank="true" errorStyle="stop" operator="between" showDropDown="false" showErrorMessage="false" showInputMessage="false" sqref="C9" type="list">
      <formula1>"5,4,3,2,1,N/A"</formula1>
      <formula2>0</formula2>
    </dataValidation>
    <dataValidation allowBlank="true" errorStyle="stop" operator="between" showDropDown="false" showErrorMessage="false" showInputMessage="false" sqref="D9" type="list">
      <formula1>"5,4,3,2,1,N/A"</formula1>
      <formula2>0</formula2>
    </dataValidation>
    <dataValidation allowBlank="true" errorStyle="stop" operator="between" showDropDown="false" showErrorMessage="false" showInputMessage="false" sqref="E9" type="list">
      <formula1>"5,4,3,2,1,N/A"</formula1>
      <formula2>0</formula2>
    </dataValidation>
    <dataValidation allowBlank="true" errorStyle="stop" operator="between" showDropDown="false" showErrorMessage="false" showInputMessage="false" sqref="F9" type="list">
      <formula1>"5,4,3,2,1,N/A"</formula1>
      <formula2>0</formula2>
    </dataValidation>
    <dataValidation allowBlank="true" errorStyle="stop" operator="between" showDropDown="false" showErrorMessage="false" showInputMessage="false" sqref="G9" type="list">
      <formula1>"5,4,3,2,1,N/A"</formula1>
      <formula2>0</formula2>
    </dataValidation>
    <dataValidation allowBlank="true" errorStyle="stop" operator="between" showDropDown="false" showErrorMessage="false" showInputMessage="false" sqref="H9" type="list">
      <formula1>"5,4,3,2,1,N/A"</formula1>
      <formula2>0</formula2>
    </dataValidation>
    <dataValidation allowBlank="true" errorStyle="stop" operator="between" showDropDown="false" showErrorMessage="false" showInputMessage="false" sqref="B10" type="list">
      <formula1>"5,4,3,2,1,N/A"</formula1>
      <formula2>0</formula2>
    </dataValidation>
    <dataValidation allowBlank="true" errorStyle="stop" operator="between" showDropDown="false" showErrorMessage="false" showInputMessage="false" sqref="C10" type="list">
      <formula1>"5,4,3,2,1,N/A"</formula1>
      <formula2>0</formula2>
    </dataValidation>
    <dataValidation allowBlank="true" errorStyle="stop" operator="between" showDropDown="false" showErrorMessage="false" showInputMessage="false" sqref="D10" type="list">
      <formula1>"5,4,3,2,1,N/A"</formula1>
      <formula2>0</formula2>
    </dataValidation>
    <dataValidation allowBlank="true" errorStyle="stop" operator="between" showDropDown="false" showErrorMessage="false" showInputMessage="false" sqref="E10" type="list">
      <formula1>"5,4,3,2,1,N/A"</formula1>
      <formula2>0</formula2>
    </dataValidation>
    <dataValidation allowBlank="true" errorStyle="stop" operator="between" showDropDown="false" showErrorMessage="false" showInputMessage="false" sqref="F10" type="list">
      <formula1>"5,4,3,2,1,N/A"</formula1>
      <formula2>0</formula2>
    </dataValidation>
    <dataValidation allowBlank="true" errorStyle="stop" operator="between" showDropDown="false" showErrorMessage="false" showInputMessage="false" sqref="G10" type="list">
      <formula1>"5,4,3,2,1,N/A"</formula1>
      <formula2>0</formula2>
    </dataValidation>
    <dataValidation allowBlank="true" errorStyle="stop" operator="between" showDropDown="false" showErrorMessage="false" showInputMessage="false" sqref="H10" type="list">
      <formula1>"5,4,3,2,1,N/A"</formula1>
      <formula2>0</formula2>
    </dataValidation>
    <dataValidation allowBlank="true" errorStyle="stop" operator="between" showDropDown="false" showErrorMessage="false" showInputMessage="false" sqref="B11" type="list">
      <formula1>"5,4,3,2,1,N/A"</formula1>
      <formula2>0</formula2>
    </dataValidation>
    <dataValidation allowBlank="true" errorStyle="stop" operator="between" showDropDown="false" showErrorMessage="false" showInputMessage="false" sqref="C11" type="list">
      <formula1>"5,4,3,2,1,N/A"</formula1>
      <formula2>0</formula2>
    </dataValidation>
    <dataValidation allowBlank="true" errorStyle="stop" operator="between" showDropDown="false" showErrorMessage="false" showInputMessage="false" sqref="D11" type="list">
      <formula1>"5,4,3,2,1,N/A"</formula1>
      <formula2>0</formula2>
    </dataValidation>
    <dataValidation allowBlank="true" errorStyle="stop" operator="between" showDropDown="false" showErrorMessage="false" showInputMessage="false" sqref="E11" type="list">
      <formula1>"5,4,3,2,1,N/A"</formula1>
      <formula2>0</formula2>
    </dataValidation>
    <dataValidation allowBlank="true" errorStyle="stop" operator="between" showDropDown="false" showErrorMessage="false" showInputMessage="false" sqref="F11" type="list">
      <formula1>"5,4,3,2,1,N/A"</formula1>
      <formula2>0</formula2>
    </dataValidation>
    <dataValidation allowBlank="true" errorStyle="stop" operator="between" showDropDown="false" showErrorMessage="false" showInputMessage="false" sqref="G11" type="list">
      <formula1>"5,4,3,2,1,N/A"</formula1>
      <formula2>0</formula2>
    </dataValidation>
    <dataValidation allowBlank="true" errorStyle="stop" operator="between" showDropDown="false" showErrorMessage="false" showInputMessage="false" sqref="H11" type="list">
      <formula1>"5,4,3,2,1,N/A"</formula1>
      <formula2>0</formula2>
    </dataValidation>
    <dataValidation allowBlank="true" errorStyle="stop" operator="between" showDropDown="false" showErrorMessage="false" showInputMessage="false" sqref="B12" type="list">
      <formula1>"5,4,3,2,1,N/A"</formula1>
      <formula2>0</formula2>
    </dataValidation>
    <dataValidation allowBlank="true" errorStyle="stop" operator="between" showDropDown="false" showErrorMessage="false" showInputMessage="false" sqref="C12" type="list">
      <formula1>"5,4,3,2,1,N/A"</formula1>
      <formula2>0</formula2>
    </dataValidation>
    <dataValidation allowBlank="true" errorStyle="stop" operator="between" showDropDown="false" showErrorMessage="false" showInputMessage="false" sqref="D12" type="list">
      <formula1>"5,4,3,2,1,N/A"</formula1>
      <formula2>0</formula2>
    </dataValidation>
    <dataValidation allowBlank="true" errorStyle="stop" operator="between" showDropDown="false" showErrorMessage="false" showInputMessage="false" sqref="E12" type="list">
      <formula1>"5,4,3,2,1,N/A"</formula1>
      <formula2>0</formula2>
    </dataValidation>
    <dataValidation allowBlank="true" errorStyle="stop" operator="between" showDropDown="false" showErrorMessage="false" showInputMessage="false" sqref="F12" type="list">
      <formula1>"5,4,3,2,1,N/A"</formula1>
      <formula2>0</formula2>
    </dataValidation>
    <dataValidation allowBlank="true" errorStyle="stop" operator="between" showDropDown="false" showErrorMessage="false" showInputMessage="false" sqref="G12" type="list">
      <formula1>"5,4,3,2,1,N/A"</formula1>
      <formula2>0</formula2>
    </dataValidation>
    <dataValidation allowBlank="true" errorStyle="stop" operator="between" showDropDown="false" showErrorMessage="false" showInputMessage="false" sqref="H12" type="list">
      <formula1>"5,4,3,2,1,N/A"</formula1>
      <formula2>0</formula2>
    </dataValidation>
    <dataValidation allowBlank="true" errorStyle="stop" operator="between" showDropDown="false" showErrorMessage="false" showInputMessage="false" sqref="B13" type="list">
      <formula1>"5,4,3,2,1,N/A"</formula1>
      <formula2>0</formula2>
    </dataValidation>
    <dataValidation allowBlank="true" errorStyle="stop" operator="between" showDropDown="false" showErrorMessage="false" showInputMessage="false" sqref="C13" type="list">
      <formula1>"5,4,3,2,1,N/A"</formula1>
      <formula2>0</formula2>
    </dataValidation>
    <dataValidation allowBlank="true" errorStyle="stop" operator="between" showDropDown="false" showErrorMessage="false" showInputMessage="false" sqref="D13" type="list">
      <formula1>"5,4,3,2,1,N/A"</formula1>
      <formula2>0</formula2>
    </dataValidation>
    <dataValidation allowBlank="true" errorStyle="stop" operator="between" showDropDown="false" showErrorMessage="false" showInputMessage="false" sqref="E13" type="list">
      <formula1>"5,4,3,2,1,N/A"</formula1>
      <formula2>0</formula2>
    </dataValidation>
    <dataValidation allowBlank="true" errorStyle="stop" operator="between" showDropDown="false" showErrorMessage="false" showInputMessage="false" sqref="F13" type="list">
      <formula1>"5,4,3,2,1,N/A"</formula1>
      <formula2>0</formula2>
    </dataValidation>
    <dataValidation allowBlank="true" errorStyle="stop" operator="between" showDropDown="false" showErrorMessage="false" showInputMessage="false" sqref="G13" type="list">
      <formula1>"5,4,3,2,1,N/A"</formula1>
      <formula2>0</formula2>
    </dataValidation>
    <dataValidation allowBlank="true" errorStyle="stop" operator="between" showDropDown="false" showErrorMessage="false" showInputMessage="false" sqref="H13" type="list">
      <formula1>"5,4,3,2,1,N/A"</formula1>
      <formula2>0</formula2>
    </dataValidation>
    <dataValidation allowBlank="true" errorStyle="stop" operator="between" showDropDown="false" showErrorMessage="false" showInputMessage="false" sqref="B14" type="list">
      <formula1>"5,4,3,2,1,N/A"</formula1>
      <formula2>0</formula2>
    </dataValidation>
    <dataValidation allowBlank="true" errorStyle="stop" operator="between" showDropDown="false" showErrorMessage="false" showInputMessage="false" sqref="C14" type="list">
      <formula1>"5,4,3,2,1,N/A"</formula1>
      <formula2>0</formula2>
    </dataValidation>
    <dataValidation allowBlank="true" errorStyle="stop" operator="between" showDropDown="false" showErrorMessage="false" showInputMessage="false" sqref="D14" type="list">
      <formula1>"5,4,3,2,1,N/A"</formula1>
      <formula2>0</formula2>
    </dataValidation>
    <dataValidation allowBlank="true" errorStyle="stop" operator="between" showDropDown="false" showErrorMessage="false" showInputMessage="false" sqref="E14" type="list">
      <formula1>"5,4,3,2,1,N/A"</formula1>
      <formula2>0</formula2>
    </dataValidation>
    <dataValidation allowBlank="true" errorStyle="stop" operator="between" showDropDown="false" showErrorMessage="false" showInputMessage="false" sqref="F14" type="list">
      <formula1>"5,4,3,2,1,N/A"</formula1>
      <formula2>0</formula2>
    </dataValidation>
    <dataValidation allowBlank="true" errorStyle="stop" operator="between" showDropDown="false" showErrorMessage="false" showInputMessage="false" sqref="G14" type="list">
      <formula1>"5,4,3,2,1,N/A"</formula1>
      <formula2>0</formula2>
    </dataValidation>
    <dataValidation allowBlank="true" errorStyle="stop" operator="between" showDropDown="false" showErrorMessage="false" showInputMessage="false" sqref="H14" type="list">
      <formula1>"5,4,3,2,1,N/A"</formula1>
      <formula2>0</formula2>
    </dataValidation>
    <dataValidation allowBlank="true" errorStyle="stop" operator="between" showDropDown="false" showErrorMessage="false" showInputMessage="false" sqref="B15" type="list">
      <formula1>"5,4,3,2,1,N/A"</formula1>
      <formula2>0</formula2>
    </dataValidation>
    <dataValidation allowBlank="true" errorStyle="stop" operator="between" showDropDown="false" showErrorMessage="false" showInputMessage="false" sqref="C15" type="list">
      <formula1>"5,4,3,2,1,N/A"</formula1>
      <formula2>0</formula2>
    </dataValidation>
    <dataValidation allowBlank="true" errorStyle="stop" operator="between" showDropDown="false" showErrorMessage="false" showInputMessage="false" sqref="D15" type="list">
      <formula1>"5,4,3,2,1,N/A"</formula1>
      <formula2>0</formula2>
    </dataValidation>
    <dataValidation allowBlank="true" errorStyle="stop" operator="between" showDropDown="false" showErrorMessage="false" showInputMessage="false" sqref="E15" type="list">
      <formula1>"5,4,3,2,1,N/A"</formula1>
      <formula2>0</formula2>
    </dataValidation>
    <dataValidation allowBlank="true" errorStyle="stop" operator="between" showDropDown="false" showErrorMessage="false" showInputMessage="false" sqref="F15" type="list">
      <formula1>"5,4,3,2,1,N/A"</formula1>
      <formula2>0</formula2>
    </dataValidation>
    <dataValidation allowBlank="true" errorStyle="stop" operator="between" showDropDown="false" showErrorMessage="false" showInputMessage="false" sqref="G15" type="list">
      <formula1>"5,4,3,2,1,N/A"</formula1>
      <formula2>0</formula2>
    </dataValidation>
    <dataValidation allowBlank="true" errorStyle="stop" operator="between" showDropDown="false" showErrorMessage="false" showInputMessage="false" sqref="H15" type="list">
      <formula1>"5,4,3,2,1,N/A"</formula1>
      <formula2>0</formula2>
    </dataValidation>
    <dataValidation allowBlank="true" errorStyle="stop" operator="between" showDropDown="false" showErrorMessage="false" showInputMessage="false" sqref="B16" type="list">
      <formula1>"5,4,3,2,1,N/A"</formula1>
      <formula2>0</formula2>
    </dataValidation>
    <dataValidation allowBlank="true" errorStyle="stop" operator="between" showDropDown="false" showErrorMessage="false" showInputMessage="false" sqref="C16" type="list">
      <formula1>"5,4,3,2,1,N/A"</formula1>
      <formula2>0</formula2>
    </dataValidation>
    <dataValidation allowBlank="true" errorStyle="stop" operator="between" showDropDown="false" showErrorMessage="false" showInputMessage="false" sqref="D16" type="list">
      <formula1>"5,4,3,2,1,N/A"</formula1>
      <formula2>0</formula2>
    </dataValidation>
    <dataValidation allowBlank="true" errorStyle="stop" operator="between" showDropDown="false" showErrorMessage="false" showInputMessage="false" sqref="E16" type="list">
      <formula1>"5,4,3,2,1,N/A"</formula1>
      <formula2>0</formula2>
    </dataValidation>
    <dataValidation allowBlank="true" errorStyle="stop" operator="between" showDropDown="false" showErrorMessage="false" showInputMessage="false" sqref="F16" type="list">
      <formula1>"5,4,3,2,1,N/A"</formula1>
      <formula2>0</formula2>
    </dataValidation>
    <dataValidation allowBlank="true" errorStyle="stop" operator="between" showDropDown="false" showErrorMessage="false" showInputMessage="false" sqref="G16" type="list">
      <formula1>"5,4,3,2,1,N/A"</formula1>
      <formula2>0</formula2>
    </dataValidation>
    <dataValidation allowBlank="true" errorStyle="stop" operator="between" showDropDown="false" showErrorMessage="false" showInputMessage="false" sqref="H16" type="list">
      <formula1>"5,4,3,2,1,N/A"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B3C"/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0"/>
    <col collapsed="false" customWidth="true" hidden="false" outlineLevel="0" max="10" min="10" style="1" width="12"/>
    <col collapsed="false" customWidth="true" hidden="false" outlineLevel="0" max="11" min="11" style="1" width="14"/>
    <col collapsed="false" customWidth="true" hidden="false" outlineLevel="0" max="12" min="12" style="1" width="18"/>
  </cols>
  <sheetData>
    <row r="1" customFormat="false" ht="21.75" hidden="false" customHeight="true" outlineLevel="0" collapsed="false">
      <c r="A1" s="102" t="s">
        <v>1977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3" customFormat="false" ht="13.5" hidden="false" customHeight="true" outlineLevel="0" collapsed="false">
      <c r="A3" s="118" t="s">
        <v>1978</v>
      </c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</row>
    <row r="4" customFormat="false" ht="27.75" hidden="false" customHeight="true" outlineLevel="0" collapsed="false">
      <c r="A4" s="303" t="s">
        <v>1979</v>
      </c>
      <c r="B4" s="111" t="s">
        <v>1980</v>
      </c>
      <c r="C4" s="112" t="s">
        <v>1981</v>
      </c>
      <c r="D4" s="112" t="s">
        <v>1982</v>
      </c>
      <c r="E4" s="112" t="s">
        <v>1983</v>
      </c>
      <c r="F4" s="112" t="s">
        <v>1984</v>
      </c>
      <c r="G4" s="112" t="s">
        <v>1985</v>
      </c>
      <c r="H4" s="112" t="s">
        <v>1986</v>
      </c>
      <c r="I4" s="112" t="s">
        <v>1987</v>
      </c>
      <c r="J4" s="112" t="s">
        <v>1988</v>
      </c>
      <c r="K4" s="112" t="s">
        <v>1989</v>
      </c>
      <c r="L4" s="112" t="s">
        <v>1990</v>
      </c>
      <c r="M4" s="111" t="s">
        <v>1991</v>
      </c>
    </row>
    <row r="5" customFormat="false" ht="12.75" hidden="false" customHeight="true" outlineLevel="0" collapsed="false">
      <c r="A5" s="333" t="s">
        <v>1992</v>
      </c>
      <c r="B5" s="141" t="n">
        <v>0</v>
      </c>
      <c r="C5" s="334" t="n">
        <f aca="false">IFERROR(B5*(1-0),0)</f>
        <v>0</v>
      </c>
      <c r="D5" s="334" t="n">
        <f aca="false">IFERROR(B5*(1-0.05),0)</f>
        <v>0</v>
      </c>
      <c r="E5" s="334" t="n">
        <f aca="false">IFERROR(B5*(1-0.12),0)</f>
        <v>0</v>
      </c>
      <c r="F5" s="334" t="n">
        <f aca="false">IFERROR(B5*(1-0.2),0)</f>
        <v>0</v>
      </c>
      <c r="G5" s="334" t="n">
        <f aca="false">IFERROR(B5*(1-0.35),0)</f>
        <v>0</v>
      </c>
      <c r="H5" s="335" t="n">
        <f aca="false">IFERROR(B5*(1-0.5),0)</f>
        <v>0</v>
      </c>
      <c r="I5" s="334" t="n">
        <f aca="false">IFERROR(B5*(1-0.65),0)</f>
        <v>0</v>
      </c>
      <c r="J5" s="334" t="n">
        <f aca="false">IFERROR(B5*(1-0.78),0)</f>
        <v>0</v>
      </c>
      <c r="K5" s="334" t="n">
        <f aca="false">IFERROR(B5*(1-0.9),0)</f>
        <v>0</v>
      </c>
      <c r="L5" s="336" t="n">
        <f aca="false">IFERROR(B5*(1-0.95),0)</f>
        <v>0</v>
      </c>
      <c r="M5" s="221" t="s">
        <v>1993</v>
      </c>
    </row>
    <row r="6" customFormat="false" ht="12.75" hidden="false" customHeight="true" outlineLevel="0" collapsed="false">
      <c r="A6" s="333" t="s">
        <v>1994</v>
      </c>
      <c r="B6" s="141" t="n">
        <v>0</v>
      </c>
      <c r="C6" s="334" t="n">
        <f aca="false">IFERROR(B6*(1-0),0)</f>
        <v>0</v>
      </c>
      <c r="D6" s="334" t="n">
        <f aca="false">IFERROR(B6*(1-0.05),0)</f>
        <v>0</v>
      </c>
      <c r="E6" s="334" t="n">
        <f aca="false">IFERROR(B6*(1-0.12),0)</f>
        <v>0</v>
      </c>
      <c r="F6" s="334" t="n">
        <f aca="false">IFERROR(B6*(1-0.2),0)</f>
        <v>0</v>
      </c>
      <c r="G6" s="334" t="n">
        <f aca="false">IFERROR(B6*(1-0.35),0)</f>
        <v>0</v>
      </c>
      <c r="H6" s="335" t="n">
        <f aca="false">IFERROR(B6*(1-0.5),0)</f>
        <v>0</v>
      </c>
      <c r="I6" s="334" t="n">
        <f aca="false">IFERROR(B6*(1-0.65),0)</f>
        <v>0</v>
      </c>
      <c r="J6" s="334" t="n">
        <f aca="false">IFERROR(B6*(1-0.78),0)</f>
        <v>0</v>
      </c>
      <c r="K6" s="334" t="n">
        <f aca="false">IFERROR(B6*(1-0.9),0)</f>
        <v>0</v>
      </c>
      <c r="L6" s="336" t="n">
        <f aca="false">IFERROR(B6*(1-0.95),0)</f>
        <v>0</v>
      </c>
      <c r="M6" s="221" t="s">
        <v>1995</v>
      </c>
    </row>
    <row r="7" customFormat="false" ht="12.75" hidden="false" customHeight="true" outlineLevel="0" collapsed="false">
      <c r="A7" s="333" t="s">
        <v>1996</v>
      </c>
      <c r="B7" s="141" t="n">
        <v>0</v>
      </c>
      <c r="C7" s="334" t="n">
        <f aca="false">IFERROR(B7*(1-0),0)</f>
        <v>0</v>
      </c>
      <c r="D7" s="334" t="n">
        <f aca="false">IFERROR(B7*(1-0.05),0)</f>
        <v>0</v>
      </c>
      <c r="E7" s="334" t="n">
        <f aca="false">IFERROR(B7*(1-0.12),0)</f>
        <v>0</v>
      </c>
      <c r="F7" s="334" t="n">
        <f aca="false">IFERROR(B7*(1-0.2),0)</f>
        <v>0</v>
      </c>
      <c r="G7" s="334" t="n">
        <f aca="false">IFERROR(B7*(1-0.35),0)</f>
        <v>0</v>
      </c>
      <c r="H7" s="335" t="n">
        <f aca="false">IFERROR(B7*(1-0.5),0)</f>
        <v>0</v>
      </c>
      <c r="I7" s="334" t="n">
        <f aca="false">IFERROR(B7*(1-0.65),0)</f>
        <v>0</v>
      </c>
      <c r="J7" s="334" t="n">
        <f aca="false">IFERROR(B7*(1-0.78),0)</f>
        <v>0</v>
      </c>
      <c r="K7" s="334" t="n">
        <f aca="false">IFERROR(B7*(1-0.9),0)</f>
        <v>0</v>
      </c>
      <c r="L7" s="336" t="n">
        <f aca="false">IFERROR(B7*(1-0.95),0)</f>
        <v>0</v>
      </c>
      <c r="M7" s="221" t="s">
        <v>1997</v>
      </c>
    </row>
    <row r="8" customFormat="false" ht="12.75" hidden="false" customHeight="true" outlineLevel="0" collapsed="false">
      <c r="A8" s="333" t="s">
        <v>1998</v>
      </c>
      <c r="B8" s="141" t="n">
        <v>0</v>
      </c>
      <c r="C8" s="334" t="n">
        <f aca="false">IFERROR(B8*(1-0),0)</f>
        <v>0</v>
      </c>
      <c r="D8" s="334" t="n">
        <f aca="false">IFERROR(B8*(1-0.05),0)</f>
        <v>0</v>
      </c>
      <c r="E8" s="334" t="n">
        <f aca="false">IFERROR(B8*(1-0.1),0)</f>
        <v>0</v>
      </c>
      <c r="F8" s="334" t="n">
        <f aca="false">IFERROR(B8*(1-0.15),0)</f>
        <v>0</v>
      </c>
      <c r="G8" s="334" t="n">
        <f aca="false">IFERROR(B8*(1-0.22),0)</f>
        <v>0</v>
      </c>
      <c r="H8" s="335" t="n">
        <f aca="false">IFERROR(B8*(1-0.3),0)</f>
        <v>0</v>
      </c>
      <c r="I8" s="334" t="n">
        <f aca="false">IFERROR(B8*(1-0.45),0)</f>
        <v>0</v>
      </c>
      <c r="J8" s="334" t="n">
        <f aca="false">IFERROR(B8*(1-0.6),0)</f>
        <v>0</v>
      </c>
      <c r="K8" s="334" t="n">
        <f aca="false">IFERROR(B8*(1-0.75),0)</f>
        <v>0</v>
      </c>
      <c r="L8" s="336" t="n">
        <f aca="false">IFERROR(B8*(1-0.9),0)</f>
        <v>0</v>
      </c>
      <c r="M8" s="221" t="s">
        <v>1232</v>
      </c>
    </row>
    <row r="9" customFormat="false" ht="12.75" hidden="false" customHeight="true" outlineLevel="0" collapsed="false">
      <c r="A9" s="333" t="s">
        <v>1999</v>
      </c>
      <c r="B9" s="141" t="n">
        <v>0</v>
      </c>
      <c r="C9" s="334" t="n">
        <f aca="false">IFERROR(B9*(1-0),0)</f>
        <v>0</v>
      </c>
      <c r="D9" s="334" t="n">
        <f aca="false">IFERROR(B9*(1-0),0)</f>
        <v>0</v>
      </c>
      <c r="E9" s="334" t="n">
        <f aca="false">IFERROR(B9*(1-0),0)</f>
        <v>0</v>
      </c>
      <c r="F9" s="334" t="n">
        <f aca="false">IFERROR(B9*(1-0),0)</f>
        <v>0</v>
      </c>
      <c r="G9" s="334" t="n">
        <f aca="false">IFERROR(B9*(1-0),0)</f>
        <v>0</v>
      </c>
      <c r="H9" s="335" t="n">
        <f aca="false">IFERROR(B9*(1-0),0)</f>
        <v>0</v>
      </c>
      <c r="I9" s="334" t="n">
        <f aca="false">IFERROR(B9*(1-0),0)</f>
        <v>0</v>
      </c>
      <c r="J9" s="334" t="n">
        <f aca="false">IFERROR(B9*(1-0),0)</f>
        <v>0</v>
      </c>
      <c r="K9" s="334" t="n">
        <f aca="false">IFERROR(B9*(1-0),0)</f>
        <v>0</v>
      </c>
      <c r="L9" s="336" t="n">
        <f aca="false">IFERROR(B9*(1-0),0)</f>
        <v>0</v>
      </c>
      <c r="M9" s="221" t="s">
        <v>2000</v>
      </c>
    </row>
    <row r="11" customFormat="false" ht="13.5" hidden="false" customHeight="true" outlineLevel="0" collapsed="false">
      <c r="A11" s="118" t="s">
        <v>2001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</row>
    <row r="12" customFormat="false" ht="27.75" hidden="false" customHeight="true" outlineLevel="0" collapsed="false">
      <c r="A12" s="112" t="s">
        <v>2002</v>
      </c>
      <c r="B12" s="112" t="s">
        <v>2003</v>
      </c>
      <c r="C12" s="112" t="s">
        <v>2004</v>
      </c>
      <c r="D12" s="112" t="s">
        <v>2005</v>
      </c>
      <c r="E12" s="112" t="s">
        <v>2006</v>
      </c>
      <c r="F12" s="112" t="s">
        <v>2007</v>
      </c>
    </row>
    <row r="13" customFormat="false" ht="39.75" hidden="false" customHeight="true" outlineLevel="0" collapsed="false">
      <c r="A13" s="337" t="s">
        <v>2008</v>
      </c>
      <c r="B13" s="11" t="s">
        <v>1981</v>
      </c>
      <c r="C13" s="73" t="s">
        <v>2009</v>
      </c>
      <c r="D13" s="73" t="s">
        <v>2010</v>
      </c>
      <c r="E13" s="73" t="s">
        <v>2011</v>
      </c>
      <c r="F13" s="73" t="s">
        <v>2012</v>
      </c>
    </row>
    <row r="14" customFormat="false" ht="39.75" hidden="false" customHeight="true" outlineLevel="0" collapsed="false">
      <c r="A14" s="338" t="s">
        <v>2013</v>
      </c>
      <c r="B14" s="339" t="s">
        <v>1984</v>
      </c>
      <c r="C14" s="340" t="s">
        <v>2014</v>
      </c>
      <c r="D14" s="340" t="s">
        <v>2015</v>
      </c>
      <c r="E14" s="340" t="s">
        <v>2016</v>
      </c>
      <c r="F14" s="340" t="s">
        <v>2017</v>
      </c>
    </row>
    <row r="15" customFormat="false" ht="39.75" hidden="false" customHeight="true" outlineLevel="0" collapsed="false">
      <c r="A15" s="341" t="s">
        <v>2018</v>
      </c>
      <c r="B15" s="342" t="s">
        <v>1987</v>
      </c>
      <c r="C15" s="343" t="s">
        <v>2019</v>
      </c>
      <c r="D15" s="343" t="s">
        <v>2020</v>
      </c>
      <c r="E15" s="343" t="s">
        <v>2021</v>
      </c>
      <c r="F15" s="343" t="s">
        <v>2022</v>
      </c>
    </row>
    <row r="16" customFormat="false" ht="39.75" hidden="false" customHeight="true" outlineLevel="0" collapsed="false">
      <c r="A16" s="344" t="s">
        <v>695</v>
      </c>
      <c r="B16" s="345" t="s">
        <v>1990</v>
      </c>
      <c r="C16" s="346" t="s">
        <v>2023</v>
      </c>
      <c r="D16" s="346" t="s">
        <v>2024</v>
      </c>
      <c r="E16" s="346" t="s">
        <v>2025</v>
      </c>
      <c r="F16" s="346" t="s">
        <v>2026</v>
      </c>
    </row>
    <row r="18" customFormat="false" ht="13.5" hidden="false" customHeight="true" outlineLevel="0" collapsed="false">
      <c r="A18" s="118" t="s">
        <v>2027</v>
      </c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</row>
    <row r="19" customFormat="false" ht="13.5" hidden="false" customHeight="true" outlineLevel="0" collapsed="false">
      <c r="A19" s="110" t="s">
        <v>2028</v>
      </c>
      <c r="B19" s="110" t="s">
        <v>1392</v>
      </c>
      <c r="C19" s="110" t="s">
        <v>2029</v>
      </c>
      <c r="D19" s="110" t="s">
        <v>662</v>
      </c>
      <c r="E19" s="110" t="s">
        <v>2030</v>
      </c>
      <c r="F19" s="110" t="s">
        <v>2031</v>
      </c>
    </row>
    <row r="20" customFormat="false" ht="27.75" hidden="false" customHeight="true" outlineLevel="0" collapsed="false">
      <c r="A20" s="347" t="s">
        <v>2032</v>
      </c>
      <c r="B20" s="94" t="s">
        <v>2033</v>
      </c>
      <c r="C20" s="348" t="s">
        <v>33</v>
      </c>
      <c r="D20" s="348" t="s">
        <v>2034</v>
      </c>
      <c r="E20" s="348" t="s">
        <v>2035</v>
      </c>
      <c r="F20" s="348" t="s">
        <v>2036</v>
      </c>
    </row>
    <row r="21" customFormat="false" ht="27.75" hidden="false" customHeight="true" outlineLevel="0" collapsed="false">
      <c r="A21" s="347" t="s">
        <v>2037</v>
      </c>
      <c r="B21" s="94" t="s">
        <v>2038</v>
      </c>
      <c r="C21" s="348" t="s">
        <v>1225</v>
      </c>
      <c r="D21" s="348" t="s">
        <v>2039</v>
      </c>
      <c r="E21" s="348" t="s">
        <v>2040</v>
      </c>
      <c r="F21" s="348" t="s">
        <v>2041</v>
      </c>
    </row>
    <row r="22" customFormat="false" ht="27.75" hidden="false" customHeight="true" outlineLevel="0" collapsed="false">
      <c r="A22" s="347" t="s">
        <v>2042</v>
      </c>
      <c r="B22" s="94" t="s">
        <v>2043</v>
      </c>
      <c r="C22" s="348" t="s">
        <v>33</v>
      </c>
      <c r="D22" s="348" t="s">
        <v>2044</v>
      </c>
      <c r="E22" s="348" t="s">
        <v>2045</v>
      </c>
      <c r="F22" s="348" t="s">
        <v>2046</v>
      </c>
    </row>
    <row r="23" customFormat="false" ht="27.75" hidden="false" customHeight="true" outlineLevel="0" collapsed="false">
      <c r="A23" s="347" t="s">
        <v>2047</v>
      </c>
      <c r="B23" s="94" t="s">
        <v>2048</v>
      </c>
      <c r="C23" s="348" t="s">
        <v>35</v>
      </c>
      <c r="D23" s="348" t="s">
        <v>2049</v>
      </c>
      <c r="E23" s="348" t="s">
        <v>2050</v>
      </c>
      <c r="F23" s="348" t="s">
        <v>2051</v>
      </c>
    </row>
    <row r="24" customFormat="false" ht="27.75" hidden="false" customHeight="true" outlineLevel="0" collapsed="false">
      <c r="A24" s="347" t="s">
        <v>2052</v>
      </c>
      <c r="B24" s="94" t="s">
        <v>2053</v>
      </c>
      <c r="C24" s="348" t="s">
        <v>1280</v>
      </c>
      <c r="D24" s="348" t="s">
        <v>2054</v>
      </c>
      <c r="E24" s="348" t="s">
        <v>1097</v>
      </c>
      <c r="F24" s="348" t="s">
        <v>2055</v>
      </c>
    </row>
    <row r="25" customFormat="false" ht="27.75" hidden="false" customHeight="true" outlineLevel="0" collapsed="false">
      <c r="A25" s="347" t="s">
        <v>2056</v>
      </c>
      <c r="B25" s="94" t="s">
        <v>2057</v>
      </c>
      <c r="C25" s="348" t="s">
        <v>2058</v>
      </c>
      <c r="D25" s="348" t="s">
        <v>2059</v>
      </c>
      <c r="E25" s="348" t="s">
        <v>2060</v>
      </c>
      <c r="F25" s="348" t="s">
        <v>2061</v>
      </c>
    </row>
    <row r="26" customFormat="false" ht="27.75" hidden="false" customHeight="true" outlineLevel="0" collapsed="false">
      <c r="A26" s="347" t="s">
        <v>2062</v>
      </c>
      <c r="B26" s="94" t="s">
        <v>2063</v>
      </c>
      <c r="C26" s="348" t="s">
        <v>49</v>
      </c>
      <c r="D26" s="348" t="s">
        <v>2064</v>
      </c>
      <c r="E26" s="348" t="s">
        <v>2065</v>
      </c>
      <c r="F26" s="348" t="s">
        <v>2066</v>
      </c>
    </row>
    <row r="27" customFormat="false" ht="27.75" hidden="false" customHeight="true" outlineLevel="0" collapsed="false">
      <c r="A27" s="347" t="s">
        <v>2067</v>
      </c>
      <c r="B27" s="94" t="s">
        <v>2068</v>
      </c>
      <c r="C27" s="348" t="s">
        <v>1611</v>
      </c>
      <c r="D27" s="348" t="s">
        <v>2069</v>
      </c>
      <c r="E27" s="348" t="s">
        <v>2070</v>
      </c>
      <c r="F27" s="348" t="s">
        <v>433</v>
      </c>
    </row>
  </sheetData>
  <mergeCells count="4">
    <mergeCell ref="A1:L1"/>
    <mergeCell ref="A3:L3"/>
    <mergeCell ref="A11:L11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  <col collapsed="false" customWidth="true" hidden="false" outlineLevel="0" max="6" min="6" style="1" width="16"/>
    <col collapsed="false" customWidth="true" hidden="false" outlineLevel="0" max="7" min="7" style="1" width="40"/>
    <col collapsed="false" customWidth="true" hidden="true" outlineLevel="0" max="8" min="8" style="1" width="13"/>
  </cols>
  <sheetData>
    <row r="1" customFormat="false" ht="27.75" hidden="false" customHeight="true" outlineLevel="0" collapsed="false">
      <c r="A1" s="24" t="s">
        <v>2071</v>
      </c>
      <c r="B1" s="24"/>
      <c r="C1" s="24"/>
      <c r="D1" s="24"/>
      <c r="E1" s="24"/>
      <c r="F1" s="24"/>
      <c r="G1" s="24"/>
    </row>
    <row r="2" customFormat="false" ht="15" hidden="false" customHeight="true" outlineLevel="0" collapsed="false">
      <c r="A2" s="25" t="s">
        <v>2072</v>
      </c>
      <c r="B2" s="25"/>
      <c r="C2" s="25"/>
      <c r="D2" s="25"/>
      <c r="E2" s="25"/>
      <c r="F2" s="25"/>
      <c r="G2" s="25"/>
    </row>
    <row r="4" customFormat="false" ht="15" hidden="false" customHeight="true" outlineLevel="0" collapsed="false">
      <c r="A4" s="349" t="s">
        <v>2073</v>
      </c>
      <c r="B4" s="349"/>
      <c r="C4" s="349"/>
      <c r="D4" s="349"/>
      <c r="E4" s="349"/>
      <c r="F4" s="349"/>
      <c r="G4" s="349"/>
    </row>
    <row r="5" customFormat="false" ht="31.5" hidden="false" customHeight="true" outlineLevel="0" collapsed="false">
      <c r="A5" s="29" t="s">
        <v>2074</v>
      </c>
      <c r="B5" s="29" t="s">
        <v>811</v>
      </c>
      <c r="C5" s="29" t="s">
        <v>2075</v>
      </c>
      <c r="D5" s="29" t="s">
        <v>1172</v>
      </c>
      <c r="E5" s="29" t="s">
        <v>2076</v>
      </c>
      <c r="F5" s="29" t="s">
        <v>2077</v>
      </c>
      <c r="G5" s="29" t="s">
        <v>2078</v>
      </c>
    </row>
    <row r="6" customFormat="false" ht="53.25" hidden="false" customHeight="true" outlineLevel="0" collapsed="false">
      <c r="A6" s="30" t="s">
        <v>2079</v>
      </c>
      <c r="B6" s="32" t="n">
        <v>25</v>
      </c>
      <c r="C6" s="34" t="s">
        <v>2080</v>
      </c>
      <c r="D6" s="43" t="n">
        <v>0</v>
      </c>
      <c r="E6" s="265" t="n">
        <f aca="false">IFERROR(IF(D6&gt;=0.251,25,IF(D6&gt;=0.251*Assumptions!$B$9,25*D6/0.251,0)),0)</f>
        <v>0</v>
      </c>
      <c r="F6" s="350" t="s">
        <v>2081</v>
      </c>
      <c r="G6" s="32" t="s">
        <v>282</v>
      </c>
      <c r="H6" s="1" t="n">
        <f aca="false">B6-E6</f>
        <v>25</v>
      </c>
    </row>
    <row r="7" customFormat="false" ht="53.25" hidden="false" customHeight="true" outlineLevel="0" collapsed="false">
      <c r="A7" s="30" t="s">
        <v>2082</v>
      </c>
      <c r="B7" s="32" t="n">
        <v>19</v>
      </c>
      <c r="C7" s="34" t="s">
        <v>2083</v>
      </c>
      <c r="D7" s="36" t="n">
        <f aca="false">IFERROR(EE_Scorecard!E15/100,0)</f>
        <v>0.35</v>
      </c>
      <c r="E7" s="265" t="n">
        <f aca="false">IFERROR(D7*19,0)</f>
        <v>6.65</v>
      </c>
      <c r="F7" s="350" t="s">
        <v>2084</v>
      </c>
      <c r="G7" s="32" t="s">
        <v>287</v>
      </c>
      <c r="H7" s="1" t="n">
        <f aca="false">B7-E7</f>
        <v>12.35</v>
      </c>
    </row>
    <row r="8" customFormat="false" ht="42.75" hidden="false" customHeight="true" outlineLevel="0" collapsed="false">
      <c r="A8" s="30" t="s">
        <v>2085</v>
      </c>
      <c r="B8" s="32" t="n">
        <v>25</v>
      </c>
      <c r="C8" s="34" t="s">
        <v>2086</v>
      </c>
      <c r="D8" s="351" t="n">
        <f aca="false">IFERROR(S_Data!B50/MAX(1,S_Data!B43),0)</f>
        <v>0</v>
      </c>
      <c r="E8" s="265" t="n">
        <f aca="false">IFERROR(IF(D8&gt;=0.06,25,IF(D8&gt;=0.06*Assumptions!$B$9,25*D8/0.06,0)),0)</f>
        <v>0</v>
      </c>
      <c r="F8" s="350" t="s">
        <v>2087</v>
      </c>
      <c r="G8" s="32" t="s">
        <v>287</v>
      </c>
      <c r="H8" s="1" t="n">
        <f aca="false">B8-E8</f>
        <v>25</v>
      </c>
    </row>
    <row r="9" customFormat="false" ht="42.75" hidden="false" customHeight="true" outlineLevel="0" collapsed="false">
      <c r="A9" s="30" t="s">
        <v>2088</v>
      </c>
      <c r="B9" s="32" t="n">
        <v>40</v>
      </c>
      <c r="C9" s="34" t="s">
        <v>2089</v>
      </c>
      <c r="D9" s="43" t="n">
        <v>0</v>
      </c>
      <c r="E9" s="265" t="n">
        <f aca="false">IFERROR(D9*40,0)</f>
        <v>0</v>
      </c>
      <c r="F9" s="350" t="s">
        <v>2090</v>
      </c>
      <c r="G9" s="32" t="s">
        <v>2091</v>
      </c>
      <c r="H9" s="1" t="n">
        <f aca="false">B9-E9</f>
        <v>40</v>
      </c>
    </row>
    <row r="10" customFormat="false" ht="32.25" hidden="false" customHeight="true" outlineLevel="0" collapsed="false">
      <c r="A10" s="30" t="s">
        <v>2092</v>
      </c>
      <c r="B10" s="32" t="n">
        <v>5</v>
      </c>
      <c r="C10" s="34" t="s">
        <v>2093</v>
      </c>
      <c r="D10" s="352" t="n">
        <v>0</v>
      </c>
      <c r="E10" s="265" t="n">
        <f aca="false">IFERROR(IF(D10&gt;=Assumptions!$B$56,5,IF(D10&gt;=Assumptions!$B$56*Assumptions!$B$9,5*D10/Assumptions!$B$56,0)),0)</f>
        <v>0</v>
      </c>
      <c r="F10" s="350" t="s">
        <v>2094</v>
      </c>
      <c r="G10" s="32" t="s">
        <v>287</v>
      </c>
      <c r="H10" s="1" t="n">
        <f aca="false">B10-E10</f>
        <v>5</v>
      </c>
    </row>
    <row r="11" customFormat="false" ht="53.25" hidden="false" customHeight="true" outlineLevel="0" collapsed="false">
      <c r="A11" s="30" t="s">
        <v>2095</v>
      </c>
      <c r="B11" s="32" t="n">
        <v>5</v>
      </c>
      <c r="C11" s="34" t="s">
        <v>2096</v>
      </c>
      <c r="D11" s="353" t="n">
        <v>0</v>
      </c>
      <c r="E11" s="265" t="n">
        <f aca="false">MIN(5,D11)</f>
        <v>0</v>
      </c>
      <c r="F11" s="350" t="s">
        <v>2097</v>
      </c>
      <c r="G11" s="32" t="s">
        <v>279</v>
      </c>
      <c r="H11" s="1" t="n">
        <f aca="false">B11-E11</f>
        <v>5</v>
      </c>
    </row>
    <row r="12" customFormat="false" ht="17.25" hidden="false" customHeight="true" outlineLevel="0" collapsed="false">
      <c r="A12" s="354" t="s">
        <v>301</v>
      </c>
      <c r="B12" s="355" t="n">
        <f aca="false">SUM(B6:B11)</f>
        <v>119</v>
      </c>
      <c r="E12" s="356" t="n">
        <f aca="false">SUM(E6:E11)</f>
        <v>6.65</v>
      </c>
    </row>
    <row r="14" customFormat="false" ht="15" hidden="false" customHeight="true" outlineLevel="0" collapsed="false">
      <c r="A14" s="349" t="s">
        <v>2098</v>
      </c>
      <c r="B14" s="349"/>
      <c r="C14" s="349"/>
      <c r="D14" s="349"/>
      <c r="E14" s="349"/>
      <c r="F14" s="349"/>
      <c r="G14" s="349"/>
    </row>
    <row r="15" customFormat="false" ht="39.75" hidden="false" customHeight="true" outlineLevel="0" collapsed="false">
      <c r="A15" s="30" t="s">
        <v>2099</v>
      </c>
      <c r="B15" s="357" t="str">
        <f aca="false">IF(E12&gt;=Assumptions!$B$76,"Level 1",IF(E12&gt;=Assumptions!$B$77,"Level 2",IF(E12&gt;=Assumptions!$B$78,"Level 3",IF(E12&gt;=Assumptions!$B$79,"Level 4",IF(E12&gt;=Assumptions!$B$80,"Level 5",IF(E12&gt;=Assumptions!$B$81,"Level 6",IF(E12&gt;=Assumptions!$B$82,"Level 7",IF(E12&gt;=Assumptions!$B$83,"Level 8","Non-compliant"))))))))</f>
        <v>Level 4</v>
      </c>
      <c r="C15" s="357"/>
      <c r="D15" s="30" t="s">
        <v>2100</v>
      </c>
      <c r="E15" s="358" t="n">
        <f aca="false">IF(E12&gt;=Assumptions!$B$76,Assumptions!$C$76,IF(E12&gt;=Assumptions!$B$77,Assumptions!$C$77,IF(E12&gt;=Assumptions!$B$78,Assumptions!$C$78,IF(E12&gt;=Assumptions!$B$79,Assumptions!$C$79,IF(E12&gt;=Assumptions!$B$80,Assumptions!$C$80,IF(E12&gt;=Assumptions!$B$81,Assumptions!$C$81,IF(E12&gt;=Assumptions!$B$82,Assumptions!$C$82,IF(E12&gt;=Assumptions!$B$83,Assumptions!$C$83,Assumptions!$C$84))))))))</f>
        <v>0</v>
      </c>
      <c r="F15" s="358"/>
      <c r="G15" s="358"/>
    </row>
    <row r="17" customFormat="false" ht="15" hidden="false" customHeight="true" outlineLevel="0" collapsed="false">
      <c r="A17" s="349" t="s">
        <v>2101</v>
      </c>
      <c r="B17" s="349"/>
      <c r="C17" s="349"/>
      <c r="D17" s="349"/>
      <c r="E17" s="349"/>
      <c r="F17" s="349"/>
      <c r="G17" s="349"/>
    </row>
    <row r="18" customFormat="false" ht="23.25" hidden="false" customHeight="true" outlineLevel="0" collapsed="false">
      <c r="A18" s="30" t="s">
        <v>2102</v>
      </c>
      <c r="B18" s="359" t="n">
        <f aca="false">IF(E12&gt;=Assumptions!$B$76,0,IF(E12&gt;=Assumptions!$B$77,Assumptions!$B$76-E12,IF(E12&gt;=Assumptions!$B$78,Assumptions!$B$77-E12,IF(E12&gt;=Assumptions!$B$79,Assumptions!$B$78-E12,IF(E12&gt;=Assumptions!$B$80,Assumptions!$B$79-E12,IF(E12&gt;=Assumptions!$B$81,Assumptions!$B$80-E12,IF(E12&gt;=Assumptions!$B$82,Assumptions!$B$81-E12,IF(E12&gt;=Assumptions!$B$83,Assumptions!$B$82-E12,Assumptions!$B$83-E12))))))))</f>
        <v>83.35</v>
      </c>
      <c r="C18" s="359"/>
      <c r="D18" s="30" t="s">
        <v>2103</v>
      </c>
      <c r="E18" s="360" t="str">
        <f aca="false">INDEX(A6:A11,MATCH(MAX(H6:H11),H6:H11,0))</f>
        <v>ENTERPRISE &amp; SUPPLIER DEVELOPMENT  (Statement 400)</v>
      </c>
      <c r="F18" s="360"/>
      <c r="G18" s="360"/>
    </row>
  </sheetData>
  <mergeCells count="9">
    <mergeCell ref="A1:G1"/>
    <mergeCell ref="A2:G2"/>
    <mergeCell ref="A4:G4"/>
    <mergeCell ref="A14:G14"/>
    <mergeCell ref="B15:C15"/>
    <mergeCell ref="E15:G15"/>
    <mergeCell ref="A17:G17"/>
    <mergeCell ref="B18:C18"/>
    <mergeCell ref="E18:G18"/>
  </mergeCells>
  <conditionalFormatting sqref="B15">
    <cfRule type="expression" priority="2" aboveAverage="0" equalAverage="0" bottom="0" percent="0" rank="0" text="" dxfId="0">
      <formula>ISNUMBER(SEARCH("Level 1",B15))</formula>
    </cfRule>
    <cfRule type="expression" priority="3" aboveAverage="0" equalAverage="0" bottom="0" percent="0" rank="0" text="" dxfId="0">
      <formula>ISNUMBER(SEARCH("Level 2",B15))</formula>
    </cfRule>
    <cfRule type="expression" priority="4" aboveAverage="0" equalAverage="0" bottom="0" percent="0" rank="0" text="" dxfId="6">
      <formula>ISNUMBER(SEARCH("Non-compliant",B15))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60"/>
  </cols>
  <sheetData>
    <row r="1" customFormat="false" ht="27.75" hidden="false" customHeight="true" outlineLevel="0" collapsed="false">
      <c r="A1" s="24" t="s">
        <v>2104</v>
      </c>
      <c r="B1" s="24"/>
      <c r="C1" s="24"/>
      <c r="D1" s="24"/>
      <c r="E1" s="24"/>
      <c r="F1" s="24"/>
      <c r="G1" s="24"/>
    </row>
    <row r="2" customFormat="false" ht="24" hidden="false" customHeight="true" outlineLevel="0" collapsed="false">
      <c r="A2" s="25" t="s">
        <v>2105</v>
      </c>
      <c r="B2" s="25"/>
      <c r="C2" s="25"/>
      <c r="D2" s="25"/>
      <c r="E2" s="25"/>
      <c r="F2" s="25"/>
      <c r="G2" s="25"/>
    </row>
    <row r="4" customFormat="false" ht="15" hidden="false" customHeight="true" outlineLevel="0" collapsed="false">
      <c r="A4" s="349" t="s">
        <v>2106</v>
      </c>
      <c r="B4" s="349"/>
      <c r="C4" s="349"/>
      <c r="D4" s="349"/>
      <c r="E4" s="349"/>
      <c r="F4" s="349"/>
      <c r="G4" s="349"/>
    </row>
    <row r="5" customFormat="false" ht="31.5" hidden="false" customHeight="true" outlineLevel="0" collapsed="false">
      <c r="A5" s="29" t="s">
        <v>594</v>
      </c>
      <c r="B5" s="29" t="s">
        <v>595</v>
      </c>
      <c r="C5" s="29" t="s">
        <v>596</v>
      </c>
      <c r="D5" s="29" t="s">
        <v>2107</v>
      </c>
      <c r="E5" s="29" t="s">
        <v>2108</v>
      </c>
      <c r="F5" s="29" t="s">
        <v>2109</v>
      </c>
      <c r="G5" s="29" t="s">
        <v>2110</v>
      </c>
    </row>
    <row r="6" customFormat="false" ht="15" hidden="false" customHeight="true" outlineLevel="0" collapsed="false">
      <c r="A6" s="34" t="str">
        <f aca="false">GARP_GRAP!B5</f>
        <v>Climate Physical Risk</v>
      </c>
      <c r="B6" s="97" t="str">
        <f aca="false">GARP_GRAP!E5</f>
        <v>High</v>
      </c>
      <c r="C6" s="101" t="n">
        <f aca="false">GARP_GRAP!I5</f>
        <v>4</v>
      </c>
      <c r="D6" s="47" t="n">
        <v>3</v>
      </c>
      <c r="E6" s="47" t="n">
        <v>3</v>
      </c>
      <c r="F6" s="265" t="n">
        <f aca="false">IFERROR(IF(Assumptions!$B$12="Single (financial — IFRS)",IF(B6="High",5,IF(B6="Medium",3,IF(B6="Low",1,IF(B6="Req",4,0))))*C6*D6/5,IF(Assumptions!$B$12="Double (financial + impact — ESRS)",IF(B6="High",5,IF(B6="Medium",3,IF(B6="Low",1,IF(B6="Req",4,0))))*C6*MAX(D6,E6)/5,IF(B6="High",5,IF(B6="Medium",3,IF(B6="Low",1,IF(B6="Req",4,0))))*C6*((D6+E6)/2)/5)),0)</f>
        <v>12</v>
      </c>
      <c r="G6" s="34" t="str">
        <f aca="false">IF(F6&gt;=15,"🔴 Critical — board agenda",IF(F6&gt;=10,"🟠 High — quarterly review",IF(F6&gt;=5,"🟡 Monitor — annual review","🟢 Low — register only")))</f>
        <v>🟠 High — quarterly review</v>
      </c>
    </row>
    <row r="7" customFormat="false" ht="15" hidden="false" customHeight="true" outlineLevel="0" collapsed="false">
      <c r="A7" s="34" t="str">
        <f aca="false">GARP_GRAP!B6</f>
        <v>Climate Transition Risk</v>
      </c>
      <c r="B7" s="97" t="str">
        <f aca="false">GARP_GRAP!E6</f>
        <v>High</v>
      </c>
      <c r="C7" s="101" t="n">
        <f aca="false">GARP_GRAP!I6</f>
        <v>5</v>
      </c>
      <c r="D7" s="47" t="n">
        <v>3</v>
      </c>
      <c r="E7" s="47" t="n">
        <v>3</v>
      </c>
      <c r="F7" s="265" t="n">
        <f aca="false">IFERROR(IF(Assumptions!$B$12="Single (financial — IFRS)",IF(B7="High",5,IF(B7="Medium",3,IF(B7="Low",1,IF(B7="Req",4,0))))*C7*D7/5,IF(Assumptions!$B$12="Double (financial + impact — ESRS)",IF(B7="High",5,IF(B7="Medium",3,IF(B7="Low",1,IF(B7="Req",4,0))))*C7*MAX(D7,E7)/5,IF(B7="High",5,IF(B7="Medium",3,IF(B7="Low",1,IF(B7="Req",4,0))))*C7*((D7+E7)/2)/5)),0)</f>
        <v>15</v>
      </c>
      <c r="G7" s="34" t="str">
        <f aca="false">IF(F7&gt;=15,"🔴 Critical — board agenda",IF(F7&gt;=10,"🟠 High — quarterly review",IF(F7&gt;=5,"🟡 Monitor — annual review","🟢 Low — register only")))</f>
        <v>🔴 Critical — board agenda</v>
      </c>
    </row>
    <row r="8" customFormat="false" ht="15" hidden="false" customHeight="true" outlineLevel="0" collapsed="false">
      <c r="A8" s="34" t="str">
        <f aca="false">GARP_GRAP!B7</f>
        <v>Operational Risk — Fleet</v>
      </c>
      <c r="B8" s="97" t="str">
        <f aca="false">GARP_GRAP!E7</f>
        <v>High</v>
      </c>
      <c r="C8" s="101" t="n">
        <f aca="false">GARP_GRAP!I7</f>
        <v>5</v>
      </c>
      <c r="D8" s="47" t="n">
        <v>3</v>
      </c>
      <c r="E8" s="47" t="n">
        <v>3</v>
      </c>
      <c r="F8" s="265" t="n">
        <f aca="false">IFERROR(IF(Assumptions!$B$12="Single (financial — IFRS)",IF(B8="High",5,IF(B8="Medium",3,IF(B8="Low",1,IF(B8="Req",4,0))))*C8*D8/5,IF(Assumptions!$B$12="Double (financial + impact — ESRS)",IF(B8="High",5,IF(B8="Medium",3,IF(B8="Low",1,IF(B8="Req",4,0))))*C8*MAX(D8,E8)/5,IF(B8="High",5,IF(B8="Medium",3,IF(B8="Low",1,IF(B8="Req",4,0))))*C8*((D8+E8)/2)/5)),0)</f>
        <v>15</v>
      </c>
      <c r="G8" s="34" t="str">
        <f aca="false">IF(F8&gt;=15,"🔴 Critical — board agenda",IF(F8&gt;=10,"🟠 High — quarterly review",IF(F8&gt;=5,"🟡 Monitor — annual review","🟢 Low — register only")))</f>
        <v>🔴 Critical — board agenda</v>
      </c>
    </row>
    <row r="9" customFormat="false" ht="15" hidden="false" customHeight="true" outlineLevel="0" collapsed="false">
      <c r="A9" s="34" t="str">
        <f aca="false">GARP_GRAP!B8</f>
        <v>Regulatory Risk — EE Act</v>
      </c>
      <c r="B9" s="97" t="str">
        <f aca="false">GARP_GRAP!E8</f>
        <v>Medium</v>
      </c>
      <c r="C9" s="101" t="n">
        <f aca="false">GARP_GRAP!I8</f>
        <v>3</v>
      </c>
      <c r="D9" s="47" t="n">
        <v>3</v>
      </c>
      <c r="E9" s="47" t="n">
        <v>3</v>
      </c>
      <c r="F9" s="265" t="n">
        <f aca="false">IFERROR(IF(Assumptions!$B$12="Single (financial — IFRS)",IF(B9="High",5,IF(B9="Medium",3,IF(B9="Low",1,IF(B9="Req",4,0))))*C9*D9/5,IF(Assumptions!$B$12="Double (financial + impact — ESRS)",IF(B9="High",5,IF(B9="Medium",3,IF(B9="Low",1,IF(B9="Req",4,0))))*C9*MAX(D9,E9)/5,IF(B9="High",5,IF(B9="Medium",3,IF(B9="Low",1,IF(B9="Req",4,0))))*C9*((D9+E9)/2)/5)),0)</f>
        <v>5.4</v>
      </c>
      <c r="G9" s="34" t="str">
        <f aca="false">IF(F9&gt;=15,"🔴 Critical — board agenda",IF(F9&gt;=10,"🟠 High — quarterly review",IF(F9&gt;=5,"🟡 Monitor — annual review","🟢 Low — register only")))</f>
        <v>🟡 Monitor — annual review</v>
      </c>
    </row>
    <row r="10" customFormat="false" ht="15" hidden="false" customHeight="true" outlineLevel="0" collapsed="false">
      <c r="A10" s="34" t="str">
        <f aca="false">GARP_GRAP!B9</f>
        <v>Regulatory Risk — POPIA</v>
      </c>
      <c r="B10" s="97" t="str">
        <f aca="false">GARP_GRAP!E9</f>
        <v>Medium</v>
      </c>
      <c r="C10" s="101" t="n">
        <f aca="false">GARP_GRAP!I9</f>
        <v>3</v>
      </c>
      <c r="D10" s="47" t="n">
        <v>3</v>
      </c>
      <c r="E10" s="47" t="n">
        <v>3</v>
      </c>
      <c r="F10" s="265" t="n">
        <f aca="false">IFERROR(IF(Assumptions!$B$12="Single (financial — IFRS)",IF(B10="High",5,IF(B10="Medium",3,IF(B10="Low",1,IF(B10="Req",4,0))))*C10*D10/5,IF(Assumptions!$B$12="Double (financial + impact — ESRS)",IF(B10="High",5,IF(B10="Medium",3,IF(B10="Low",1,IF(B10="Req",4,0))))*C10*MAX(D10,E10)/5,IF(B10="High",5,IF(B10="Medium",3,IF(B10="Low",1,IF(B10="Req",4,0))))*C10*((D10+E10)/2)/5)),0)</f>
        <v>5.4</v>
      </c>
      <c r="G10" s="34" t="str">
        <f aca="false">IF(F10&gt;=15,"🔴 Critical — board agenda",IF(F10&gt;=10,"🟠 High — quarterly review",IF(F10&gt;=5,"🟡 Monitor — annual review","🟢 Low — register only")))</f>
        <v>🟡 Monitor — annual review</v>
      </c>
    </row>
    <row r="11" customFormat="false" ht="15" hidden="false" customHeight="true" outlineLevel="0" collapsed="false">
      <c r="A11" s="34" t="str">
        <f aca="false">GARP_GRAP!B10</f>
        <v>Financial Risk — SDL/WSP</v>
      </c>
      <c r="B11" s="97" t="str">
        <f aca="false">GARP_GRAP!E10</f>
        <v>Medium</v>
      </c>
      <c r="C11" s="101" t="n">
        <f aca="false">GARP_GRAP!I10</f>
        <v>3</v>
      </c>
      <c r="D11" s="47" t="n">
        <v>3</v>
      </c>
      <c r="E11" s="47" t="n">
        <v>3</v>
      </c>
      <c r="F11" s="265" t="n">
        <f aca="false">IFERROR(IF(Assumptions!$B$12="Single (financial — IFRS)",IF(B11="High",5,IF(B11="Medium",3,IF(B11="Low",1,IF(B11="Req",4,0))))*C11*D11/5,IF(Assumptions!$B$12="Double (financial + impact — ESRS)",IF(B11="High",5,IF(B11="Medium",3,IF(B11="Low",1,IF(B11="Req",4,0))))*C11*MAX(D11,E11)/5,IF(B11="High",5,IF(B11="Medium",3,IF(B11="Low",1,IF(B11="Req",4,0))))*C11*((D11+E11)/2)/5)),0)</f>
        <v>5.4</v>
      </c>
      <c r="G11" s="34" t="str">
        <f aca="false">IF(F11&gt;=15,"🔴 Critical — board agenda",IF(F11&gt;=10,"🟠 High — quarterly review",IF(F11&gt;=5,"🟡 Monitor — annual review","🟢 Low — register only")))</f>
        <v>🟡 Monitor — annual review</v>
      </c>
    </row>
    <row r="12" customFormat="false" ht="15" hidden="false" customHeight="true" outlineLevel="0" collapsed="false">
      <c r="A12" s="34" t="str">
        <f aca="false">GARP_GRAP!B11</f>
        <v>Reputational Risk — ESG</v>
      </c>
      <c r="B12" s="97" t="str">
        <f aca="false">GARP_GRAP!E11</f>
        <v>Medium</v>
      </c>
      <c r="C12" s="101" t="n">
        <f aca="false">GARP_GRAP!I11</f>
        <v>3</v>
      </c>
      <c r="D12" s="47" t="n">
        <v>3</v>
      </c>
      <c r="E12" s="47" t="n">
        <v>3</v>
      </c>
      <c r="F12" s="265" t="n">
        <f aca="false">IFERROR(IF(Assumptions!$B$12="Single (financial — IFRS)",IF(B12="High",5,IF(B12="Medium",3,IF(B12="Low",1,IF(B12="Req",4,0))))*C12*D12/5,IF(Assumptions!$B$12="Double (financial + impact — ESRS)",IF(B12="High",5,IF(B12="Medium",3,IF(B12="Low",1,IF(B12="Req",4,0))))*C12*MAX(D12,E12)/5,IF(B12="High",5,IF(B12="Medium",3,IF(B12="Low",1,IF(B12="Req",4,0))))*C12*((D12+E12)/2)/5)),0)</f>
        <v>5.4</v>
      </c>
      <c r="G12" s="34" t="str">
        <f aca="false">IF(F12&gt;=15,"🔴 Critical — board agenda",IF(F12&gt;=10,"🟠 High — quarterly review",IF(F12&gt;=5,"🟡 Monitor — annual review","🟢 Low — register only")))</f>
        <v>🟡 Monitor — annual review</v>
      </c>
    </row>
    <row r="13" customFormat="false" ht="15" hidden="false" customHeight="true" outlineLevel="0" collapsed="false">
      <c r="A13" s="34" t="str">
        <f aca="false">GARP_GRAP!B12</f>
        <v>Environmental Risk — Waste</v>
      </c>
      <c r="B13" s="97" t="str">
        <f aca="false">GARP_GRAP!E12</f>
        <v>Low</v>
      </c>
      <c r="C13" s="101" t="n">
        <f aca="false">GARP_GRAP!I12</f>
        <v>2</v>
      </c>
      <c r="D13" s="47" t="n">
        <v>3</v>
      </c>
      <c r="E13" s="47" t="n">
        <v>3</v>
      </c>
      <c r="F13" s="265" t="n">
        <f aca="false">IFERROR(IF(Assumptions!$B$12="Single (financial — IFRS)",IF(B13="High",5,IF(B13="Medium",3,IF(B13="Low",1,IF(B13="Req",4,0))))*C13*D13/5,IF(Assumptions!$B$12="Double (financial + impact — ESRS)",IF(B13="High",5,IF(B13="Medium",3,IF(B13="Low",1,IF(B13="Req",4,0))))*C13*MAX(D13,E13)/5,IF(B13="High",5,IF(B13="Medium",3,IF(B13="Low",1,IF(B13="Req",4,0))))*C13*((D13+E13)/2)/5)),0)</f>
        <v>1.2</v>
      </c>
      <c r="G13" s="34" t="str">
        <f aca="false">IF(F13&gt;=15,"🔴 Critical — board agenda",IF(F13&gt;=10,"🟠 High — quarterly review",IF(F13&gt;=5,"🟡 Monitor — annual review","🟢 Low — register only")))</f>
        <v>🟢 Low — register only</v>
      </c>
    </row>
    <row r="14" customFormat="false" ht="15" hidden="false" customHeight="true" outlineLevel="0" collapsed="false">
      <c r="A14" s="34" t="str">
        <f aca="false">GARP_GRAP!B13</f>
        <v>Supply Chain Risk</v>
      </c>
      <c r="B14" s="97" t="str">
        <f aca="false">GARP_GRAP!E13</f>
        <v>Medium</v>
      </c>
      <c r="C14" s="101" t="n">
        <f aca="false">GARP_GRAP!I13</f>
        <v>4</v>
      </c>
      <c r="D14" s="47" t="n">
        <v>3</v>
      </c>
      <c r="E14" s="47" t="n">
        <v>3</v>
      </c>
      <c r="F14" s="265" t="n">
        <f aca="false">IFERROR(IF(Assumptions!$B$12="Single (financial — IFRS)",IF(B14="High",5,IF(B14="Medium",3,IF(B14="Low",1,IF(B14="Req",4,0))))*C14*D14/5,IF(Assumptions!$B$12="Double (financial + impact — ESRS)",IF(B14="High",5,IF(B14="Medium",3,IF(B14="Low",1,IF(B14="Req",4,0))))*C14*MAX(D14,E14)/5,IF(B14="High",5,IF(B14="Medium",3,IF(B14="Low",1,IF(B14="Req",4,0))))*C14*((D14+E14)/2)/5)),0)</f>
        <v>7.2</v>
      </c>
      <c r="G14" s="34" t="str">
        <f aca="false">IF(F14&gt;=15,"🔴 Critical — board agenda",IF(F14&gt;=10,"🟠 High — quarterly review",IF(F14&gt;=5,"🟡 Monitor — annual review","🟢 Low — register only")))</f>
        <v>🟡 Monitor — annual review</v>
      </c>
    </row>
    <row r="15" customFormat="false" ht="15" hidden="false" customHeight="true" outlineLevel="0" collapsed="false">
      <c r="A15" s="34" t="str">
        <f aca="false">GARP_GRAP!B14</f>
        <v>Technology Risk</v>
      </c>
      <c r="B15" s="97" t="str">
        <f aca="false">GARP_GRAP!E14</f>
        <v>Low</v>
      </c>
      <c r="C15" s="101" t="n">
        <f aca="false">GARP_GRAP!I14</f>
        <v>2</v>
      </c>
      <c r="D15" s="47" t="n">
        <v>3</v>
      </c>
      <c r="E15" s="47" t="n">
        <v>3</v>
      </c>
      <c r="F15" s="265" t="n">
        <f aca="false">IFERROR(IF(Assumptions!$B$12="Single (financial — IFRS)",IF(B15="High",5,IF(B15="Medium",3,IF(B15="Low",1,IF(B15="Req",4,0))))*C15*D15/5,IF(Assumptions!$B$12="Double (financial + impact — ESRS)",IF(B15="High",5,IF(B15="Medium",3,IF(B15="Low",1,IF(B15="Req",4,0))))*C15*MAX(D15,E15)/5,IF(B15="High",5,IF(B15="Medium",3,IF(B15="Low",1,IF(B15="Req",4,0))))*C15*((D15+E15)/2)/5)),0)</f>
        <v>1.2</v>
      </c>
      <c r="G15" s="34" t="str">
        <f aca="false">IF(F15&gt;=15,"🔴 Critical — board agenda",IF(F15&gt;=10,"🟠 High — quarterly review",IF(F15&gt;=5,"🟡 Monitor — annual review","🟢 Low — register only")))</f>
        <v>🟢 Low — register only</v>
      </c>
    </row>
    <row r="16" customFormat="false" ht="15" hidden="false" customHeight="true" outlineLevel="0" collapsed="false">
      <c r="A16" s="349" t="s">
        <v>2111</v>
      </c>
      <c r="B16" s="349"/>
      <c r="C16" s="349"/>
      <c r="D16" s="349"/>
      <c r="E16" s="349"/>
      <c r="F16" s="349"/>
      <c r="G16" s="349"/>
    </row>
    <row r="17" customFormat="false" ht="31.5" hidden="false" customHeight="true" outlineLevel="0" collapsed="false">
      <c r="A17" s="29" t="s">
        <v>594</v>
      </c>
      <c r="B17" s="29" t="s">
        <v>595</v>
      </c>
      <c r="C17" s="29" t="s">
        <v>596</v>
      </c>
      <c r="D17" s="29" t="s">
        <v>2107</v>
      </c>
      <c r="E17" s="29" t="s">
        <v>2108</v>
      </c>
      <c r="F17" s="29" t="s">
        <v>2109</v>
      </c>
      <c r="G17" s="29" t="s">
        <v>2110</v>
      </c>
    </row>
    <row r="18" customFormat="false" ht="15" hidden="false" customHeight="true" outlineLevel="0" collapsed="false">
      <c r="A18" s="34" t="str">
        <f aca="false">GARP_GRAP!B17</f>
        <v>Public interest score ≥500 points</v>
      </c>
      <c r="B18" s="97" t="str">
        <f aca="false">GARP_GRAP!E17</f>
        <v>Req</v>
      </c>
      <c r="C18" s="101" t="n">
        <f aca="false">GARP_GRAP!I17</f>
        <v>3</v>
      </c>
      <c r="D18" s="47" t="n">
        <v>4</v>
      </c>
      <c r="E18" s="47" t="n">
        <v>3</v>
      </c>
      <c r="F18" s="265" t="n">
        <f aca="false">IFERROR(IF(Assumptions!$B$12="Single (financial — IFRS)",IF(B18="High",5,IF(B18="Medium",3,IF(B18="Low",1,IF(B18="Req",4,0))))*C18*D18/5,IF(Assumptions!$B$12="Double (financial + impact — ESRS)",IF(B18="High",5,IF(B18="Medium",3,IF(B18="Low",1,IF(B18="Req",4,0))))*C18*MAX(D18,E18)/5,IF(B18="High",5,IF(B18="Medium",3,IF(B18="Low",1,IF(B18="Req",4,0))))*C18*((D18+E18)/2)/5)),0)</f>
        <v>9.6</v>
      </c>
      <c r="G18" s="34" t="str">
        <f aca="false">IF(F18&gt;=15,"🔴 Critical — board agenda",IF(F18&gt;=10,"🟠 High — quarterly review",IF(F18&gt;=5,"🟡 Monitor — annual review","🟢 Low — register only")))</f>
        <v>🟡 Monitor — annual review</v>
      </c>
    </row>
    <row r="19" customFormat="false" ht="15" hidden="false" customHeight="true" outlineLevel="0" collapsed="false">
      <c r="A19" s="34" t="str">
        <f aca="false">GARP_GRAP!B18</f>
        <v>Social &amp; Ethics Committee (S&amp;EC)</v>
      </c>
      <c r="B19" s="97" t="str">
        <f aca="false">GARP_GRAP!E18</f>
        <v>Req</v>
      </c>
      <c r="C19" s="101" t="n">
        <f aca="false">GARP_GRAP!I18</f>
        <v>3</v>
      </c>
      <c r="D19" s="47" t="n">
        <v>4</v>
      </c>
      <c r="E19" s="47" t="n">
        <v>3</v>
      </c>
      <c r="F19" s="265" t="n">
        <f aca="false">IFERROR(IF(Assumptions!$B$12="Single (financial — IFRS)",IF(B19="High",5,IF(B19="Medium",3,IF(B19="Low",1,IF(B19="Req",4,0))))*C19*D19/5,IF(Assumptions!$B$12="Double (financial + impact — ESRS)",IF(B19="High",5,IF(B19="Medium",3,IF(B19="Low",1,IF(B19="Req",4,0))))*C19*MAX(D19,E19)/5,IF(B19="High",5,IF(B19="Medium",3,IF(B19="Low",1,IF(B19="Req",4,0))))*C19*((D19+E19)/2)/5)),0)</f>
        <v>9.6</v>
      </c>
      <c r="G19" s="34" t="str">
        <f aca="false">IF(F19&gt;=15,"🔴 Critical — board agenda",IF(F19&gt;=10,"🟠 High — quarterly review",IF(F19&gt;=5,"🟡 Monitor — annual review","🟢 Low — register only")))</f>
        <v>🟡 Monitor — annual review</v>
      </c>
    </row>
    <row r="20" customFormat="false" ht="23.25" hidden="false" customHeight="true" outlineLevel="0" collapsed="false">
      <c r="A20" s="34" t="str">
        <f aca="false">GARP_GRAP!B19</f>
        <v>S&amp;EC — Labour &amp; Employment (EE, BCEA)</v>
      </c>
      <c r="B20" s="97" t="str">
        <f aca="false">GARP_GRAP!E19</f>
        <v>Req</v>
      </c>
      <c r="C20" s="101" t="n">
        <f aca="false">GARP_GRAP!I19</f>
        <v>3</v>
      </c>
      <c r="D20" s="47" t="n">
        <v>4</v>
      </c>
      <c r="E20" s="47" t="n">
        <v>3</v>
      </c>
      <c r="F20" s="265" t="n">
        <f aca="false">IFERROR(IF(Assumptions!$B$12="Single (financial — IFRS)",IF(B20="High",5,IF(B20="Medium",3,IF(B20="Low",1,IF(B20="Req",4,0))))*C20*D20/5,IF(Assumptions!$B$12="Double (financial + impact — ESRS)",IF(B20="High",5,IF(B20="Medium",3,IF(B20="Low",1,IF(B20="Req",4,0))))*C20*MAX(D20,E20)/5,IF(B20="High",5,IF(B20="Medium",3,IF(B20="Low",1,IF(B20="Req",4,0))))*C20*((D20+E20)/2)/5)),0)</f>
        <v>9.6</v>
      </c>
      <c r="G20" s="34" t="str">
        <f aca="false">IF(F20&gt;=15,"🔴 Critical — board agenda",IF(F20&gt;=10,"🟠 High — quarterly review",IF(F20&gt;=5,"🟡 Monitor — annual review","🟢 Low — register only")))</f>
        <v>🟡 Monitor — annual review</v>
      </c>
    </row>
    <row r="21" customFormat="false" ht="15" hidden="false" customHeight="true" outlineLevel="0" collapsed="false">
      <c r="A21" s="34" t="str">
        <f aca="false">GARP_GRAP!B20</f>
        <v>S&amp;EC — Environment</v>
      </c>
      <c r="B21" s="97" t="str">
        <f aca="false">GARP_GRAP!E20</f>
        <v>Req</v>
      </c>
      <c r="C21" s="101" t="n">
        <f aca="false">GARP_GRAP!I20</f>
        <v>3</v>
      </c>
      <c r="D21" s="47" t="n">
        <v>4</v>
      </c>
      <c r="E21" s="47" t="n">
        <v>3</v>
      </c>
      <c r="F21" s="265" t="n">
        <f aca="false">IFERROR(IF(Assumptions!$B$12="Single (financial — IFRS)",IF(B21="High",5,IF(B21="Medium",3,IF(B21="Low",1,IF(B21="Req",4,0))))*C21*D21/5,IF(Assumptions!$B$12="Double (financial + impact — ESRS)",IF(B21="High",5,IF(B21="Medium",3,IF(B21="Low",1,IF(B21="Req",4,0))))*C21*MAX(D21,E21)/5,IF(B21="High",5,IF(B21="Medium",3,IF(B21="Low",1,IF(B21="Req",4,0))))*C21*((D21+E21)/2)/5)),0)</f>
        <v>9.6</v>
      </c>
      <c r="G21" s="34" t="str">
        <f aca="false">IF(F21&gt;=15,"🔴 Critical — board agenda",IF(F21&gt;=10,"🟠 High — quarterly review",IF(F21&gt;=5,"🟡 Monitor — annual review","🟢 Low — register only")))</f>
        <v>🟡 Monitor — annual review</v>
      </c>
    </row>
    <row r="22" customFormat="false" ht="15" hidden="false" customHeight="true" outlineLevel="0" collapsed="false">
      <c r="A22" s="34" t="str">
        <f aca="false">GARP_GRAP!B21</f>
        <v>S&amp;EC — Anti-corruption</v>
      </c>
      <c r="B22" s="97" t="str">
        <f aca="false">GARP_GRAP!E21</f>
        <v>Req</v>
      </c>
      <c r="C22" s="101" t="n">
        <f aca="false">GARP_GRAP!I21</f>
        <v>3</v>
      </c>
      <c r="D22" s="47" t="n">
        <v>4</v>
      </c>
      <c r="E22" s="47" t="n">
        <v>3</v>
      </c>
      <c r="F22" s="265" t="n">
        <f aca="false">IFERROR(IF(Assumptions!$B$12="Single (financial — IFRS)",IF(B22="High",5,IF(B22="Medium",3,IF(B22="Low",1,IF(B22="Req",4,0))))*C22*D22/5,IF(Assumptions!$B$12="Double (financial + impact — ESRS)",IF(B22="High",5,IF(B22="Medium",3,IF(B22="Low",1,IF(B22="Req",4,0))))*C22*MAX(D22,E22)/5,IF(B22="High",5,IF(B22="Medium",3,IF(B22="Low",1,IF(B22="Req",4,0))))*C22*((D22+E22)/2)/5)),0)</f>
        <v>9.6</v>
      </c>
      <c r="G22" s="34" t="str">
        <f aca="false">IF(F22&gt;=15,"🔴 Critical — board agenda",IF(F22&gt;=10,"🟠 High — quarterly review",IF(F22&gt;=5,"🟡 Monitor — annual review","🟢 Low — register only")))</f>
        <v>🟡 Monitor — annual review</v>
      </c>
    </row>
    <row r="23" customFormat="false" ht="15" hidden="false" customHeight="true" outlineLevel="0" collapsed="false">
      <c r="A23" s="34" t="str">
        <f aca="false">GARP_GRAP!B22</f>
        <v>S&amp;EC — Consumer relations</v>
      </c>
      <c r="B23" s="97" t="str">
        <f aca="false">GARP_GRAP!E22</f>
        <v>Req</v>
      </c>
      <c r="C23" s="101" t="n">
        <f aca="false">GARP_GRAP!I22</f>
        <v>3</v>
      </c>
      <c r="D23" s="47" t="n">
        <v>4</v>
      </c>
      <c r="E23" s="47" t="n">
        <v>3</v>
      </c>
      <c r="F23" s="265" t="n">
        <f aca="false">IFERROR(IF(Assumptions!$B$12="Single (financial — IFRS)",IF(B23="High",5,IF(B23="Medium",3,IF(B23="Low",1,IF(B23="Req",4,0))))*C23*D23/5,IF(Assumptions!$B$12="Double (financial + impact — ESRS)",IF(B23="High",5,IF(B23="Medium",3,IF(B23="Low",1,IF(B23="Req",4,0))))*C23*MAX(D23,E23)/5,IF(B23="High",5,IF(B23="Medium",3,IF(B23="Low",1,IF(B23="Req",4,0))))*C23*((D23+E23)/2)/5)),0)</f>
        <v>9.6</v>
      </c>
      <c r="G23" s="34" t="str">
        <f aca="false">IF(F23&gt;=15,"🔴 Critical — board agenda",IF(F23&gt;=10,"🟠 High — quarterly review",IF(F23&gt;=5,"🟡 Monitor — annual review","🟢 Low — register only")))</f>
        <v>🟡 Monitor — annual review</v>
      </c>
    </row>
    <row r="24" customFormat="false" ht="15" hidden="false" customHeight="true" outlineLevel="0" collapsed="false">
      <c r="A24" s="34" t="str">
        <f aca="false">GARP_GRAP!B23</f>
        <v>S&amp;EC — Community development</v>
      </c>
      <c r="B24" s="97" t="str">
        <f aca="false">GARP_GRAP!E23</f>
        <v>Req</v>
      </c>
      <c r="C24" s="101" t="n">
        <f aca="false">GARP_GRAP!I23</f>
        <v>3</v>
      </c>
      <c r="D24" s="47" t="n">
        <v>4</v>
      </c>
      <c r="E24" s="47" t="n">
        <v>3</v>
      </c>
      <c r="F24" s="265" t="n">
        <f aca="false">IFERROR(IF(Assumptions!$B$12="Single (financial — IFRS)",IF(B24="High",5,IF(B24="Medium",3,IF(B24="Low",1,IF(B24="Req",4,0))))*C24*D24/5,IF(Assumptions!$B$12="Double (financial + impact — ESRS)",IF(B24="High",5,IF(B24="Medium",3,IF(B24="Low",1,IF(B24="Req",4,0))))*C24*MAX(D24,E24)/5,IF(B24="High",5,IF(B24="Medium",3,IF(B24="Low",1,IF(B24="Req",4,0))))*C24*((D24+E24)/2)/5)),0)</f>
        <v>9.6</v>
      </c>
      <c r="G24" s="34" t="str">
        <f aca="false">IF(F24&gt;=15,"🔴 Critical — board agenda",IF(F24&gt;=10,"🟠 High — quarterly review",IF(F24&gt;=5,"🟡 Monitor — annual review","🟢 Low — register only")))</f>
        <v>🟡 Monitor — annual review</v>
      </c>
    </row>
    <row r="25" customFormat="false" ht="15" hidden="false" customHeight="true" outlineLevel="0" collapsed="false">
      <c r="A25" s="34" t="str">
        <f aca="false">GARP_GRAP!B24</f>
        <v>External audit coverage</v>
      </c>
      <c r="B25" s="97" t="str">
        <f aca="false">GARP_GRAP!E24</f>
        <v>Req</v>
      </c>
      <c r="C25" s="101" t="n">
        <f aca="false">GARP_GRAP!I24</f>
        <v>3</v>
      </c>
      <c r="D25" s="47" t="n">
        <v>4</v>
      </c>
      <c r="E25" s="47" t="n">
        <v>3</v>
      </c>
      <c r="F25" s="265" t="n">
        <f aca="false">IFERROR(IF(Assumptions!$B$12="Single (financial — IFRS)",IF(B25="High",5,IF(B25="Medium",3,IF(B25="Low",1,IF(B25="Req",4,0))))*C25*D25/5,IF(Assumptions!$B$12="Double (financial + impact — ESRS)",IF(B25="High",5,IF(B25="Medium",3,IF(B25="Low",1,IF(B25="Req",4,0))))*C25*MAX(D25,E25)/5,IF(B25="High",5,IF(B25="Medium",3,IF(B25="Low",1,IF(B25="Req",4,0))))*C25*((D25+E25)/2)/5)),0)</f>
        <v>9.6</v>
      </c>
      <c r="G25" s="34" t="str">
        <f aca="false">IF(F25&gt;=15,"🔴 Critical — board agenda",IF(F25&gt;=10,"🟠 High — quarterly review",IF(F25&gt;=5,"🟡 Monitor — annual review","🟢 Low — register only")))</f>
        <v>🟡 Monitor — annual review</v>
      </c>
    </row>
    <row r="27" customFormat="false" ht="15" hidden="false" customHeight="true" outlineLevel="0" collapsed="false">
      <c r="A27" s="349" t="s">
        <v>2112</v>
      </c>
      <c r="B27" s="349"/>
      <c r="C27" s="349"/>
      <c r="D27" s="349"/>
      <c r="E27" s="349"/>
      <c r="F27" s="349"/>
      <c r="G27" s="349"/>
    </row>
    <row r="28" customFormat="false" ht="23.25" hidden="false" customHeight="true" outlineLevel="0" collapsed="false">
      <c r="A28" s="30" t="s">
        <v>2113</v>
      </c>
      <c r="B28" s="77" t="str">
        <f aca="false">Assumptions!B12</f>
        <v>Single (financial — IFRS)</v>
      </c>
      <c r="C28" s="77"/>
    </row>
    <row r="29" customFormat="false" ht="17.25" hidden="false" customHeight="true" outlineLevel="0" collapsed="false">
      <c r="A29" s="30" t="s">
        <v>2114</v>
      </c>
      <c r="B29" s="361" t="n">
        <f aca="false">COUNTIF(F6:F15,"&gt;=15")+COUNTIF(F18:F25,"&gt;=15")</f>
        <v>2</v>
      </c>
      <c r="C29" s="361"/>
    </row>
    <row r="30" customFormat="false" ht="17.25" hidden="false" customHeight="true" outlineLevel="0" collapsed="false">
      <c r="A30" s="30" t="s">
        <v>2115</v>
      </c>
      <c r="B30" s="361" t="n">
        <f aca="false">COUNTIFS(F6:F15,"&gt;=10",F6:F15,"&lt;15")+COUNTIFS(F18:F25,"&gt;=10",F18:F25,"&lt;15")</f>
        <v>1</v>
      </c>
      <c r="C30" s="361"/>
    </row>
    <row r="31" customFormat="false" ht="17.25" hidden="false" customHeight="true" outlineLevel="0" collapsed="false">
      <c r="A31" s="30" t="s">
        <v>2116</v>
      </c>
      <c r="B31" s="359" t="n">
        <f aca="false">IFERROR(AVERAGE(F6:F15,F18:F25),0)</f>
        <v>8.33333333333333</v>
      </c>
      <c r="C31" s="359"/>
    </row>
  </sheetData>
  <mergeCells count="9">
    <mergeCell ref="A1:G1"/>
    <mergeCell ref="A2:G2"/>
    <mergeCell ref="A4:G4"/>
    <mergeCell ref="A16:G16"/>
    <mergeCell ref="A27:G27"/>
    <mergeCell ref="B28:C28"/>
    <mergeCell ref="B29:C29"/>
    <mergeCell ref="B30:C30"/>
    <mergeCell ref="B31:C31"/>
  </mergeCells>
  <conditionalFormatting sqref="F6:F15">
    <cfRule type="cellIs" priority="2" operator="greaterThanOrEqual" aboveAverage="0" equalAverage="0" bottom="0" percent="0" rank="0" text="" dxfId="6">
      <formula>15</formula>
    </cfRule>
    <cfRule type="cellIs" priority="3" operator="between" aboveAverage="0" equalAverage="0" bottom="0" percent="0" rank="0" text="" dxfId="8">
      <formula>10</formula>
      <formula>14.99</formula>
    </cfRule>
    <cfRule type="cellIs" priority="4" operator="between" aboveAverage="0" equalAverage="0" bottom="0" percent="0" rank="0" text="" dxfId="1">
      <formula>5</formula>
      <formula>9.99</formula>
    </cfRule>
    <cfRule type="cellIs" priority="5" operator="lessThan" aboveAverage="0" equalAverage="0" bottom="0" percent="0" rank="0" text="" dxfId="0">
      <formula>5</formula>
    </cfRule>
  </conditionalFormatting>
  <conditionalFormatting sqref="F18:F25">
    <cfRule type="cellIs" priority="6" operator="greaterThanOrEqual" aboveAverage="0" equalAverage="0" bottom="0" percent="0" rank="0" text="" dxfId="6">
      <formula>15</formula>
    </cfRule>
    <cfRule type="cellIs" priority="7" operator="between" aboveAverage="0" equalAverage="0" bottom="0" percent="0" rank="0" text="" dxfId="8">
      <formula>10</formula>
      <formula>14.99</formula>
    </cfRule>
    <cfRule type="cellIs" priority="8" operator="between" aboveAverage="0" equalAverage="0" bottom="0" percent="0" rank="0" text="" dxfId="1">
      <formula>5</formula>
      <formula>9.99</formula>
    </cfRule>
    <cfRule type="cellIs" priority="9" operator="lessThan" aboveAverage="0" equalAverage="0" bottom="0" percent="0" rank="0" text="" dxfId="0">
      <formula>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6" min="6" style="1" width="50"/>
  </cols>
  <sheetData>
    <row r="1" customFormat="false" ht="27.75" hidden="false" customHeight="true" outlineLevel="0" collapsed="false">
      <c r="A1" s="24" t="s">
        <v>2117</v>
      </c>
      <c r="B1" s="24"/>
      <c r="C1" s="24"/>
      <c r="D1" s="24"/>
      <c r="E1" s="24"/>
      <c r="F1" s="24"/>
    </row>
    <row r="2" customFormat="false" ht="15" hidden="false" customHeight="true" outlineLevel="0" collapsed="false">
      <c r="A2" s="25" t="s">
        <v>2118</v>
      </c>
      <c r="B2" s="25"/>
      <c r="C2" s="25"/>
      <c r="D2" s="25"/>
      <c r="E2" s="25"/>
      <c r="F2" s="25"/>
    </row>
    <row r="4" customFormat="false" ht="15" hidden="false" customHeight="true" outlineLevel="0" collapsed="false">
      <c r="A4" s="349" t="s">
        <v>2119</v>
      </c>
      <c r="B4" s="349"/>
      <c r="C4" s="349"/>
      <c r="D4" s="349"/>
      <c r="E4" s="349"/>
      <c r="F4" s="349"/>
    </row>
    <row r="5" customFormat="false" ht="31.5" hidden="false" customHeight="true" outlineLevel="0" collapsed="false">
      <c r="A5" s="29" t="s">
        <v>543</v>
      </c>
      <c r="B5" s="29" t="s">
        <v>2120</v>
      </c>
      <c r="C5" s="29" t="s">
        <v>608</v>
      </c>
      <c r="D5" s="29" t="s">
        <v>554</v>
      </c>
      <c r="E5" s="29" t="s">
        <v>2121</v>
      </c>
      <c r="F5" s="29" t="s">
        <v>567</v>
      </c>
    </row>
    <row r="6" customFormat="false" ht="15" hidden="false" customHeight="true" outlineLevel="0" collapsed="false">
      <c r="A6" s="57" t="s">
        <v>2122</v>
      </c>
      <c r="B6" s="34" t="s">
        <v>2123</v>
      </c>
      <c r="C6" s="82" t="n">
        <f aca="false">IFERROR(E_Data!L75,0)</f>
        <v>589465.53</v>
      </c>
      <c r="D6" s="82" t="n">
        <f aca="false">C6*Assumptions!$B$112</f>
        <v>785954.04</v>
      </c>
      <c r="E6" s="82" t="n">
        <f aca="false">D6*(1-Assumptions!$B$39)</f>
        <v>314381.616</v>
      </c>
      <c r="F6" s="350" t="s">
        <v>2124</v>
      </c>
    </row>
    <row r="7" customFormat="false" ht="23.25" hidden="false" customHeight="true" outlineLevel="0" collapsed="false">
      <c r="A7" s="57" t="s">
        <v>2125</v>
      </c>
      <c r="B7" s="34" t="s">
        <v>2126</v>
      </c>
      <c r="C7" s="82" t="n">
        <f aca="false">IFERROR(E_Data!L76,0)</f>
        <v>2181.14</v>
      </c>
      <c r="D7" s="82" t="n">
        <f aca="false">C7*Assumptions!$B$112</f>
        <v>2908.18666666667</v>
      </c>
      <c r="E7" s="82" t="n">
        <f aca="false">D7*(1-Assumptions!$B$39)</f>
        <v>1163.27466666667</v>
      </c>
      <c r="F7" s="350" t="s">
        <v>2127</v>
      </c>
    </row>
    <row r="8" customFormat="false" ht="15" hidden="false" customHeight="true" outlineLevel="0" collapsed="false">
      <c r="A8" s="57" t="s">
        <v>2128</v>
      </c>
      <c r="B8" s="34" t="s">
        <v>2129</v>
      </c>
      <c r="C8" s="82" t="n">
        <f aca="false">IFERROR(E_Data!L77,0)</f>
        <v>2280</v>
      </c>
      <c r="D8" s="82" t="n">
        <f aca="false">C8*Assumptions!$B$112</f>
        <v>3040</v>
      </c>
      <c r="E8" s="82" t="n">
        <f aca="false">D8*(1-Assumptions!$B$39)</f>
        <v>1216</v>
      </c>
      <c r="F8" s="350" t="s">
        <v>2130</v>
      </c>
    </row>
    <row r="9" customFormat="false" ht="15" hidden="false" customHeight="true" outlineLevel="0" collapsed="false">
      <c r="A9" s="57" t="s">
        <v>2131</v>
      </c>
      <c r="B9" s="34" t="s">
        <v>2132</v>
      </c>
      <c r="C9" s="82" t="n">
        <f aca="false">IFERROR(E_Data!L78,0)</f>
        <v>1053.82</v>
      </c>
      <c r="D9" s="82" t="n">
        <f aca="false">C9*Assumptions!$B$112</f>
        <v>1405.09333333333</v>
      </c>
      <c r="E9" s="82" t="n">
        <f aca="false">D9*(1-Assumptions!$B$39)</f>
        <v>562.037333333333</v>
      </c>
      <c r="F9" s="350" t="s">
        <v>2133</v>
      </c>
    </row>
    <row r="10" customFormat="false" ht="34.5" hidden="false" customHeight="true" outlineLevel="0" collapsed="false">
      <c r="A10" s="57" t="s">
        <v>2134</v>
      </c>
      <c r="B10" s="34" t="s">
        <v>2135</v>
      </c>
      <c r="C10" s="82" t="n">
        <f aca="false">IFERROR(E_Data!L82,0)</f>
        <v>2589578.44</v>
      </c>
      <c r="D10" s="82" t="n">
        <f aca="false">C10*Assumptions!$B$112</f>
        <v>3452771.25333333</v>
      </c>
      <c r="E10" s="82" t="n">
        <f aca="false">D10*(1-Assumptions!$B$39)</f>
        <v>1381108.50133333</v>
      </c>
      <c r="F10" s="350" t="s">
        <v>2136</v>
      </c>
    </row>
    <row r="11" customFormat="false" ht="15" hidden="false" customHeight="true" outlineLevel="0" collapsed="false">
      <c r="A11" s="362" t="s">
        <v>2137</v>
      </c>
      <c r="B11" s="362"/>
      <c r="C11" s="363" t="n">
        <f aca="false">SUM(C6:C10)</f>
        <v>3184558.93</v>
      </c>
      <c r="D11" s="363" t="n">
        <f aca="false">SUM(D6:D10)</f>
        <v>4246078.57333333</v>
      </c>
      <c r="E11" s="363" t="n">
        <f aca="false">SUM(E6:E10)</f>
        <v>1698431.42933333</v>
      </c>
    </row>
    <row r="13" customFormat="false" ht="15" hidden="false" customHeight="true" outlineLevel="0" collapsed="false">
      <c r="A13" s="349" t="s">
        <v>2138</v>
      </c>
      <c r="B13" s="349"/>
      <c r="C13" s="349"/>
      <c r="D13" s="349"/>
      <c r="E13" s="349"/>
      <c r="F13" s="349"/>
    </row>
    <row r="14" customFormat="false" ht="31.5" hidden="false" customHeight="true" outlineLevel="0" collapsed="false">
      <c r="A14" s="29" t="s">
        <v>660</v>
      </c>
      <c r="B14" s="29" t="s">
        <v>2139</v>
      </c>
      <c r="C14" s="29" t="s">
        <v>2140</v>
      </c>
      <c r="D14" s="29" t="s">
        <v>2141</v>
      </c>
      <c r="E14" s="29" t="s">
        <v>2142</v>
      </c>
      <c r="F14" s="29" t="s">
        <v>2143</v>
      </c>
    </row>
    <row r="15" customFormat="false" ht="15" hidden="false" customHeight="true" outlineLevel="0" collapsed="false">
      <c r="A15" s="30" t="s">
        <v>2144</v>
      </c>
      <c r="B15" s="42" t="n">
        <f aca="false">Assumptions!B37</f>
        <v>236</v>
      </c>
      <c r="C15" s="42" t="n">
        <f aca="false">Assumptions!B38</f>
        <v>640</v>
      </c>
      <c r="D15" s="364" t="n">
        <f aca="false">C15-B15</f>
        <v>404</v>
      </c>
      <c r="E15" s="97" t="str">
        <f aca="false">IF(Assumptions!$B$15="Both (current + escalated)","Both",IF(Assumptions!$B$15="Escalated Tier 2 only","Tier 2 only","Tier 1 only"))</f>
        <v>Both</v>
      </c>
      <c r="F15" s="350" t="s">
        <v>2145</v>
      </c>
    </row>
    <row r="16" customFormat="false" ht="15" hidden="false" customHeight="true" outlineLevel="0" collapsed="false">
      <c r="A16" s="30" t="s">
        <v>2146</v>
      </c>
      <c r="B16" s="364" t="n">
        <f aca="false">E11*B15</f>
        <v>400829817.322667</v>
      </c>
      <c r="C16" s="364" t="n">
        <f aca="false">E11*C15</f>
        <v>1086996114.77333</v>
      </c>
      <c r="D16" s="364" t="n">
        <f aca="false">C16-B16</f>
        <v>686166297.450667</v>
      </c>
      <c r="F16" s="350" t="s">
        <v>2147</v>
      </c>
    </row>
    <row r="17" customFormat="false" ht="31.5" hidden="false" customHeight="true" outlineLevel="0" collapsed="false">
      <c r="A17" s="30" t="s">
        <v>2148</v>
      </c>
      <c r="B17" s="365" t="str">
        <f aca="false">Assumptions!$B$14&amp;" "&amp;TEXT(B16,"#,##0")</f>
        <v> 400,829,817</v>
      </c>
      <c r="C17" s="366" t="str">
        <f aca="false">Assumptions!$B$14&amp;" "&amp;TEXT(C16,"#,##0")</f>
        <v> 1,086,996,115</v>
      </c>
      <c r="D17" s="367" t="str">
        <f aca="false">Assumptions!$B$14&amp;" "&amp;TEXT(D16,"#,##0")</f>
        <v> 686,166,297</v>
      </c>
    </row>
    <row r="19" customFormat="false" ht="15" hidden="false" customHeight="true" outlineLevel="0" collapsed="false">
      <c r="A19" s="349" t="s">
        <v>2149</v>
      </c>
      <c r="B19" s="349"/>
      <c r="C19" s="349"/>
      <c r="D19" s="349"/>
      <c r="E19" s="349"/>
      <c r="F19" s="349"/>
    </row>
    <row r="20" customFormat="false" ht="31.5" hidden="false" customHeight="true" outlineLevel="0" collapsed="false">
      <c r="A20" s="29" t="s">
        <v>2150</v>
      </c>
      <c r="B20" s="29" t="s">
        <v>2151</v>
      </c>
      <c r="C20" s="29" t="s">
        <v>2152</v>
      </c>
      <c r="D20" s="29" t="s">
        <v>2153</v>
      </c>
      <c r="E20" s="29" t="s">
        <v>2154</v>
      </c>
      <c r="F20" s="29" t="s">
        <v>2143</v>
      </c>
    </row>
    <row r="21" customFormat="false" ht="21.75" hidden="false" customHeight="true" outlineLevel="0" collapsed="false">
      <c r="A21" s="30" t="s">
        <v>2155</v>
      </c>
      <c r="B21" s="364" t="n">
        <f aca="false">IFERROR(E10*0.2*B15,0)</f>
        <v>65188321.2629333</v>
      </c>
      <c r="C21" s="364" t="n">
        <f aca="false">IFERROR(E10*0.2*C15,0)</f>
        <v>176781888.170667</v>
      </c>
      <c r="D21" s="42" t="n">
        <v>4500000</v>
      </c>
      <c r="E21" s="368" t="n">
        <f aca="false">IFERROR(D21/MAX(1,B21+C21/2),"")</f>
        <v>0.0293008303549017</v>
      </c>
      <c r="F21" s="350" t="s">
        <v>2156</v>
      </c>
    </row>
    <row r="22" customFormat="false" ht="15" hidden="false" customHeight="true" outlineLevel="0" collapsed="false">
      <c r="A22" s="30" t="s">
        <v>2157</v>
      </c>
      <c r="B22" s="364" t="n">
        <f aca="false">IFERROR(E6*0.1*B15,0)</f>
        <v>7419406.1376</v>
      </c>
      <c r="C22" s="364" t="n">
        <f aca="false">IFERROR(E6*0.1*C15,0)</f>
        <v>20120423.424</v>
      </c>
      <c r="D22" s="42" t="n">
        <v>350000</v>
      </c>
      <c r="E22" s="368" t="n">
        <f aca="false">IFERROR(D22/MAX(1,B22+C22/2),"")</f>
        <v>0.0200233210480634</v>
      </c>
      <c r="F22" s="350" t="s">
        <v>2158</v>
      </c>
    </row>
    <row r="23" customFormat="false" ht="15" hidden="false" customHeight="true" outlineLevel="0" collapsed="false">
      <c r="A23" s="30" t="s">
        <v>2159</v>
      </c>
      <c r="B23" s="364" t="n">
        <f aca="false">IFERROR(E6*0.2*B15,0)</f>
        <v>14838812.2752</v>
      </c>
      <c r="C23" s="364" t="n">
        <f aca="false">IFERROR(E6*0.2*C15,0)</f>
        <v>40240846.848</v>
      </c>
      <c r="D23" s="42" t="n">
        <v>18000000</v>
      </c>
      <c r="E23" s="368" t="n">
        <f aca="false">IFERROR(D23/MAX(1,B23+C23/2),"")</f>
        <v>0.514885398378773</v>
      </c>
      <c r="F23" s="350" t="s">
        <v>2160</v>
      </c>
    </row>
    <row r="24" customFormat="false" ht="15" hidden="false" customHeight="true" outlineLevel="0" collapsed="false">
      <c r="A24" s="86" t="s">
        <v>2161</v>
      </c>
      <c r="B24" s="369" t="n">
        <f aca="false">SUM(B21:B23)</f>
        <v>87446539.6757333</v>
      </c>
      <c r="C24" s="369" t="n">
        <f aca="false">SUM(C21:C23)</f>
        <v>237143158.442667</v>
      </c>
      <c r="D24" s="369" t="n">
        <f aca="false">SUM(D21:D23)</f>
        <v>22850000</v>
      </c>
    </row>
    <row r="26" customFormat="false" ht="15" hidden="false" customHeight="true" outlineLevel="0" collapsed="false">
      <c r="A26" s="349" t="s">
        <v>2162</v>
      </c>
      <c r="B26" s="349"/>
      <c r="C26" s="349"/>
      <c r="D26" s="349"/>
      <c r="E26" s="349"/>
      <c r="F26" s="349"/>
    </row>
    <row r="27" customFormat="false" ht="15" hidden="false" customHeight="true" outlineLevel="0" collapsed="false">
      <c r="A27" s="30" t="s">
        <v>2163</v>
      </c>
      <c r="B27" s="370" t="str">
        <f aca="false">Assumptions!$B$14&amp;" "&amp;TEXT(B16,"#,##0")</f>
        <v> 400,829,817</v>
      </c>
      <c r="C27" s="370" t="str">
        <f aca="false">Assumptions!$B$14&amp;" "&amp;TEXT(C16,"#,##0")</f>
        <v> 1,086,996,115</v>
      </c>
    </row>
    <row r="28" customFormat="false" ht="15" hidden="false" customHeight="true" outlineLevel="0" collapsed="false">
      <c r="A28" s="30" t="s">
        <v>2164</v>
      </c>
      <c r="B28" s="371" t="str">
        <f aca="false">Assumptions!$B$14&amp;" "&amp;TEXT(MAX(0,B16-B24),"#,##0")</f>
        <v> 313,383,278</v>
      </c>
      <c r="C28" s="371" t="str">
        <f aca="false">Assumptions!$B$14&amp;" "&amp;TEXT(MAX(0,C16-C24),"#,##0")</f>
        <v> 849,852,956</v>
      </c>
    </row>
    <row r="29" customFormat="false" ht="15" hidden="false" customHeight="true" outlineLevel="0" collapsed="false">
      <c r="A29" s="30" t="s">
        <v>2165</v>
      </c>
      <c r="B29" s="36" t="n">
        <f aca="false">IFERROR(B24/B16,0)</f>
        <v>0.218163759023294</v>
      </c>
      <c r="C29" s="36" t="n">
        <f aca="false">IFERROR(C24/C16,0)</f>
        <v>0.218163759023294</v>
      </c>
    </row>
  </sheetData>
  <mergeCells count="7">
    <mergeCell ref="A1:F1"/>
    <mergeCell ref="A2:F2"/>
    <mergeCell ref="A4:F4"/>
    <mergeCell ref="A11:B11"/>
    <mergeCell ref="A13:F13"/>
    <mergeCell ref="A19:F19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74F"/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8" min="2" style="1" width="10"/>
    <col collapsed="false" customWidth="true" hidden="false" outlineLevel="0" max="9" min="9" style="1" width="12"/>
  </cols>
  <sheetData>
    <row r="1" customFormat="false" ht="21.75" hidden="false" customHeight="true" outlineLevel="0" collapsed="false">
      <c r="A1" s="213" t="s">
        <v>2166</v>
      </c>
      <c r="B1" s="213"/>
      <c r="C1" s="213"/>
      <c r="D1" s="213"/>
      <c r="E1" s="213"/>
      <c r="F1" s="213"/>
      <c r="G1" s="213"/>
      <c r="H1" s="213"/>
      <c r="I1" s="213"/>
    </row>
    <row r="3" customFormat="false" ht="27.75" hidden="false" customHeight="true" outlineLevel="0" collapsed="false">
      <c r="A3" s="214" t="s">
        <v>2167</v>
      </c>
      <c r="B3" s="214" t="s">
        <v>2168</v>
      </c>
      <c r="C3" s="214" t="s">
        <v>2169</v>
      </c>
      <c r="D3" s="214" t="s">
        <v>2170</v>
      </c>
      <c r="E3" s="214" t="s">
        <v>2171</v>
      </c>
      <c r="F3" s="214" t="s">
        <v>2172</v>
      </c>
      <c r="G3" s="214" t="s">
        <v>2173</v>
      </c>
      <c r="H3" s="214" t="s">
        <v>2174</v>
      </c>
      <c r="I3" s="214" t="s">
        <v>2175</v>
      </c>
    </row>
    <row r="4" customFormat="false" ht="18" hidden="false" customHeight="true" outlineLevel="0" collapsed="false">
      <c r="A4" s="372" t="s">
        <v>2176</v>
      </c>
      <c r="B4" s="373" t="s">
        <v>2177</v>
      </c>
      <c r="C4" s="373" t="s">
        <v>2178</v>
      </c>
      <c r="D4" s="373" t="s">
        <v>2179</v>
      </c>
      <c r="E4" s="373" t="s">
        <v>2180</v>
      </c>
      <c r="F4" s="373" t="s">
        <v>2181</v>
      </c>
      <c r="G4" s="373" t="s">
        <v>279</v>
      </c>
      <c r="H4" s="373" t="s">
        <v>2182</v>
      </c>
      <c r="I4" s="373" t="s">
        <v>26</v>
      </c>
    </row>
    <row r="5" customFormat="false" ht="18" hidden="false" customHeight="true" outlineLevel="0" collapsed="false">
      <c r="A5" s="374" t="s">
        <v>2183</v>
      </c>
      <c r="B5" s="375" t="s">
        <v>2177</v>
      </c>
      <c r="C5" s="375" t="s">
        <v>2178</v>
      </c>
      <c r="D5" s="375" t="s">
        <v>2179</v>
      </c>
      <c r="E5" s="375" t="s">
        <v>1835</v>
      </c>
      <c r="F5" s="375" t="s">
        <v>2184</v>
      </c>
      <c r="G5" s="375" t="s">
        <v>279</v>
      </c>
      <c r="H5" s="375" t="s">
        <v>2185</v>
      </c>
      <c r="I5" s="375" t="s">
        <v>26</v>
      </c>
    </row>
    <row r="6" customFormat="false" ht="18" hidden="false" customHeight="true" outlineLevel="0" collapsed="false">
      <c r="A6" s="372" t="s">
        <v>2186</v>
      </c>
      <c r="B6" s="373" t="s">
        <v>2177</v>
      </c>
      <c r="C6" s="373" t="s">
        <v>2178</v>
      </c>
      <c r="D6" s="373" t="s">
        <v>2179</v>
      </c>
      <c r="E6" s="373" t="s">
        <v>1835</v>
      </c>
      <c r="F6" s="373" t="s">
        <v>2187</v>
      </c>
      <c r="G6" s="373" t="s">
        <v>279</v>
      </c>
      <c r="H6" s="373" t="s">
        <v>2185</v>
      </c>
      <c r="I6" s="373" t="s">
        <v>26</v>
      </c>
    </row>
    <row r="7" customFormat="false" ht="18" hidden="false" customHeight="true" outlineLevel="0" collapsed="false">
      <c r="A7" s="374" t="s">
        <v>2188</v>
      </c>
      <c r="B7" s="375" t="s">
        <v>2177</v>
      </c>
      <c r="C7" s="375" t="s">
        <v>2178</v>
      </c>
      <c r="D7" s="375" t="s">
        <v>2179</v>
      </c>
      <c r="E7" s="375" t="s">
        <v>1835</v>
      </c>
      <c r="F7" s="375" t="s">
        <v>2187</v>
      </c>
      <c r="G7" s="375" t="s">
        <v>279</v>
      </c>
      <c r="H7" s="375" t="s">
        <v>2185</v>
      </c>
      <c r="I7" s="375" t="s">
        <v>26</v>
      </c>
    </row>
    <row r="8" customFormat="false" ht="18" hidden="false" customHeight="true" outlineLevel="0" collapsed="false">
      <c r="A8" s="372" t="s">
        <v>2189</v>
      </c>
      <c r="B8" s="373" t="s">
        <v>2190</v>
      </c>
      <c r="C8" s="373" t="s">
        <v>2178</v>
      </c>
      <c r="D8" s="373" t="s">
        <v>2191</v>
      </c>
      <c r="E8" s="373" t="s">
        <v>1835</v>
      </c>
      <c r="F8" s="373" t="s">
        <v>2192</v>
      </c>
      <c r="G8" s="373" t="s">
        <v>279</v>
      </c>
      <c r="H8" s="373" t="s">
        <v>2185</v>
      </c>
      <c r="I8" s="373" t="s">
        <v>26</v>
      </c>
    </row>
    <row r="9" customFormat="false" ht="18" hidden="false" customHeight="true" outlineLevel="0" collapsed="false">
      <c r="A9" s="374" t="s">
        <v>2193</v>
      </c>
      <c r="B9" s="375" t="s">
        <v>2194</v>
      </c>
      <c r="C9" s="375" t="s">
        <v>2195</v>
      </c>
      <c r="D9" s="375" t="s">
        <v>2196</v>
      </c>
      <c r="E9" s="375" t="s">
        <v>1835</v>
      </c>
      <c r="F9" s="375" t="s">
        <v>2187</v>
      </c>
      <c r="G9" s="375" t="s">
        <v>279</v>
      </c>
      <c r="H9" s="375" t="s">
        <v>2197</v>
      </c>
      <c r="I9" s="375" t="s">
        <v>26</v>
      </c>
    </row>
    <row r="10" customFormat="false" ht="18" hidden="false" customHeight="true" outlineLevel="0" collapsed="false">
      <c r="A10" s="372" t="s">
        <v>2198</v>
      </c>
      <c r="B10" s="373" t="s">
        <v>1281</v>
      </c>
      <c r="C10" s="373" t="s">
        <v>2199</v>
      </c>
      <c r="D10" s="373" t="s">
        <v>279</v>
      </c>
      <c r="E10" s="373" t="s">
        <v>1829</v>
      </c>
      <c r="F10" s="373" t="s">
        <v>2184</v>
      </c>
      <c r="G10" s="373" t="s">
        <v>279</v>
      </c>
      <c r="H10" s="373" t="s">
        <v>279</v>
      </c>
      <c r="I10" s="373" t="s">
        <v>26</v>
      </c>
    </row>
    <row r="11" customFormat="false" ht="18" hidden="false" customHeight="true" outlineLevel="0" collapsed="false">
      <c r="A11" s="374" t="s">
        <v>2200</v>
      </c>
      <c r="B11" s="375" t="s">
        <v>1275</v>
      </c>
      <c r="C11" s="375" t="s">
        <v>279</v>
      </c>
      <c r="D11" s="375" t="s">
        <v>279</v>
      </c>
      <c r="E11" s="375" t="s">
        <v>1829</v>
      </c>
      <c r="F11" s="375" t="s">
        <v>2201</v>
      </c>
      <c r="G11" s="375" t="s">
        <v>279</v>
      </c>
      <c r="H11" s="375" t="s">
        <v>279</v>
      </c>
      <c r="I11" s="375" t="s">
        <v>35</v>
      </c>
    </row>
    <row r="12" customFormat="false" ht="18" hidden="false" customHeight="true" outlineLevel="0" collapsed="false">
      <c r="A12" s="372" t="s">
        <v>2202</v>
      </c>
      <c r="B12" s="373" t="s">
        <v>2203</v>
      </c>
      <c r="C12" s="373" t="s">
        <v>279</v>
      </c>
      <c r="D12" s="373" t="s">
        <v>2179</v>
      </c>
      <c r="E12" s="373" t="s">
        <v>1835</v>
      </c>
      <c r="F12" s="373" t="s">
        <v>2204</v>
      </c>
      <c r="G12" s="373" t="s">
        <v>279</v>
      </c>
      <c r="H12" s="373" t="s">
        <v>2205</v>
      </c>
      <c r="I12" s="373" t="s">
        <v>33</v>
      </c>
    </row>
    <row r="13" customFormat="false" ht="18" hidden="false" customHeight="true" outlineLevel="0" collapsed="false">
      <c r="A13" s="374" t="s">
        <v>2206</v>
      </c>
      <c r="B13" s="375" t="s">
        <v>2194</v>
      </c>
      <c r="C13" s="375" t="s">
        <v>2195</v>
      </c>
      <c r="D13" s="375" t="s">
        <v>2207</v>
      </c>
      <c r="E13" s="375" t="s">
        <v>2208</v>
      </c>
      <c r="F13" s="375" t="s">
        <v>279</v>
      </c>
      <c r="G13" s="375" t="s">
        <v>279</v>
      </c>
      <c r="H13" s="375" t="s">
        <v>2209</v>
      </c>
      <c r="I13" s="375" t="s">
        <v>33</v>
      </c>
    </row>
    <row r="14" customFormat="false" ht="18" hidden="false" customHeight="true" outlineLevel="0" collapsed="false">
      <c r="A14" s="372" t="s">
        <v>2210</v>
      </c>
      <c r="B14" s="373" t="s">
        <v>2211</v>
      </c>
      <c r="C14" s="373" t="s">
        <v>2212</v>
      </c>
      <c r="D14" s="373" t="s">
        <v>279</v>
      </c>
      <c r="E14" s="373" t="s">
        <v>2213</v>
      </c>
      <c r="F14" s="373" t="s">
        <v>2187</v>
      </c>
      <c r="G14" s="373" t="s">
        <v>279</v>
      </c>
      <c r="H14" s="373" t="s">
        <v>279</v>
      </c>
      <c r="I14" s="373" t="s">
        <v>53</v>
      </c>
    </row>
    <row r="15" customFormat="false" ht="18" hidden="false" customHeight="true" outlineLevel="0" collapsed="false">
      <c r="A15" s="374" t="s">
        <v>2214</v>
      </c>
      <c r="B15" s="375" t="s">
        <v>2203</v>
      </c>
      <c r="C15" s="375" t="s">
        <v>279</v>
      </c>
      <c r="D15" s="375" t="s">
        <v>2179</v>
      </c>
      <c r="E15" s="375" t="s">
        <v>2215</v>
      </c>
      <c r="F15" s="375" t="s">
        <v>2204</v>
      </c>
      <c r="G15" s="375" t="s">
        <v>279</v>
      </c>
      <c r="H15" s="375" t="s">
        <v>279</v>
      </c>
      <c r="I15" s="375" t="s">
        <v>1605</v>
      </c>
    </row>
    <row r="16" customFormat="false" ht="18" hidden="false" customHeight="true" outlineLevel="0" collapsed="false">
      <c r="A16" s="372" t="s">
        <v>581</v>
      </c>
      <c r="B16" s="373" t="s">
        <v>2216</v>
      </c>
      <c r="C16" s="373" t="s">
        <v>2217</v>
      </c>
      <c r="D16" s="373" t="s">
        <v>279</v>
      </c>
      <c r="E16" s="373" t="s">
        <v>1849</v>
      </c>
      <c r="F16" s="373" t="s">
        <v>2218</v>
      </c>
      <c r="G16" s="373" t="s">
        <v>2219</v>
      </c>
      <c r="H16" s="373" t="s">
        <v>279</v>
      </c>
      <c r="I16" s="373" t="s">
        <v>39</v>
      </c>
    </row>
    <row r="17" customFormat="false" ht="18" hidden="false" customHeight="true" outlineLevel="0" collapsed="false">
      <c r="A17" s="374" t="s">
        <v>2220</v>
      </c>
      <c r="B17" s="375" t="s">
        <v>2216</v>
      </c>
      <c r="C17" s="375" t="s">
        <v>2217</v>
      </c>
      <c r="D17" s="375" t="s">
        <v>279</v>
      </c>
      <c r="E17" s="375" t="s">
        <v>1849</v>
      </c>
      <c r="F17" s="375" t="s">
        <v>2221</v>
      </c>
      <c r="G17" s="375" t="s">
        <v>2219</v>
      </c>
      <c r="H17" s="375" t="s">
        <v>279</v>
      </c>
      <c r="I17" s="375" t="s">
        <v>39</v>
      </c>
    </row>
    <row r="18" customFormat="false" ht="18" hidden="false" customHeight="true" outlineLevel="0" collapsed="false">
      <c r="A18" s="372" t="s">
        <v>2222</v>
      </c>
      <c r="B18" s="373" t="s">
        <v>2216</v>
      </c>
      <c r="C18" s="373" t="s">
        <v>279</v>
      </c>
      <c r="D18" s="373" t="s">
        <v>279</v>
      </c>
      <c r="E18" s="373" t="s">
        <v>1849</v>
      </c>
      <c r="F18" s="373" t="s">
        <v>2221</v>
      </c>
      <c r="G18" s="373" t="s">
        <v>2223</v>
      </c>
      <c r="H18" s="373" t="s">
        <v>279</v>
      </c>
      <c r="I18" s="373" t="s">
        <v>29</v>
      </c>
    </row>
    <row r="19" customFormat="false" ht="18" hidden="false" customHeight="true" outlineLevel="0" collapsed="false">
      <c r="A19" s="374" t="s">
        <v>2224</v>
      </c>
      <c r="B19" s="375" t="s">
        <v>1342</v>
      </c>
      <c r="C19" s="375" t="s">
        <v>2217</v>
      </c>
      <c r="D19" s="375" t="s">
        <v>279</v>
      </c>
      <c r="E19" s="375" t="s">
        <v>2225</v>
      </c>
      <c r="F19" s="375" t="s">
        <v>2218</v>
      </c>
      <c r="G19" s="375" t="s">
        <v>2226</v>
      </c>
      <c r="H19" s="375" t="s">
        <v>279</v>
      </c>
      <c r="I19" s="375" t="s">
        <v>29</v>
      </c>
    </row>
    <row r="20" customFormat="false" ht="18" hidden="false" customHeight="true" outlineLevel="0" collapsed="false">
      <c r="A20" s="372" t="s">
        <v>2227</v>
      </c>
      <c r="B20" s="373" t="s">
        <v>2228</v>
      </c>
      <c r="C20" s="373" t="s">
        <v>279</v>
      </c>
      <c r="D20" s="373" t="s">
        <v>279</v>
      </c>
      <c r="E20" s="373" t="s">
        <v>1829</v>
      </c>
      <c r="F20" s="373" t="s">
        <v>2221</v>
      </c>
      <c r="G20" s="373" t="s">
        <v>2229</v>
      </c>
      <c r="H20" s="373" t="s">
        <v>279</v>
      </c>
      <c r="I20" s="373" t="s">
        <v>29</v>
      </c>
    </row>
    <row r="21" customFormat="false" ht="18" hidden="false" customHeight="true" outlineLevel="0" collapsed="false">
      <c r="A21" s="374" t="s">
        <v>2230</v>
      </c>
      <c r="B21" s="375" t="s">
        <v>2231</v>
      </c>
      <c r="C21" s="375" t="s">
        <v>2217</v>
      </c>
      <c r="D21" s="375" t="s">
        <v>279</v>
      </c>
      <c r="E21" s="375" t="s">
        <v>1829</v>
      </c>
      <c r="F21" s="375" t="s">
        <v>2232</v>
      </c>
      <c r="G21" s="375" t="s">
        <v>279</v>
      </c>
      <c r="H21" s="375" t="s">
        <v>279</v>
      </c>
      <c r="I21" s="375" t="s">
        <v>29</v>
      </c>
    </row>
    <row r="22" customFormat="false" ht="18" hidden="false" customHeight="true" outlineLevel="0" collapsed="false">
      <c r="A22" s="372" t="s">
        <v>2233</v>
      </c>
      <c r="B22" s="373" t="s">
        <v>2231</v>
      </c>
      <c r="C22" s="373" t="s">
        <v>279</v>
      </c>
      <c r="D22" s="373" t="s">
        <v>279</v>
      </c>
      <c r="E22" s="373" t="s">
        <v>1829</v>
      </c>
      <c r="F22" s="373" t="s">
        <v>2234</v>
      </c>
      <c r="G22" s="373" t="s">
        <v>279</v>
      </c>
      <c r="H22" s="373" t="s">
        <v>279</v>
      </c>
      <c r="I22" s="373" t="s">
        <v>29</v>
      </c>
    </row>
    <row r="23" customFormat="false" ht="18" hidden="false" customHeight="true" outlineLevel="0" collapsed="false">
      <c r="A23" s="374" t="s">
        <v>2235</v>
      </c>
      <c r="B23" s="375" t="s">
        <v>2236</v>
      </c>
      <c r="C23" s="375" t="s">
        <v>279</v>
      </c>
      <c r="D23" s="375" t="s">
        <v>279</v>
      </c>
      <c r="E23" s="375" t="s">
        <v>2215</v>
      </c>
      <c r="F23" s="375" t="s">
        <v>2234</v>
      </c>
      <c r="G23" s="375" t="s">
        <v>279</v>
      </c>
      <c r="H23" s="375" t="s">
        <v>2237</v>
      </c>
      <c r="I23" s="375" t="s">
        <v>37</v>
      </c>
    </row>
    <row r="24" customFormat="false" ht="18" hidden="false" customHeight="true" outlineLevel="0" collapsed="false">
      <c r="A24" s="372" t="s">
        <v>2238</v>
      </c>
      <c r="B24" s="373" t="s">
        <v>2203</v>
      </c>
      <c r="C24" s="373" t="s">
        <v>279</v>
      </c>
      <c r="D24" s="373" t="s">
        <v>2179</v>
      </c>
      <c r="E24" s="373" t="s">
        <v>1835</v>
      </c>
      <c r="F24" s="373" t="s">
        <v>2187</v>
      </c>
      <c r="G24" s="373" t="s">
        <v>279</v>
      </c>
      <c r="H24" s="373" t="s">
        <v>2239</v>
      </c>
      <c r="I24" s="373" t="s">
        <v>37</v>
      </c>
    </row>
    <row r="25" customFormat="false" ht="18" hidden="false" customHeight="true" outlineLevel="0" collapsed="false">
      <c r="A25" s="374" t="s">
        <v>2240</v>
      </c>
      <c r="B25" s="375" t="s">
        <v>2241</v>
      </c>
      <c r="C25" s="375" t="s">
        <v>279</v>
      </c>
      <c r="D25" s="375" t="s">
        <v>279</v>
      </c>
      <c r="E25" s="375" t="s">
        <v>1824</v>
      </c>
      <c r="F25" s="375" t="s">
        <v>2242</v>
      </c>
      <c r="G25" s="375" t="s">
        <v>2243</v>
      </c>
      <c r="H25" s="375" t="s">
        <v>279</v>
      </c>
      <c r="I25" s="375" t="s">
        <v>29</v>
      </c>
    </row>
    <row r="26" customFormat="false" ht="18" hidden="false" customHeight="true" outlineLevel="0" collapsed="false">
      <c r="A26" s="372" t="s">
        <v>2244</v>
      </c>
      <c r="B26" s="373" t="s">
        <v>2245</v>
      </c>
      <c r="C26" s="373" t="s">
        <v>2246</v>
      </c>
      <c r="D26" s="373" t="s">
        <v>279</v>
      </c>
      <c r="E26" s="373" t="s">
        <v>2247</v>
      </c>
      <c r="F26" s="373" t="s">
        <v>2221</v>
      </c>
      <c r="G26" s="373" t="s">
        <v>2248</v>
      </c>
      <c r="H26" s="373" t="s">
        <v>279</v>
      </c>
      <c r="I26" s="373" t="s">
        <v>55</v>
      </c>
    </row>
    <row r="27" customFormat="false" ht="18" hidden="false" customHeight="true" outlineLevel="0" collapsed="false">
      <c r="A27" s="374" t="s">
        <v>2249</v>
      </c>
      <c r="B27" s="375" t="s">
        <v>2245</v>
      </c>
      <c r="C27" s="375" t="s">
        <v>279</v>
      </c>
      <c r="D27" s="375" t="s">
        <v>279</v>
      </c>
      <c r="E27" s="375" t="s">
        <v>2247</v>
      </c>
      <c r="F27" s="375" t="s">
        <v>2250</v>
      </c>
      <c r="G27" s="375" t="s">
        <v>279</v>
      </c>
      <c r="H27" s="375" t="s">
        <v>279</v>
      </c>
      <c r="I27" s="375" t="s">
        <v>55</v>
      </c>
    </row>
    <row r="28" customFormat="false" ht="18" hidden="false" customHeight="true" outlineLevel="0" collapsed="false">
      <c r="A28" s="372" t="s">
        <v>1907</v>
      </c>
      <c r="B28" s="373" t="s">
        <v>2236</v>
      </c>
      <c r="C28" s="373" t="s">
        <v>279</v>
      </c>
      <c r="D28" s="373" t="s">
        <v>279</v>
      </c>
      <c r="E28" s="373" t="s">
        <v>1829</v>
      </c>
      <c r="F28" s="373" t="s">
        <v>2250</v>
      </c>
      <c r="G28" s="373" t="s">
        <v>279</v>
      </c>
      <c r="H28" s="373" t="s">
        <v>279</v>
      </c>
      <c r="I28" s="373" t="s">
        <v>55</v>
      </c>
    </row>
    <row r="29" customFormat="false" ht="18" hidden="false" customHeight="true" outlineLevel="0" collapsed="false">
      <c r="A29" s="374" t="s">
        <v>2251</v>
      </c>
      <c r="B29" s="375" t="s">
        <v>2252</v>
      </c>
      <c r="C29" s="375" t="s">
        <v>2253</v>
      </c>
      <c r="D29" s="375" t="s">
        <v>2254</v>
      </c>
      <c r="E29" s="375" t="s">
        <v>2255</v>
      </c>
      <c r="F29" s="375" t="s">
        <v>279</v>
      </c>
      <c r="G29" s="375" t="s">
        <v>279</v>
      </c>
      <c r="H29" s="375" t="s">
        <v>279</v>
      </c>
      <c r="I29" s="375" t="s">
        <v>47</v>
      </c>
    </row>
    <row r="30" customFormat="false" ht="18" hidden="false" customHeight="true" outlineLevel="0" collapsed="false">
      <c r="A30" s="372" t="s">
        <v>589</v>
      </c>
      <c r="B30" s="373" t="s">
        <v>2256</v>
      </c>
      <c r="C30" s="373" t="s">
        <v>2257</v>
      </c>
      <c r="D30" s="373" t="s">
        <v>2179</v>
      </c>
      <c r="E30" s="373" t="s">
        <v>2258</v>
      </c>
      <c r="F30" s="373" t="s">
        <v>279</v>
      </c>
      <c r="G30" s="373" t="s">
        <v>279</v>
      </c>
      <c r="H30" s="373" t="s">
        <v>279</v>
      </c>
      <c r="I30" s="373" t="s">
        <v>49</v>
      </c>
    </row>
    <row r="31" customFormat="false" ht="18" hidden="false" customHeight="true" outlineLevel="0" collapsed="false">
      <c r="A31" s="374" t="s">
        <v>2259</v>
      </c>
      <c r="B31" s="375" t="s">
        <v>2260</v>
      </c>
      <c r="C31" s="375" t="s">
        <v>2246</v>
      </c>
      <c r="D31" s="375" t="s">
        <v>2261</v>
      </c>
      <c r="E31" s="375" t="s">
        <v>2262</v>
      </c>
      <c r="F31" s="375" t="s">
        <v>2263</v>
      </c>
      <c r="G31" s="375" t="s">
        <v>279</v>
      </c>
      <c r="H31" s="375" t="s">
        <v>279</v>
      </c>
      <c r="I31" s="375" t="s">
        <v>51</v>
      </c>
    </row>
    <row r="32" customFormat="false" ht="18" hidden="false" customHeight="true" outlineLevel="0" collapsed="false">
      <c r="A32" s="372" t="s">
        <v>2264</v>
      </c>
      <c r="B32" s="373" t="s">
        <v>2265</v>
      </c>
      <c r="C32" s="373" t="s">
        <v>2212</v>
      </c>
      <c r="D32" s="373" t="s">
        <v>279</v>
      </c>
      <c r="E32" s="373" t="s">
        <v>2266</v>
      </c>
      <c r="F32" s="373" t="s">
        <v>2267</v>
      </c>
      <c r="G32" s="373" t="s">
        <v>279</v>
      </c>
      <c r="H32" s="373" t="s">
        <v>279</v>
      </c>
      <c r="I32" s="373" t="s">
        <v>53</v>
      </c>
    </row>
    <row r="33" customFormat="false" ht="18" hidden="false" customHeight="true" outlineLevel="0" collapsed="false">
      <c r="A33" s="374" t="s">
        <v>2268</v>
      </c>
      <c r="B33" s="375" t="s">
        <v>2269</v>
      </c>
      <c r="C33" s="375" t="s">
        <v>2253</v>
      </c>
      <c r="D33" s="375" t="s">
        <v>279</v>
      </c>
      <c r="E33" s="375" t="s">
        <v>2270</v>
      </c>
      <c r="F33" s="375" t="s">
        <v>279</v>
      </c>
      <c r="G33" s="375" t="s">
        <v>2271</v>
      </c>
      <c r="H33" s="375" t="s">
        <v>279</v>
      </c>
      <c r="I33" s="375" t="s">
        <v>31</v>
      </c>
    </row>
    <row r="34" customFormat="false" ht="18" hidden="false" customHeight="true" outlineLevel="0" collapsed="false">
      <c r="A34" s="372" t="s">
        <v>2272</v>
      </c>
      <c r="B34" s="373" t="s">
        <v>2273</v>
      </c>
      <c r="C34" s="373" t="s">
        <v>2253</v>
      </c>
      <c r="D34" s="373" t="s">
        <v>279</v>
      </c>
      <c r="E34" s="373" t="s">
        <v>1840</v>
      </c>
      <c r="F34" s="373" t="s">
        <v>2221</v>
      </c>
      <c r="G34" s="373" t="s">
        <v>279</v>
      </c>
      <c r="H34" s="373" t="s">
        <v>279</v>
      </c>
      <c r="I34" s="373" t="s">
        <v>31</v>
      </c>
    </row>
    <row r="35" customFormat="false" ht="18" hidden="false" customHeight="true" outlineLevel="0" collapsed="false">
      <c r="A35" s="374" t="s">
        <v>2274</v>
      </c>
      <c r="B35" s="375" t="s">
        <v>2275</v>
      </c>
      <c r="C35" s="375" t="s">
        <v>2276</v>
      </c>
      <c r="D35" s="375" t="s">
        <v>279</v>
      </c>
      <c r="E35" s="375" t="s">
        <v>2247</v>
      </c>
      <c r="F35" s="375" t="s">
        <v>2277</v>
      </c>
      <c r="G35" s="375" t="s">
        <v>279</v>
      </c>
      <c r="H35" s="375" t="s">
        <v>279</v>
      </c>
      <c r="I35" s="375" t="s">
        <v>31</v>
      </c>
    </row>
    <row r="36" customFormat="false" ht="18" hidden="false" customHeight="true" outlineLevel="0" collapsed="false">
      <c r="A36" s="372" t="s">
        <v>2278</v>
      </c>
      <c r="B36" s="373" t="s">
        <v>2273</v>
      </c>
      <c r="C36" s="373" t="s">
        <v>2253</v>
      </c>
      <c r="D36" s="373" t="s">
        <v>279</v>
      </c>
      <c r="E36" s="373" t="s">
        <v>1845</v>
      </c>
      <c r="F36" s="373" t="s">
        <v>279</v>
      </c>
      <c r="G36" s="373" t="s">
        <v>279</v>
      </c>
      <c r="H36" s="373" t="s">
        <v>279</v>
      </c>
      <c r="I36" s="373" t="s">
        <v>31</v>
      </c>
    </row>
    <row r="37" customFormat="false" ht="18" hidden="false" customHeight="true" outlineLevel="0" collapsed="false">
      <c r="A37" s="374" t="s">
        <v>2279</v>
      </c>
      <c r="B37" s="375" t="s">
        <v>2280</v>
      </c>
      <c r="C37" s="375" t="s">
        <v>2195</v>
      </c>
      <c r="D37" s="375" t="s">
        <v>2196</v>
      </c>
      <c r="E37" s="375" t="s">
        <v>2281</v>
      </c>
      <c r="F37" s="375" t="s">
        <v>279</v>
      </c>
      <c r="G37" s="375" t="s">
        <v>279</v>
      </c>
      <c r="H37" s="375" t="s">
        <v>2282</v>
      </c>
      <c r="I37" s="375" t="s">
        <v>57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60"/>
    <col collapsed="false" customWidth="true" hidden="false" outlineLevel="0" max="4" min="4" style="1" width="14"/>
    <col collapsed="false" customWidth="true" hidden="false" outlineLevel="0" max="5" min="5" style="1" width="40"/>
  </cols>
  <sheetData>
    <row r="1" customFormat="false" ht="27.75" hidden="false" customHeight="true" outlineLevel="0" collapsed="false">
      <c r="A1" s="24" t="s">
        <v>2283</v>
      </c>
      <c r="B1" s="24"/>
      <c r="C1" s="24"/>
      <c r="D1" s="24"/>
      <c r="E1" s="24"/>
    </row>
    <row r="2" customFormat="false" ht="27.75" hidden="false" customHeight="true" outlineLevel="0" collapsed="false">
      <c r="A2" s="22" t="s">
        <v>2284</v>
      </c>
      <c r="B2" s="22"/>
      <c r="C2" s="22"/>
      <c r="D2" s="22"/>
      <c r="E2" s="22"/>
    </row>
    <row r="3" customFormat="false" ht="25.5" hidden="false" customHeight="true" outlineLevel="0" collapsed="false">
      <c r="A3" s="182" t="s">
        <v>2285</v>
      </c>
      <c r="B3" s="182" t="s">
        <v>2286</v>
      </c>
      <c r="C3" s="182" t="s">
        <v>2287</v>
      </c>
      <c r="D3" s="182" t="s">
        <v>2288</v>
      </c>
      <c r="E3" s="182" t="s">
        <v>2289</v>
      </c>
    </row>
    <row r="4" customFormat="false" ht="25.5" hidden="false" customHeight="true" outlineLevel="0" collapsed="false">
      <c r="A4" s="376" t="s">
        <v>2290</v>
      </c>
      <c r="B4" s="376"/>
      <c r="C4" s="376"/>
      <c r="D4" s="376"/>
      <c r="E4" s="376"/>
    </row>
    <row r="5" customFormat="false" ht="31.5" hidden="false" customHeight="true" outlineLevel="0" collapsed="false">
      <c r="A5" s="377" t="s">
        <v>2291</v>
      </c>
      <c r="B5" s="378" t="s">
        <v>2292</v>
      </c>
      <c r="C5" s="379" t="s">
        <v>2293</v>
      </c>
      <c r="D5" s="380" t="s">
        <v>2294</v>
      </c>
      <c r="E5" s="380"/>
    </row>
    <row r="6" customFormat="false" ht="36" hidden="false" customHeight="true" outlineLevel="0" collapsed="false">
      <c r="A6" s="377" t="s">
        <v>2295</v>
      </c>
      <c r="B6" s="378" t="s">
        <v>2296</v>
      </c>
      <c r="C6" s="379" t="s">
        <v>2297</v>
      </c>
      <c r="D6" s="380" t="s">
        <v>2298</v>
      </c>
      <c r="E6" s="380" t="s">
        <v>2299</v>
      </c>
    </row>
    <row r="7" customFormat="false" ht="27" hidden="false" customHeight="true" outlineLevel="0" collapsed="false">
      <c r="A7" s="377" t="s">
        <v>2300</v>
      </c>
      <c r="B7" s="378" t="s">
        <v>2299</v>
      </c>
      <c r="C7" s="379" t="s">
        <v>2301</v>
      </c>
      <c r="D7" s="380" t="s">
        <v>2302</v>
      </c>
      <c r="E7" s="380"/>
    </row>
    <row r="8" customFormat="false" ht="36" hidden="false" customHeight="true" outlineLevel="0" collapsed="false">
      <c r="A8" s="377" t="s">
        <v>2303</v>
      </c>
      <c r="B8" s="378" t="s">
        <v>2304</v>
      </c>
      <c r="C8" s="379" t="s">
        <v>2305</v>
      </c>
      <c r="D8" s="380" t="s">
        <v>2306</v>
      </c>
      <c r="E8" s="380" t="s">
        <v>2307</v>
      </c>
    </row>
    <row r="9" customFormat="false" ht="24" hidden="false" customHeight="true" outlineLevel="0" collapsed="false">
      <c r="A9" s="377" t="s">
        <v>2308</v>
      </c>
      <c r="B9" s="378" t="s">
        <v>2134</v>
      </c>
      <c r="C9" s="379" t="s">
        <v>2309</v>
      </c>
      <c r="D9" s="380" t="s">
        <v>2310</v>
      </c>
      <c r="E9" s="380" t="s">
        <v>2311</v>
      </c>
    </row>
    <row r="10" customFormat="false" ht="52.5" hidden="false" customHeight="true" outlineLevel="0" collapsed="false">
      <c r="A10" s="377" t="s">
        <v>2312</v>
      </c>
      <c r="B10" s="378" t="s">
        <v>2313</v>
      </c>
      <c r="C10" s="379" t="s">
        <v>2314</v>
      </c>
      <c r="D10" s="380" t="s">
        <v>2315</v>
      </c>
      <c r="E10" s="380" t="s">
        <v>2316</v>
      </c>
    </row>
    <row r="11" customFormat="false" ht="36" hidden="false" customHeight="true" outlineLevel="0" collapsed="false">
      <c r="A11" s="377" t="s">
        <v>2317</v>
      </c>
      <c r="B11" s="378" t="s">
        <v>2318</v>
      </c>
      <c r="C11" s="379" t="s">
        <v>2319</v>
      </c>
      <c r="D11" s="380" t="s">
        <v>2320</v>
      </c>
      <c r="E11" s="380"/>
    </row>
    <row r="12" customFormat="false" ht="42.75" hidden="false" customHeight="true" outlineLevel="0" collapsed="false">
      <c r="A12" s="377" t="s">
        <v>2307</v>
      </c>
      <c r="B12" s="378"/>
      <c r="C12" s="379" t="s">
        <v>2321</v>
      </c>
      <c r="D12" s="380" t="s">
        <v>2322</v>
      </c>
      <c r="E12" s="380"/>
    </row>
    <row r="13" customFormat="false" ht="39.75" hidden="false" customHeight="true" outlineLevel="0" collapsed="false">
      <c r="A13" s="377" t="s">
        <v>2323</v>
      </c>
      <c r="B13" s="378" t="s">
        <v>2174</v>
      </c>
      <c r="C13" s="379" t="s">
        <v>2324</v>
      </c>
      <c r="D13" s="380" t="s">
        <v>2325</v>
      </c>
      <c r="E13" s="380" t="s">
        <v>2282</v>
      </c>
    </row>
    <row r="14" customFormat="false" ht="46.5" hidden="false" customHeight="true" outlineLevel="0" collapsed="false">
      <c r="A14" s="377" t="s">
        <v>2326</v>
      </c>
      <c r="B14" s="378" t="s">
        <v>2282</v>
      </c>
      <c r="C14" s="379" t="s">
        <v>2327</v>
      </c>
      <c r="D14" s="380" t="s">
        <v>2328</v>
      </c>
      <c r="E14" s="380" t="s">
        <v>2329</v>
      </c>
    </row>
    <row r="15" customFormat="false" ht="24" hidden="false" customHeight="true" outlineLevel="0" collapsed="false">
      <c r="A15" s="377" t="s">
        <v>2197</v>
      </c>
      <c r="B15" s="378"/>
      <c r="C15" s="379" t="s">
        <v>2330</v>
      </c>
      <c r="D15" s="380" t="s">
        <v>2331</v>
      </c>
      <c r="E15" s="380"/>
    </row>
    <row r="16" customFormat="false" ht="54" hidden="false" customHeight="true" outlineLevel="0" collapsed="false">
      <c r="A16" s="377" t="s">
        <v>2332</v>
      </c>
      <c r="B16" s="378"/>
      <c r="C16" s="379" t="s">
        <v>2333</v>
      </c>
      <c r="D16" s="380" t="s">
        <v>2334</v>
      </c>
      <c r="E16" s="380" t="s">
        <v>2335</v>
      </c>
    </row>
    <row r="17" customFormat="false" ht="40.5" hidden="false" customHeight="true" outlineLevel="0" collapsed="false">
      <c r="A17" s="377" t="s">
        <v>2335</v>
      </c>
      <c r="B17" s="378" t="s">
        <v>2336</v>
      </c>
      <c r="C17" s="379" t="s">
        <v>2337</v>
      </c>
      <c r="D17" s="380" t="s">
        <v>2338</v>
      </c>
      <c r="E17" s="380"/>
    </row>
    <row r="18" customFormat="false" ht="25.5" hidden="false" customHeight="true" outlineLevel="0" collapsed="false">
      <c r="A18" s="376" t="s">
        <v>2339</v>
      </c>
      <c r="B18" s="376"/>
      <c r="C18" s="376"/>
      <c r="D18" s="376"/>
      <c r="E18" s="376"/>
    </row>
    <row r="19" customFormat="false" ht="51" hidden="false" customHeight="true" outlineLevel="0" collapsed="false">
      <c r="A19" s="377" t="s">
        <v>2340</v>
      </c>
      <c r="B19" s="378"/>
      <c r="C19" s="379" t="s">
        <v>2341</v>
      </c>
      <c r="D19" s="380" t="s">
        <v>2342</v>
      </c>
      <c r="E19" s="380" t="s">
        <v>2343</v>
      </c>
    </row>
    <row r="20" customFormat="false" ht="49.5" hidden="false" customHeight="true" outlineLevel="0" collapsed="false">
      <c r="A20" s="377" t="s">
        <v>2344</v>
      </c>
      <c r="B20" s="378" t="s">
        <v>2345</v>
      </c>
      <c r="C20" s="379" t="s">
        <v>2346</v>
      </c>
      <c r="D20" s="380" t="s">
        <v>2347</v>
      </c>
      <c r="E20" s="380" t="s">
        <v>2340</v>
      </c>
    </row>
    <row r="21" customFormat="false" ht="34.5" hidden="false" customHeight="true" outlineLevel="0" collapsed="false">
      <c r="A21" s="377" t="s">
        <v>2348</v>
      </c>
      <c r="B21" s="378" t="s">
        <v>2349</v>
      </c>
      <c r="C21" s="379" t="s">
        <v>2350</v>
      </c>
      <c r="D21" s="380" t="s">
        <v>2351</v>
      </c>
      <c r="E21" s="380"/>
    </row>
    <row r="22" customFormat="false" ht="36" hidden="false" customHeight="true" outlineLevel="0" collapsed="false">
      <c r="A22" s="377" t="s">
        <v>2352</v>
      </c>
      <c r="B22" s="378" t="s">
        <v>837</v>
      </c>
      <c r="C22" s="379" t="s">
        <v>2353</v>
      </c>
      <c r="D22" s="380" t="s">
        <v>2354</v>
      </c>
      <c r="E22" s="380" t="s">
        <v>2355</v>
      </c>
    </row>
    <row r="23" customFormat="false" ht="37.5" hidden="false" customHeight="true" outlineLevel="0" collapsed="false">
      <c r="A23" s="377" t="s">
        <v>2356</v>
      </c>
      <c r="B23" s="378"/>
      <c r="C23" s="379" t="s">
        <v>2357</v>
      </c>
      <c r="D23" s="380" t="s">
        <v>2358</v>
      </c>
      <c r="E23" s="380"/>
    </row>
    <row r="24" customFormat="false" ht="31.5" hidden="false" customHeight="true" outlineLevel="0" collapsed="false">
      <c r="A24" s="377" t="s">
        <v>2359</v>
      </c>
      <c r="B24" s="378"/>
      <c r="C24" s="379" t="s">
        <v>2360</v>
      </c>
      <c r="D24" s="380" t="s">
        <v>2361</v>
      </c>
      <c r="E24" s="380"/>
    </row>
    <row r="25" customFormat="false" ht="37.5" hidden="false" customHeight="true" outlineLevel="0" collapsed="false">
      <c r="A25" s="377" t="s">
        <v>2362</v>
      </c>
      <c r="B25" s="378"/>
      <c r="C25" s="379" t="s">
        <v>2363</v>
      </c>
      <c r="D25" s="380" t="s">
        <v>2364</v>
      </c>
      <c r="E25" s="380"/>
    </row>
    <row r="26" customFormat="false" ht="30.75" hidden="false" customHeight="true" outlineLevel="0" collapsed="false">
      <c r="A26" s="377" t="s">
        <v>2365</v>
      </c>
      <c r="B26" s="378"/>
      <c r="C26" s="379" t="s">
        <v>2366</v>
      </c>
      <c r="D26" s="380" t="s">
        <v>2344</v>
      </c>
      <c r="E26" s="380"/>
    </row>
    <row r="27" customFormat="false" ht="25.5" hidden="false" customHeight="true" outlineLevel="0" collapsed="false">
      <c r="A27" s="376" t="s">
        <v>2367</v>
      </c>
      <c r="B27" s="376"/>
      <c r="C27" s="376"/>
      <c r="D27" s="376"/>
      <c r="E27" s="376"/>
    </row>
    <row r="28" customFormat="false" ht="24" hidden="false" customHeight="true" outlineLevel="0" collapsed="false">
      <c r="A28" s="377" t="s">
        <v>2368</v>
      </c>
      <c r="B28" s="378" t="s">
        <v>2369</v>
      </c>
      <c r="C28" s="379" t="s">
        <v>2370</v>
      </c>
      <c r="D28" s="380"/>
      <c r="E28" s="380"/>
    </row>
    <row r="29" customFormat="false" ht="36.75" hidden="false" customHeight="true" outlineLevel="0" collapsed="false">
      <c r="A29" s="377" t="s">
        <v>2169</v>
      </c>
      <c r="B29" s="378" t="s">
        <v>2371</v>
      </c>
      <c r="C29" s="379" t="s">
        <v>2372</v>
      </c>
      <c r="D29" s="380" t="s">
        <v>2373</v>
      </c>
      <c r="E29" s="380"/>
    </row>
    <row r="30" customFormat="false" ht="34.5" hidden="false" customHeight="true" outlineLevel="0" collapsed="false">
      <c r="A30" s="377" t="s">
        <v>2170</v>
      </c>
      <c r="B30" s="378" t="s">
        <v>2374</v>
      </c>
      <c r="C30" s="379" t="s">
        <v>2375</v>
      </c>
      <c r="D30" s="380" t="s">
        <v>2376</v>
      </c>
      <c r="E30" s="380" t="s">
        <v>2377</v>
      </c>
    </row>
    <row r="31" customFormat="false" ht="60.75" hidden="false" customHeight="true" outlineLevel="0" collapsed="false">
      <c r="A31" s="377" t="s">
        <v>2377</v>
      </c>
      <c r="B31" s="378" t="s">
        <v>2377</v>
      </c>
      <c r="C31" s="379" t="s">
        <v>2378</v>
      </c>
      <c r="D31" s="380" t="s">
        <v>2379</v>
      </c>
      <c r="E31" s="380" t="s">
        <v>2170</v>
      </c>
    </row>
    <row r="32" customFormat="false" ht="46.5" hidden="false" customHeight="true" outlineLevel="0" collapsed="false">
      <c r="A32" s="377" t="s">
        <v>2380</v>
      </c>
      <c r="B32" s="378" t="s">
        <v>2381</v>
      </c>
      <c r="C32" s="379" t="s">
        <v>2382</v>
      </c>
      <c r="D32" s="380" t="s">
        <v>2383</v>
      </c>
      <c r="E32" s="380"/>
    </row>
    <row r="33" customFormat="false" ht="39" hidden="false" customHeight="true" outlineLevel="0" collapsed="false">
      <c r="A33" s="377" t="s">
        <v>2384</v>
      </c>
      <c r="B33" s="378" t="s">
        <v>2384</v>
      </c>
      <c r="C33" s="379" t="s">
        <v>2385</v>
      </c>
      <c r="D33" s="380" t="s">
        <v>2386</v>
      </c>
      <c r="E33" s="380" t="s">
        <v>2387</v>
      </c>
    </row>
    <row r="34" customFormat="false" ht="40.5" hidden="false" customHeight="true" outlineLevel="0" collapsed="false">
      <c r="A34" s="377" t="s">
        <v>2388</v>
      </c>
      <c r="B34" s="378" t="s">
        <v>2388</v>
      </c>
      <c r="C34" s="379" t="s">
        <v>2389</v>
      </c>
      <c r="D34" s="380" t="s">
        <v>2390</v>
      </c>
      <c r="E34" s="380" t="s">
        <v>2384</v>
      </c>
    </row>
    <row r="35" customFormat="false" ht="24" hidden="false" customHeight="true" outlineLevel="0" collapsed="false">
      <c r="A35" s="377" t="s">
        <v>2391</v>
      </c>
      <c r="B35" s="378"/>
      <c r="C35" s="379" t="s">
        <v>2392</v>
      </c>
      <c r="D35" s="380" t="s">
        <v>2169</v>
      </c>
      <c r="E35" s="380"/>
    </row>
    <row r="36" customFormat="false" ht="33" hidden="false" customHeight="true" outlineLevel="0" collapsed="false">
      <c r="A36" s="377" t="s">
        <v>2393</v>
      </c>
      <c r="B36" s="378"/>
      <c r="C36" s="379" t="s">
        <v>2394</v>
      </c>
      <c r="D36" s="380" t="s">
        <v>2395</v>
      </c>
      <c r="E36" s="380"/>
    </row>
    <row r="37" customFormat="false" ht="42" hidden="false" customHeight="true" outlineLevel="0" collapsed="false">
      <c r="A37" s="377" t="s">
        <v>2396</v>
      </c>
      <c r="B37" s="378"/>
      <c r="C37" s="379" t="s">
        <v>2397</v>
      </c>
      <c r="D37" s="380" t="s">
        <v>2398</v>
      </c>
      <c r="E37" s="380"/>
    </row>
    <row r="38" customFormat="false" ht="34.5" hidden="false" customHeight="true" outlineLevel="0" collapsed="false">
      <c r="A38" s="377" t="s">
        <v>2399</v>
      </c>
      <c r="B38" s="378"/>
      <c r="C38" s="379" t="s">
        <v>2400</v>
      </c>
      <c r="D38" s="380" t="s">
        <v>2401</v>
      </c>
      <c r="E38" s="380"/>
    </row>
    <row r="39" customFormat="false" ht="25.5" hidden="false" customHeight="true" outlineLevel="0" collapsed="false">
      <c r="A39" s="376" t="s">
        <v>2402</v>
      </c>
      <c r="B39" s="376"/>
      <c r="C39" s="376"/>
      <c r="D39" s="376"/>
      <c r="E39" s="376"/>
    </row>
    <row r="40" customFormat="false" ht="42" hidden="false" customHeight="true" outlineLevel="0" collapsed="false">
      <c r="A40" s="377" t="s">
        <v>2403</v>
      </c>
      <c r="B40" s="378" t="s">
        <v>2171</v>
      </c>
      <c r="C40" s="379" t="s">
        <v>2404</v>
      </c>
      <c r="D40" s="380" t="s">
        <v>2405</v>
      </c>
      <c r="E40" s="380" t="s">
        <v>2406</v>
      </c>
    </row>
    <row r="41" customFormat="false" ht="40.5" hidden="false" customHeight="true" outlineLevel="0" collapsed="false">
      <c r="A41" s="377" t="s">
        <v>2406</v>
      </c>
      <c r="B41" s="378"/>
      <c r="C41" s="379" t="s">
        <v>2407</v>
      </c>
      <c r="D41" s="380" t="s">
        <v>2403</v>
      </c>
      <c r="E41" s="380"/>
    </row>
    <row r="42" customFormat="false" ht="61.5" hidden="false" customHeight="true" outlineLevel="0" collapsed="false">
      <c r="A42" s="377" t="s">
        <v>2408</v>
      </c>
      <c r="B42" s="378" t="s">
        <v>2409</v>
      </c>
      <c r="C42" s="379" t="s">
        <v>2410</v>
      </c>
      <c r="D42" s="380" t="s">
        <v>2411</v>
      </c>
      <c r="E42" s="380" t="s">
        <v>2412</v>
      </c>
    </row>
    <row r="43" customFormat="false" ht="45.75" hidden="false" customHeight="true" outlineLevel="0" collapsed="false">
      <c r="A43" s="377" t="s">
        <v>2272</v>
      </c>
      <c r="B43" s="378" t="s">
        <v>2412</v>
      </c>
      <c r="C43" s="379" t="s">
        <v>2413</v>
      </c>
      <c r="D43" s="380" t="s">
        <v>2414</v>
      </c>
      <c r="E43" s="380" t="s">
        <v>2409</v>
      </c>
    </row>
    <row r="44" customFormat="false" ht="27" hidden="false" customHeight="true" outlineLevel="0" collapsed="false">
      <c r="A44" s="377" t="s">
        <v>2415</v>
      </c>
      <c r="B44" s="378" t="s">
        <v>2262</v>
      </c>
      <c r="C44" s="379" t="s">
        <v>2416</v>
      </c>
      <c r="D44" s="380" t="s">
        <v>2417</v>
      </c>
      <c r="E44" s="380"/>
    </row>
    <row r="45" customFormat="false" ht="27" hidden="false" customHeight="true" outlineLevel="0" collapsed="false">
      <c r="A45" s="377" t="s">
        <v>2418</v>
      </c>
      <c r="B45" s="378" t="s">
        <v>2419</v>
      </c>
      <c r="C45" s="379" t="s">
        <v>2420</v>
      </c>
      <c r="D45" s="380" t="s">
        <v>2421</v>
      </c>
      <c r="E45" s="380"/>
    </row>
    <row r="46" customFormat="false" ht="37.5" hidden="false" customHeight="true" outlineLevel="0" collapsed="false">
      <c r="A46" s="377" t="s">
        <v>2422</v>
      </c>
      <c r="B46" s="378"/>
      <c r="C46" s="379" t="s">
        <v>2423</v>
      </c>
      <c r="D46" s="380" t="s">
        <v>2424</v>
      </c>
      <c r="E46" s="380"/>
    </row>
    <row r="47" customFormat="false" ht="25.5" hidden="false" customHeight="true" outlineLevel="0" collapsed="false">
      <c r="A47" s="376" t="s">
        <v>2425</v>
      </c>
      <c r="B47" s="376"/>
      <c r="C47" s="376"/>
      <c r="D47" s="376"/>
      <c r="E47" s="376"/>
    </row>
    <row r="48" customFormat="false" ht="36.75" hidden="false" customHeight="true" outlineLevel="0" collapsed="false">
      <c r="A48" s="377" t="s">
        <v>2426</v>
      </c>
      <c r="B48" s="378" t="s">
        <v>2173</v>
      </c>
      <c r="C48" s="379" t="s">
        <v>2427</v>
      </c>
      <c r="D48" s="380" t="s">
        <v>2428</v>
      </c>
      <c r="E48" s="380"/>
    </row>
    <row r="49" customFormat="false" ht="36.75" hidden="false" customHeight="true" outlineLevel="0" collapsed="false">
      <c r="A49" s="377" t="s">
        <v>402</v>
      </c>
      <c r="B49" s="378"/>
      <c r="C49" s="379" t="s">
        <v>2429</v>
      </c>
      <c r="D49" s="380" t="s">
        <v>2430</v>
      </c>
      <c r="E49" s="380"/>
    </row>
    <row r="50" customFormat="false" ht="24" hidden="false" customHeight="true" outlineLevel="0" collapsed="false">
      <c r="A50" s="377" t="s">
        <v>278</v>
      </c>
      <c r="B50" s="378" t="s">
        <v>280</v>
      </c>
      <c r="C50" s="379" t="s">
        <v>2431</v>
      </c>
      <c r="D50" s="380" t="s">
        <v>281</v>
      </c>
      <c r="E50" s="380"/>
    </row>
    <row r="51" customFormat="false" ht="30" hidden="false" customHeight="true" outlineLevel="0" collapsed="false">
      <c r="A51" s="377" t="s">
        <v>283</v>
      </c>
      <c r="B51" s="378" t="s">
        <v>2271</v>
      </c>
      <c r="C51" s="379" t="s">
        <v>2432</v>
      </c>
      <c r="D51" s="380" t="s">
        <v>286</v>
      </c>
      <c r="E51" s="380"/>
    </row>
    <row r="52" customFormat="false" ht="24.75" hidden="false" customHeight="true" outlineLevel="0" collapsed="false">
      <c r="A52" s="377" t="s">
        <v>288</v>
      </c>
      <c r="B52" s="378" t="s">
        <v>2229</v>
      </c>
      <c r="C52" s="379" t="s">
        <v>2433</v>
      </c>
      <c r="D52" s="380" t="s">
        <v>291</v>
      </c>
      <c r="E52" s="380" t="s">
        <v>2434</v>
      </c>
    </row>
    <row r="53" customFormat="false" ht="31.5" hidden="false" customHeight="true" outlineLevel="0" collapsed="false">
      <c r="A53" s="377" t="s">
        <v>292</v>
      </c>
      <c r="B53" s="378" t="s">
        <v>2248</v>
      </c>
      <c r="C53" s="379" t="s">
        <v>2435</v>
      </c>
      <c r="D53" s="380" t="s">
        <v>295</v>
      </c>
      <c r="E53" s="380" t="s">
        <v>2436</v>
      </c>
    </row>
    <row r="54" customFormat="false" ht="27.75" hidden="false" customHeight="true" outlineLevel="0" collapsed="false">
      <c r="A54" s="377" t="s">
        <v>297</v>
      </c>
      <c r="B54" s="378" t="s">
        <v>2437</v>
      </c>
      <c r="C54" s="379" t="s">
        <v>2438</v>
      </c>
      <c r="D54" s="380" t="s">
        <v>300</v>
      </c>
      <c r="E54" s="380" t="s">
        <v>2439</v>
      </c>
    </row>
    <row r="55" customFormat="false" ht="46.5" hidden="false" customHeight="true" outlineLevel="0" collapsed="false">
      <c r="A55" s="377" t="s">
        <v>2440</v>
      </c>
      <c r="B55" s="378" t="s">
        <v>2441</v>
      </c>
      <c r="C55" s="379" t="s">
        <v>2442</v>
      </c>
      <c r="D55" s="380" t="s">
        <v>2443</v>
      </c>
      <c r="E55" s="380" t="s">
        <v>2444</v>
      </c>
    </row>
    <row r="56" customFormat="false" ht="31.5" hidden="false" customHeight="true" outlineLevel="0" collapsed="false">
      <c r="A56" s="377" t="s">
        <v>2445</v>
      </c>
      <c r="B56" s="378"/>
      <c r="C56" s="379" t="s">
        <v>2446</v>
      </c>
      <c r="D56" s="380" t="s">
        <v>2447</v>
      </c>
      <c r="E56" s="380"/>
    </row>
    <row r="57" customFormat="false" ht="30.75" hidden="false" customHeight="true" outlineLevel="0" collapsed="false">
      <c r="A57" s="377" t="s">
        <v>2448</v>
      </c>
      <c r="B57" s="378" t="s">
        <v>2449</v>
      </c>
      <c r="C57" s="379" t="s">
        <v>2450</v>
      </c>
      <c r="D57" s="380" t="s">
        <v>2451</v>
      </c>
      <c r="E57" s="380"/>
    </row>
    <row r="58" customFormat="false" ht="24" hidden="false" customHeight="true" outlineLevel="0" collapsed="false">
      <c r="A58" s="377" t="s">
        <v>2452</v>
      </c>
      <c r="B58" s="378" t="s">
        <v>2453</v>
      </c>
      <c r="C58" s="379" t="s">
        <v>2454</v>
      </c>
      <c r="D58" s="380" t="s">
        <v>2451</v>
      </c>
      <c r="E58" s="380"/>
    </row>
    <row r="59" customFormat="false" ht="27" hidden="false" customHeight="true" outlineLevel="0" collapsed="false">
      <c r="A59" s="377" t="s">
        <v>2455</v>
      </c>
      <c r="B59" s="378" t="s">
        <v>2456</v>
      </c>
      <c r="C59" s="379" t="s">
        <v>2457</v>
      </c>
      <c r="D59" s="380" t="s">
        <v>2458</v>
      </c>
      <c r="E59" s="380"/>
    </row>
    <row r="60" customFormat="false" ht="27" hidden="false" customHeight="true" outlineLevel="0" collapsed="false">
      <c r="A60" s="377" t="s">
        <v>2436</v>
      </c>
      <c r="B60" s="378" t="s">
        <v>2459</v>
      </c>
      <c r="C60" s="379" t="s">
        <v>2460</v>
      </c>
      <c r="D60" s="380" t="s">
        <v>295</v>
      </c>
      <c r="E60" s="380"/>
    </row>
    <row r="61" customFormat="false" ht="25.5" hidden="false" customHeight="true" outlineLevel="0" collapsed="false">
      <c r="A61" s="376" t="s">
        <v>2461</v>
      </c>
      <c r="B61" s="376"/>
      <c r="C61" s="376"/>
      <c r="D61" s="376"/>
      <c r="E61" s="376"/>
    </row>
    <row r="62" customFormat="false" ht="40.5" hidden="false" customHeight="true" outlineLevel="0" collapsed="false">
      <c r="A62" s="377" t="s">
        <v>2462</v>
      </c>
      <c r="B62" s="378" t="s">
        <v>2463</v>
      </c>
      <c r="C62" s="379" t="s">
        <v>2464</v>
      </c>
      <c r="D62" s="380" t="s">
        <v>2465</v>
      </c>
      <c r="E62" s="380"/>
    </row>
    <row r="63" customFormat="false" ht="54.75" hidden="false" customHeight="true" outlineLevel="0" collapsed="false">
      <c r="A63" s="377" t="s">
        <v>2466</v>
      </c>
      <c r="B63" s="378" t="s">
        <v>2467</v>
      </c>
      <c r="C63" s="379" t="s">
        <v>2468</v>
      </c>
      <c r="D63" s="380" t="s">
        <v>2469</v>
      </c>
      <c r="E63" s="380"/>
    </row>
    <row r="64" customFormat="false" ht="51.75" hidden="false" customHeight="true" outlineLevel="0" collapsed="false">
      <c r="A64" s="377" t="s">
        <v>2470</v>
      </c>
      <c r="B64" s="378" t="s">
        <v>2471</v>
      </c>
      <c r="C64" s="379" t="s">
        <v>2472</v>
      </c>
      <c r="D64" s="380" t="s">
        <v>2473</v>
      </c>
      <c r="E64" s="380"/>
    </row>
    <row r="65" customFormat="false" ht="24" hidden="false" customHeight="true" outlineLevel="0" collapsed="false">
      <c r="A65" s="377" t="s">
        <v>2474</v>
      </c>
      <c r="B65" s="378" t="s">
        <v>2475</v>
      </c>
      <c r="C65" s="379" t="s">
        <v>2476</v>
      </c>
      <c r="D65" s="380" t="s">
        <v>2477</v>
      </c>
      <c r="E65" s="380"/>
    </row>
    <row r="66" customFormat="false" ht="27.75" hidden="false" customHeight="true" outlineLevel="0" collapsed="false">
      <c r="A66" s="377" t="s">
        <v>2478</v>
      </c>
      <c r="B66" s="378" t="s">
        <v>1045</v>
      </c>
      <c r="C66" s="379" t="s">
        <v>2479</v>
      </c>
      <c r="D66" s="380" t="s">
        <v>2480</v>
      </c>
      <c r="E66" s="380" t="s">
        <v>2481</v>
      </c>
    </row>
    <row r="67" customFormat="false" ht="24.75" hidden="false" customHeight="true" outlineLevel="0" collapsed="false">
      <c r="A67" s="377" t="s">
        <v>2482</v>
      </c>
      <c r="B67" s="378" t="s">
        <v>2483</v>
      </c>
      <c r="C67" s="379" t="s">
        <v>2484</v>
      </c>
      <c r="D67" s="380" t="s">
        <v>2485</v>
      </c>
      <c r="E67" s="380" t="s">
        <v>1045</v>
      </c>
    </row>
    <row r="68" customFormat="false" ht="33.75" hidden="false" customHeight="true" outlineLevel="0" collapsed="false">
      <c r="A68" s="377" t="s">
        <v>2486</v>
      </c>
      <c r="B68" s="378" t="s">
        <v>1039</v>
      </c>
      <c r="C68" s="379" t="s">
        <v>2487</v>
      </c>
      <c r="D68" s="380" t="s">
        <v>2488</v>
      </c>
      <c r="E68" s="380"/>
    </row>
    <row r="69" customFormat="false" ht="39.75" hidden="false" customHeight="true" outlineLevel="0" collapsed="false">
      <c r="A69" s="377" t="s">
        <v>2489</v>
      </c>
      <c r="B69" s="378" t="s">
        <v>2490</v>
      </c>
      <c r="C69" s="379" t="s">
        <v>2491</v>
      </c>
      <c r="D69" s="380" t="s">
        <v>2492</v>
      </c>
      <c r="E69" s="380"/>
    </row>
    <row r="70" customFormat="false" ht="48" hidden="false" customHeight="true" outlineLevel="0" collapsed="false">
      <c r="A70" s="377" t="s">
        <v>1034</v>
      </c>
      <c r="B70" s="378" t="s">
        <v>2493</v>
      </c>
      <c r="C70" s="379" t="s">
        <v>2494</v>
      </c>
      <c r="D70" s="380" t="s">
        <v>2495</v>
      </c>
      <c r="E70" s="380"/>
    </row>
    <row r="71" customFormat="false" ht="24" hidden="false" customHeight="true" outlineLevel="0" collapsed="false">
      <c r="A71" s="377" t="s">
        <v>2496</v>
      </c>
      <c r="B71" s="378"/>
      <c r="C71" s="379" t="s">
        <v>2497</v>
      </c>
      <c r="D71" s="380" t="s">
        <v>1346</v>
      </c>
      <c r="E71" s="380"/>
    </row>
    <row r="72" customFormat="false" ht="31.5" hidden="false" customHeight="true" outlineLevel="0" collapsed="false">
      <c r="A72" s="377" t="s">
        <v>2498</v>
      </c>
      <c r="B72" s="378"/>
      <c r="C72" s="379" t="s">
        <v>2499</v>
      </c>
      <c r="D72" s="380" t="s">
        <v>2500</v>
      </c>
      <c r="E72" s="380"/>
    </row>
    <row r="73" customFormat="false" ht="25.5" hidden="false" customHeight="true" outlineLevel="0" collapsed="false">
      <c r="A73" s="376" t="s">
        <v>2501</v>
      </c>
      <c r="B73" s="376"/>
      <c r="C73" s="376"/>
      <c r="D73" s="376"/>
      <c r="E73" s="376"/>
    </row>
    <row r="74" customFormat="false" ht="24" hidden="false" customHeight="true" outlineLevel="0" collapsed="false">
      <c r="A74" s="377" t="s">
        <v>2502</v>
      </c>
      <c r="B74" s="378" t="s">
        <v>2503</v>
      </c>
      <c r="C74" s="379" t="s">
        <v>2504</v>
      </c>
      <c r="D74" s="380" t="s">
        <v>2505</v>
      </c>
      <c r="E74" s="380"/>
    </row>
    <row r="75" customFormat="false" ht="34.5" hidden="false" customHeight="true" outlineLevel="0" collapsed="false">
      <c r="A75" s="377" t="s">
        <v>2506</v>
      </c>
      <c r="B75" s="378" t="s">
        <v>2507</v>
      </c>
      <c r="C75" s="379" t="s">
        <v>2508</v>
      </c>
      <c r="D75" s="380" t="s">
        <v>2509</v>
      </c>
      <c r="E75" s="380"/>
    </row>
    <row r="76" customFormat="false" ht="28.5" hidden="false" customHeight="true" outlineLevel="0" collapsed="false">
      <c r="A76" s="377" t="s">
        <v>2510</v>
      </c>
      <c r="B76" s="378" t="s">
        <v>2511</v>
      </c>
      <c r="C76" s="379" t="s">
        <v>2512</v>
      </c>
      <c r="D76" s="380" t="s">
        <v>2231</v>
      </c>
      <c r="E76" s="380" t="s">
        <v>2513</v>
      </c>
    </row>
    <row r="77" customFormat="false" ht="24" hidden="false" customHeight="true" outlineLevel="0" collapsed="false">
      <c r="A77" s="377" t="s">
        <v>2514</v>
      </c>
      <c r="B77" s="378" t="s">
        <v>2515</v>
      </c>
      <c r="C77" s="379" t="s">
        <v>2516</v>
      </c>
      <c r="D77" s="380" t="s">
        <v>2231</v>
      </c>
      <c r="E77" s="380"/>
    </row>
    <row r="78" customFormat="false" ht="24.75" hidden="false" customHeight="true" outlineLevel="0" collapsed="false">
      <c r="A78" s="377" t="s">
        <v>2517</v>
      </c>
      <c r="B78" s="378" t="s">
        <v>2518</v>
      </c>
      <c r="C78" s="379" t="s">
        <v>2519</v>
      </c>
      <c r="D78" s="380" t="s">
        <v>2231</v>
      </c>
      <c r="E78" s="380"/>
    </row>
    <row r="79" customFormat="false" ht="30.75" hidden="false" customHeight="true" outlineLevel="0" collapsed="false">
      <c r="A79" s="377" t="s">
        <v>2520</v>
      </c>
      <c r="B79" s="378"/>
      <c r="C79" s="379" t="s">
        <v>2521</v>
      </c>
      <c r="D79" s="380" t="s">
        <v>2522</v>
      </c>
      <c r="E79" s="380"/>
    </row>
    <row r="80" customFormat="false" ht="25.5" hidden="false" customHeight="true" outlineLevel="0" collapsed="false">
      <c r="A80" s="376" t="s">
        <v>2523</v>
      </c>
      <c r="B80" s="376"/>
      <c r="C80" s="376"/>
      <c r="D80" s="376"/>
      <c r="E80" s="376"/>
    </row>
    <row r="81" customFormat="false" ht="48.75" hidden="false" customHeight="true" outlineLevel="0" collapsed="false">
      <c r="A81" s="377" t="s">
        <v>1290</v>
      </c>
      <c r="B81" s="378"/>
      <c r="C81" s="379" t="s">
        <v>2524</v>
      </c>
      <c r="D81" s="380" t="s">
        <v>2525</v>
      </c>
      <c r="E81" s="380" t="s">
        <v>2526</v>
      </c>
    </row>
    <row r="82" customFormat="false" ht="42.75" hidden="false" customHeight="true" outlineLevel="0" collapsed="false">
      <c r="A82" s="377" t="s">
        <v>2527</v>
      </c>
      <c r="B82" s="378"/>
      <c r="C82" s="379" t="s">
        <v>2528</v>
      </c>
      <c r="D82" s="380" t="s">
        <v>2529</v>
      </c>
      <c r="E82" s="380"/>
    </row>
    <row r="83" customFormat="false" ht="36.75" hidden="false" customHeight="true" outlineLevel="0" collapsed="false">
      <c r="A83" s="377" t="s">
        <v>2530</v>
      </c>
      <c r="B83" s="378"/>
      <c r="C83" s="379" t="s">
        <v>2531</v>
      </c>
      <c r="D83" s="380" t="s">
        <v>2532</v>
      </c>
      <c r="E83" s="380"/>
    </row>
    <row r="84" customFormat="false" ht="33.75" hidden="false" customHeight="true" outlineLevel="0" collapsed="false">
      <c r="A84" s="377" t="s">
        <v>2533</v>
      </c>
      <c r="B84" s="378"/>
      <c r="C84" s="379" t="s">
        <v>2534</v>
      </c>
      <c r="D84" s="380" t="s">
        <v>2535</v>
      </c>
      <c r="E84" s="380"/>
    </row>
    <row r="85" customFormat="false" ht="24" hidden="false" customHeight="true" outlineLevel="0" collapsed="false">
      <c r="A85" s="377" t="s">
        <v>2536</v>
      </c>
      <c r="B85" s="378" t="s">
        <v>2537</v>
      </c>
      <c r="C85" s="379" t="s">
        <v>2538</v>
      </c>
      <c r="D85" s="380" t="s">
        <v>2539</v>
      </c>
      <c r="E85" s="380"/>
    </row>
    <row r="86" customFormat="false" ht="37.5" hidden="false" customHeight="true" outlineLevel="0" collapsed="false">
      <c r="A86" s="377" t="s">
        <v>2540</v>
      </c>
      <c r="B86" s="378"/>
      <c r="C86" s="379" t="s">
        <v>2541</v>
      </c>
      <c r="D86" s="380" t="s">
        <v>2542</v>
      </c>
      <c r="E86" s="380"/>
    </row>
    <row r="87" customFormat="false" ht="25.5" hidden="false" customHeight="true" outlineLevel="0" collapsed="false">
      <c r="A87" s="376" t="s">
        <v>2543</v>
      </c>
      <c r="B87" s="376"/>
      <c r="C87" s="376"/>
      <c r="D87" s="376"/>
      <c r="E87" s="376"/>
    </row>
    <row r="88" customFormat="false" ht="28.5" hidden="false" customHeight="true" outlineLevel="0" collapsed="false">
      <c r="A88" s="377" t="s">
        <v>2544</v>
      </c>
      <c r="B88" s="378"/>
      <c r="C88" s="379" t="s">
        <v>2545</v>
      </c>
      <c r="D88" s="380" t="s">
        <v>2546</v>
      </c>
      <c r="E88" s="380"/>
    </row>
    <row r="89" customFormat="false" ht="30.75" hidden="false" customHeight="true" outlineLevel="0" collapsed="false">
      <c r="A89" s="377" t="s">
        <v>2547</v>
      </c>
      <c r="B89" s="378" t="s">
        <v>2548</v>
      </c>
      <c r="C89" s="379" t="s">
        <v>2549</v>
      </c>
      <c r="D89" s="380" t="s">
        <v>2550</v>
      </c>
      <c r="E89" s="380"/>
    </row>
    <row r="90" customFormat="false" ht="33" hidden="false" customHeight="true" outlineLevel="0" collapsed="false">
      <c r="A90" s="377" t="s">
        <v>2551</v>
      </c>
      <c r="B90" s="378"/>
      <c r="C90" s="379" t="s">
        <v>2552</v>
      </c>
      <c r="D90" s="380" t="s">
        <v>2553</v>
      </c>
      <c r="E90" s="380"/>
    </row>
    <row r="91" customFormat="false" ht="30" hidden="false" customHeight="true" outlineLevel="0" collapsed="false">
      <c r="A91" s="377" t="s">
        <v>2554</v>
      </c>
      <c r="B91" s="378"/>
      <c r="C91" s="379" t="s">
        <v>2555</v>
      </c>
      <c r="D91" s="380" t="s">
        <v>2556</v>
      </c>
      <c r="E91" s="380"/>
    </row>
    <row r="92" customFormat="false" ht="25.5" hidden="false" customHeight="true" outlineLevel="0" collapsed="false">
      <c r="A92" s="376" t="s">
        <v>2557</v>
      </c>
      <c r="B92" s="376"/>
      <c r="C92" s="376"/>
      <c r="D92" s="376"/>
      <c r="E92" s="376"/>
    </row>
    <row r="93" customFormat="false" ht="37.5" hidden="false" customHeight="true" outlineLevel="0" collapsed="false">
      <c r="A93" s="377" t="s">
        <v>2558</v>
      </c>
      <c r="B93" s="378"/>
      <c r="C93" s="379" t="s">
        <v>2559</v>
      </c>
      <c r="D93" s="380" t="s">
        <v>2560</v>
      </c>
      <c r="E93" s="380" t="s">
        <v>2561</v>
      </c>
    </row>
    <row r="94" customFormat="false" ht="43.5" hidden="false" customHeight="true" outlineLevel="0" collapsed="false">
      <c r="A94" s="377" t="s">
        <v>2562</v>
      </c>
      <c r="B94" s="378"/>
      <c r="C94" s="379" t="s">
        <v>2563</v>
      </c>
      <c r="D94" s="380" t="s">
        <v>2564</v>
      </c>
      <c r="E94" s="380"/>
    </row>
    <row r="95" customFormat="false" ht="33.75" hidden="false" customHeight="true" outlineLevel="0" collapsed="false">
      <c r="A95" s="377" t="s">
        <v>2565</v>
      </c>
      <c r="B95" s="378" t="s">
        <v>2561</v>
      </c>
      <c r="C95" s="379" t="s">
        <v>2566</v>
      </c>
      <c r="D95" s="380" t="s">
        <v>2567</v>
      </c>
      <c r="E95" s="380"/>
    </row>
    <row r="96" customFormat="false" ht="24" hidden="false" customHeight="true" outlineLevel="0" collapsed="false">
      <c r="A96" s="377" t="s">
        <v>2568</v>
      </c>
      <c r="B96" s="378"/>
      <c r="C96" s="379" t="s">
        <v>2569</v>
      </c>
      <c r="D96" s="380" t="s">
        <v>2570</v>
      </c>
      <c r="E96" s="380"/>
    </row>
    <row r="97" customFormat="false" ht="25.5" hidden="false" customHeight="true" outlineLevel="0" collapsed="false">
      <c r="A97" s="376" t="s">
        <v>2571</v>
      </c>
      <c r="B97" s="376"/>
      <c r="C97" s="376"/>
      <c r="D97" s="376"/>
      <c r="E97" s="376"/>
    </row>
    <row r="98" customFormat="false" ht="24" hidden="false" customHeight="true" outlineLevel="0" collapsed="false">
      <c r="A98" s="377" t="s">
        <v>2572</v>
      </c>
      <c r="B98" s="378" t="s">
        <v>2573</v>
      </c>
      <c r="C98" s="379" t="s">
        <v>2574</v>
      </c>
      <c r="D98" s="380"/>
      <c r="E98" s="380"/>
    </row>
    <row r="99" customFormat="false" ht="30" hidden="false" customHeight="true" outlineLevel="0" collapsed="false">
      <c r="A99" s="377" t="s">
        <v>2575</v>
      </c>
      <c r="B99" s="378"/>
      <c r="C99" s="379" t="s">
        <v>2576</v>
      </c>
      <c r="D99" s="380" t="s">
        <v>2577</v>
      </c>
      <c r="E99" s="380"/>
    </row>
    <row r="100" customFormat="false" ht="39" hidden="false" customHeight="true" outlineLevel="0" collapsed="false">
      <c r="A100" s="377" t="s">
        <v>2578</v>
      </c>
      <c r="B100" s="378"/>
      <c r="C100" s="379" t="s">
        <v>2579</v>
      </c>
      <c r="D100" s="380" t="s">
        <v>2580</v>
      </c>
      <c r="E100" s="380"/>
    </row>
    <row r="101" customFormat="false" ht="33" hidden="false" customHeight="true" outlineLevel="0" collapsed="false">
      <c r="A101" s="377" t="s">
        <v>2581</v>
      </c>
      <c r="B101" s="378"/>
      <c r="C101" s="379" t="s">
        <v>2582</v>
      </c>
      <c r="D101" s="380" t="s">
        <v>2581</v>
      </c>
      <c r="E101" s="380"/>
    </row>
  </sheetData>
  <mergeCells count="13">
    <mergeCell ref="A1:E1"/>
    <mergeCell ref="A2:E2"/>
    <mergeCell ref="A4:E4"/>
    <mergeCell ref="A18:E18"/>
    <mergeCell ref="A27:E27"/>
    <mergeCell ref="A39:E39"/>
    <mergeCell ref="A47:E47"/>
    <mergeCell ref="A61:E61"/>
    <mergeCell ref="A73:E73"/>
    <mergeCell ref="A80:E80"/>
    <mergeCell ref="A87:E87"/>
    <mergeCell ref="A92:E92"/>
    <mergeCell ref="A97:E9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0000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3" min="2" style="1" width="12"/>
    <col collapsed="false" customWidth="true" hidden="false" outlineLevel="0" max="5" min="4" style="1" width="16"/>
  </cols>
  <sheetData>
    <row r="1" customFormat="false" ht="21.75" hidden="false" customHeight="true" outlineLevel="0" collapsed="false">
      <c r="A1" s="292" t="s">
        <v>2583</v>
      </c>
      <c r="B1" s="292"/>
      <c r="C1" s="292"/>
      <c r="D1" s="292"/>
      <c r="E1" s="292"/>
    </row>
    <row r="3" customFormat="false" ht="13.5" hidden="false" customHeight="true" outlineLevel="0" collapsed="false">
      <c r="A3" s="381" t="s">
        <v>2584</v>
      </c>
      <c r="B3" s="381"/>
      <c r="C3" s="381"/>
      <c r="D3" s="381"/>
      <c r="E3" s="381"/>
    </row>
    <row r="4" customFormat="false" ht="13.5" hidden="false" customHeight="true" outlineLevel="0" collapsed="false">
      <c r="A4" s="382" t="s">
        <v>2585</v>
      </c>
      <c r="B4" s="382" t="s">
        <v>2586</v>
      </c>
      <c r="C4" s="382" t="s">
        <v>2587</v>
      </c>
      <c r="D4" s="382" t="s">
        <v>2588</v>
      </c>
      <c r="E4" s="382" t="s">
        <v>1392</v>
      </c>
    </row>
    <row r="5" customFormat="false" ht="18" hidden="false" customHeight="true" outlineLevel="0" collapsed="false">
      <c r="A5" s="383" t="s">
        <v>2589</v>
      </c>
      <c r="B5" s="212" t="s">
        <v>1502</v>
      </c>
      <c r="C5" s="168" t="n">
        <f aca="false">COUNTIF(E_Data!C14:K14,"&gt;0")</f>
        <v>9</v>
      </c>
      <c r="D5" s="227" t="str">
        <f aca="false">IF(C5=B5,"✓ PASS","✗ FAIL — check data")</f>
        <v>✗ FAIL — check data</v>
      </c>
      <c r="E5" s="93" t="s">
        <v>2590</v>
      </c>
    </row>
    <row r="6" customFormat="false" ht="18" hidden="false" customHeight="true" outlineLevel="0" collapsed="false">
      <c r="A6" s="383" t="s">
        <v>2591</v>
      </c>
      <c r="B6" s="212" t="s">
        <v>1502</v>
      </c>
      <c r="C6" s="168" t="n">
        <f aca="false">COUNTIF(E_Data!C44:K44,"&gt;0")</f>
        <v>9</v>
      </c>
      <c r="D6" s="227" t="str">
        <f aca="false">IF(C6=B6,"✓ PASS","✗ FAIL — check data")</f>
        <v>✗ FAIL — check data</v>
      </c>
      <c r="E6" s="93" t="s">
        <v>2590</v>
      </c>
    </row>
    <row r="7" customFormat="false" ht="18" hidden="false" customHeight="true" outlineLevel="0" collapsed="false">
      <c r="A7" s="383" t="s">
        <v>2592</v>
      </c>
      <c r="B7" s="212" t="s">
        <v>1502</v>
      </c>
      <c r="C7" s="168" t="n">
        <f aca="false">COUNTIF(E_Data!C61:K61,"&gt;0")</f>
        <v>9</v>
      </c>
      <c r="D7" s="227" t="str">
        <f aca="false">IF(C7=B7,"✓ PASS","✗ FAIL — check data")</f>
        <v>✗ FAIL — check data</v>
      </c>
      <c r="E7" s="93" t="s">
        <v>2590</v>
      </c>
    </row>
    <row r="8" customFormat="false" ht="18" hidden="false" customHeight="true" outlineLevel="0" collapsed="false">
      <c r="A8" s="383" t="s">
        <v>2593</v>
      </c>
      <c r="B8" s="212" t="s">
        <v>812</v>
      </c>
      <c r="C8" s="168" t="str">
        <f aca="false">IF(S_Data!L12&gt;0,"Yes","No")</f>
        <v>No</v>
      </c>
      <c r="D8" s="227" t="str">
        <f aca="false">IF(C8=B8,"✓ PASS","✗ FAIL — check data")</f>
        <v>✗ FAIL — check data</v>
      </c>
      <c r="E8" s="93" t="s">
        <v>2590</v>
      </c>
    </row>
    <row r="9" customFormat="false" ht="18" hidden="false" customHeight="true" outlineLevel="0" collapsed="false">
      <c r="A9" s="383" t="s">
        <v>2594</v>
      </c>
      <c r="B9" s="212" t="s">
        <v>812</v>
      </c>
      <c r="C9" s="168" t="str">
        <f aca="false">IF(E_Scorecard!D30&gt;0,"Yes","No")</f>
        <v>Yes</v>
      </c>
      <c r="D9" s="227" t="str">
        <f aca="false">IF(C9=B9,"✓ PASS","✗ FAIL — check data")</f>
        <v>✓ PASS</v>
      </c>
      <c r="E9" s="93" t="s">
        <v>2590</v>
      </c>
    </row>
    <row r="10" customFormat="false" ht="18" hidden="false" customHeight="true" outlineLevel="0" collapsed="false">
      <c r="A10" s="383" t="s">
        <v>2595</v>
      </c>
      <c r="B10" s="212" t="s">
        <v>812</v>
      </c>
      <c r="C10" s="168" t="str">
        <f aca="false">IF(S_Scorecard!D28&gt;0,"Yes","No")</f>
        <v>Yes</v>
      </c>
      <c r="D10" s="227" t="str">
        <f aca="false">IF(C10=B10,"✓ PASS","✗ FAIL — check data")</f>
        <v>✓ PASS</v>
      </c>
      <c r="E10" s="93" t="s">
        <v>2590</v>
      </c>
    </row>
    <row r="11" customFormat="false" ht="18" hidden="false" customHeight="true" outlineLevel="0" collapsed="false">
      <c r="A11" s="383" t="s">
        <v>2596</v>
      </c>
      <c r="B11" s="212" t="s">
        <v>812</v>
      </c>
      <c r="C11" s="168" t="str">
        <f aca="false">IF(G_Scorecard!D26&gt;0,"Yes","No")</f>
        <v>Yes</v>
      </c>
      <c r="D11" s="227" t="str">
        <f aca="false">IF(C11=B11,"✓ PASS","✗ FAIL — check data")</f>
        <v>✓ PASS</v>
      </c>
      <c r="E11" s="93" t="s">
        <v>2590</v>
      </c>
    </row>
    <row r="12" customFormat="false" ht="18" hidden="false" customHeight="true" outlineLevel="0" collapsed="false">
      <c r="A12" s="383" t="s">
        <v>2597</v>
      </c>
      <c r="B12" s="212" t="s">
        <v>1536</v>
      </c>
      <c r="C12" s="168" t="n">
        <f aca="false">COUNTA(King5_Scorecard!C4:C30)-COUNTBLANK(King5_Scorecard!C4:C30)</f>
        <v>7</v>
      </c>
      <c r="D12" s="227" t="str">
        <f aca="false">IF(C12=B12,"✓ PASS","✗ FAIL — check data")</f>
        <v>✗ FAIL — check data</v>
      </c>
      <c r="E12" s="93" t="s">
        <v>2590</v>
      </c>
    </row>
    <row r="13" customFormat="false" ht="18" hidden="false" customHeight="true" outlineLevel="0" collapsed="false">
      <c r="A13" s="383" t="s">
        <v>2598</v>
      </c>
      <c r="B13" s="212" t="s">
        <v>812</v>
      </c>
      <c r="C13" s="168" t="str">
        <f aca="false">IF(COUNTA(IFRS_S1_S2!D4:D40)&gt;0,"Yes","No")</f>
        <v>Yes</v>
      </c>
      <c r="D13" s="227" t="str">
        <f aca="false">IF(C13=B13,"✓ PASS","✗ FAIL — check data")</f>
        <v>✓ PASS</v>
      </c>
      <c r="E13" s="93" t="s">
        <v>2590</v>
      </c>
    </row>
    <row r="14" customFormat="false" ht="18" hidden="false" customHeight="true" outlineLevel="0" collapsed="false">
      <c r="A14" s="383" t="s">
        <v>2599</v>
      </c>
      <c r="B14" s="212" t="s">
        <v>812</v>
      </c>
      <c r="C14" s="168" t="str">
        <f aca="false">IF(COUNTA(Fleet_Register!A4:A30)&gt;0,"Yes","No")</f>
        <v>Yes</v>
      </c>
      <c r="D14" s="227" t="str">
        <f aca="false">IF(C14=B14,"✓ PASS","✗ FAIL — check data")</f>
        <v>✓ PASS</v>
      </c>
      <c r="E14" s="93" t="s">
        <v>2590</v>
      </c>
    </row>
    <row r="15" customFormat="false" ht="18" hidden="false" customHeight="true" outlineLevel="0" collapsed="false">
      <c r="A15" s="383" t="s">
        <v>2600</v>
      </c>
      <c r="B15" s="212" t="s">
        <v>812</v>
      </c>
      <c r="C15" s="168" t="str">
        <f aca="false">IF(Waste_Register!D5&gt;0,"Yes","No")</f>
        <v>Yes</v>
      </c>
      <c r="D15" s="227" t="str">
        <f aca="false">IF(C15=B15,"✓ PASS","✗ FAIL — check data")</f>
        <v>✓ PASS</v>
      </c>
      <c r="E15" s="93" t="s">
        <v>2590</v>
      </c>
    </row>
    <row r="16" customFormat="false" ht="18" hidden="false" customHeight="true" outlineLevel="0" collapsed="false">
      <c r="A16" s="383" t="s">
        <v>2601</v>
      </c>
      <c r="B16" s="212" t="s">
        <v>812</v>
      </c>
      <c r="C16" s="168" t="str">
        <f aca="false">IF(COUNTA(Driver_Debrief!C4:C15)&gt;0,"Yes","No")</f>
        <v>Yes</v>
      </c>
      <c r="D16" s="227" t="str">
        <f aca="false">IF(C16=B16,"✓ PASS","✗ FAIL — check data")</f>
        <v>✓ PASS</v>
      </c>
      <c r="E16" s="93" t="s">
        <v>2590</v>
      </c>
    </row>
    <row r="18" customFormat="false" ht="15" hidden="false" customHeight="true" outlineLevel="0" collapsed="false">
      <c r="A18" s="381" t="s">
        <v>2602</v>
      </c>
      <c r="B18" s="381"/>
      <c r="C18" s="381"/>
      <c r="D18" s="381"/>
      <c r="E18" s="381"/>
    </row>
    <row r="19" customFormat="false" ht="12.75" hidden="false" customHeight="true" outlineLevel="0" collapsed="false">
      <c r="A19" s="384" t="s">
        <v>2603</v>
      </c>
      <c r="B19" s="99" t="s">
        <v>2604</v>
      </c>
      <c r="C19" s="99" t="s">
        <v>2605</v>
      </c>
      <c r="D19" s="94" t="s">
        <v>2606</v>
      </c>
      <c r="E19" s="94" t="s">
        <v>2607</v>
      </c>
    </row>
    <row r="20" customFormat="false" ht="12.75" hidden="false" customHeight="true" outlineLevel="0" collapsed="false">
      <c r="A20" s="384" t="s">
        <v>2608</v>
      </c>
      <c r="B20" s="99" t="s">
        <v>2609</v>
      </c>
      <c r="C20" s="99" t="s">
        <v>2610</v>
      </c>
      <c r="D20" s="94" t="s">
        <v>2606</v>
      </c>
      <c r="E20" s="94" t="s">
        <v>2607</v>
      </c>
    </row>
    <row r="21" customFormat="false" ht="12.75" hidden="false" customHeight="true" outlineLevel="0" collapsed="false">
      <c r="A21" s="384" t="s">
        <v>2611</v>
      </c>
      <c r="B21" s="99" t="s">
        <v>2612</v>
      </c>
      <c r="C21" s="99" t="s">
        <v>2613</v>
      </c>
      <c r="D21" s="94" t="s">
        <v>2606</v>
      </c>
      <c r="E21" s="94" t="s">
        <v>2607</v>
      </c>
    </row>
    <row r="22" customFormat="false" ht="12.75" hidden="false" customHeight="true" outlineLevel="0" collapsed="false">
      <c r="A22" s="384" t="s">
        <v>2614</v>
      </c>
      <c r="B22" s="99" t="s">
        <v>2615</v>
      </c>
      <c r="C22" s="99" t="s">
        <v>2616</v>
      </c>
      <c r="D22" s="94" t="s">
        <v>2606</v>
      </c>
      <c r="E22" s="94" t="s">
        <v>2607</v>
      </c>
    </row>
    <row r="23" customFormat="false" ht="12.75" hidden="false" customHeight="true" outlineLevel="0" collapsed="false">
      <c r="A23" s="384" t="s">
        <v>2617</v>
      </c>
      <c r="B23" s="99" t="s">
        <v>2618</v>
      </c>
      <c r="C23" s="99" t="s">
        <v>2619</v>
      </c>
      <c r="D23" s="94" t="s">
        <v>2606</v>
      </c>
      <c r="E23" s="94" t="s">
        <v>2607</v>
      </c>
    </row>
    <row r="24" customFormat="false" ht="13.5" hidden="false" customHeight="true" outlineLevel="0" collapsed="false">
      <c r="A24" s="381" t="s">
        <v>2620</v>
      </c>
      <c r="B24" s="381"/>
      <c r="C24" s="381"/>
      <c r="D24" s="381"/>
      <c r="E24" s="381"/>
    </row>
    <row r="25" customFormat="false" ht="12.75" hidden="false" customHeight="true" outlineLevel="0" collapsed="false">
      <c r="A25" s="384" t="s">
        <v>2621</v>
      </c>
      <c r="B25" s="99" t="s">
        <v>2622</v>
      </c>
      <c r="C25" s="94" t="s">
        <v>611</v>
      </c>
    </row>
    <row r="26" customFormat="false" ht="12.75" hidden="false" customHeight="true" outlineLevel="0" collapsed="false">
      <c r="A26" s="384" t="s">
        <v>2623</v>
      </c>
      <c r="B26" s="99" t="s">
        <v>2624</v>
      </c>
      <c r="C26" s="94" t="s">
        <v>634</v>
      </c>
    </row>
    <row r="27" customFormat="false" ht="12.75" hidden="false" customHeight="true" outlineLevel="0" collapsed="false">
      <c r="A27" s="384" t="s">
        <v>2625</v>
      </c>
      <c r="B27" s="99" t="s">
        <v>2626</v>
      </c>
      <c r="C27" s="94" t="s">
        <v>640</v>
      </c>
    </row>
    <row r="28" customFormat="false" ht="12.75" hidden="false" customHeight="true" outlineLevel="0" collapsed="false">
      <c r="A28" s="384" t="s">
        <v>2627</v>
      </c>
      <c r="B28" s="99" t="s">
        <v>2628</v>
      </c>
      <c r="C28" s="94" t="s">
        <v>634</v>
      </c>
    </row>
    <row r="29" customFormat="false" ht="12.75" hidden="false" customHeight="true" outlineLevel="0" collapsed="false">
      <c r="A29" s="384" t="s">
        <v>2629</v>
      </c>
      <c r="B29" s="99" t="s">
        <v>2630</v>
      </c>
      <c r="C29" s="94" t="s">
        <v>630</v>
      </c>
    </row>
    <row r="30" customFormat="false" ht="12.75" hidden="false" customHeight="true" outlineLevel="0" collapsed="false">
      <c r="A30" s="384" t="s">
        <v>2631</v>
      </c>
      <c r="B30" s="99" t="s">
        <v>2632</v>
      </c>
      <c r="C30" s="94" t="s">
        <v>634</v>
      </c>
    </row>
    <row r="31" customFormat="false" ht="12.75" hidden="false" customHeight="true" outlineLevel="0" collapsed="false">
      <c r="A31" s="384" t="s">
        <v>2633</v>
      </c>
      <c r="B31" s="99" t="s">
        <v>2634</v>
      </c>
      <c r="C31" s="94" t="s">
        <v>657</v>
      </c>
    </row>
    <row r="32" customFormat="false" ht="12.75" hidden="false" customHeight="true" outlineLevel="0" collapsed="false">
      <c r="A32" s="276" t="s">
        <v>2635</v>
      </c>
      <c r="B32" s="385" t="s">
        <v>2636</v>
      </c>
      <c r="C32" s="94" t="s">
        <v>634</v>
      </c>
    </row>
  </sheetData>
  <mergeCells count="4">
    <mergeCell ref="A1:E1"/>
    <mergeCell ref="A3:E3"/>
    <mergeCell ref="A18:E18"/>
    <mergeCell ref="A24:E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7" min="6" style="1" width="14"/>
    <col collapsed="false" customWidth="true" hidden="false" outlineLevel="0" max="8" min="8" style="1" width="44"/>
  </cols>
  <sheetData>
    <row r="1" customFormat="false" ht="30" hidden="false" customHeight="true" outlineLevel="0" collapsed="false">
      <c r="A1" s="386" t="s">
        <v>2637</v>
      </c>
      <c r="B1" s="386"/>
      <c r="C1" s="386"/>
      <c r="D1" s="386"/>
      <c r="E1" s="386"/>
      <c r="F1" s="386"/>
      <c r="G1" s="386"/>
      <c r="H1" s="386"/>
    </row>
    <row r="2" customFormat="false" ht="15" hidden="false" customHeight="true" outlineLevel="0" collapsed="false">
      <c r="A2" s="387" t="s">
        <v>2638</v>
      </c>
      <c r="B2" s="387"/>
      <c r="C2" s="387"/>
      <c r="D2" s="387"/>
      <c r="E2" s="387"/>
      <c r="F2" s="387"/>
      <c r="G2" s="387"/>
      <c r="H2" s="387"/>
    </row>
    <row r="3" customFormat="false" ht="15" hidden="false" customHeight="true" outlineLevel="0" collapsed="false">
      <c r="A3" s="23" t="s">
        <v>2639</v>
      </c>
      <c r="B3" s="388" t="s">
        <v>2640</v>
      </c>
      <c r="C3" s="388"/>
      <c r="D3" s="388"/>
      <c r="E3" s="388"/>
      <c r="F3" s="388"/>
      <c r="G3" s="388"/>
      <c r="H3" s="388"/>
    </row>
    <row r="4" customFormat="false" ht="30" hidden="false" customHeight="true" outlineLevel="0" collapsed="false">
      <c r="A4" s="389" t="s">
        <v>2641</v>
      </c>
      <c r="B4" s="389" t="s">
        <v>2642</v>
      </c>
      <c r="C4" s="389" t="s">
        <v>511</v>
      </c>
      <c r="D4" s="389" t="s">
        <v>2643</v>
      </c>
      <c r="E4" s="389" t="s">
        <v>1123</v>
      </c>
      <c r="F4" s="389" t="s">
        <v>520</v>
      </c>
      <c r="G4" s="389" t="s">
        <v>2644</v>
      </c>
      <c r="H4" s="389" t="s">
        <v>2645</v>
      </c>
    </row>
    <row r="5" customFormat="false" ht="15" hidden="false" customHeight="true" outlineLevel="0" collapsed="false">
      <c r="A5" s="390" t="s">
        <v>2646</v>
      </c>
      <c r="B5" s="390" t="s">
        <v>2647</v>
      </c>
      <c r="C5" s="390" t="s">
        <v>2648</v>
      </c>
      <c r="D5" s="390" t="s">
        <v>2649</v>
      </c>
      <c r="E5" s="390" t="s">
        <v>2650</v>
      </c>
      <c r="F5" s="391" t="s">
        <v>2651</v>
      </c>
      <c r="G5" s="390" t="s">
        <v>12</v>
      </c>
      <c r="H5" s="390" t="s">
        <v>2652</v>
      </c>
    </row>
    <row r="6" customFormat="false" ht="15" hidden="false" customHeight="true" outlineLevel="0" collapsed="false">
      <c r="A6" s="390" t="s">
        <v>1011</v>
      </c>
      <c r="B6" s="390" t="s">
        <v>2653</v>
      </c>
      <c r="C6" s="390" t="s">
        <v>2648</v>
      </c>
      <c r="D6" s="390" t="s">
        <v>2654</v>
      </c>
      <c r="E6" s="390" t="s">
        <v>2655</v>
      </c>
      <c r="F6" s="391" t="s">
        <v>2651</v>
      </c>
      <c r="G6" s="390" t="s">
        <v>12</v>
      </c>
      <c r="H6" s="390" t="s">
        <v>2656</v>
      </c>
    </row>
    <row r="7" customFormat="false" ht="15" hidden="false" customHeight="true" outlineLevel="0" collapsed="false">
      <c r="A7" s="390" t="s">
        <v>2657</v>
      </c>
      <c r="B7" s="390" t="s">
        <v>2658</v>
      </c>
      <c r="C7" s="390" t="s">
        <v>2648</v>
      </c>
      <c r="D7" s="390" t="s">
        <v>2659</v>
      </c>
      <c r="E7" s="390" t="s">
        <v>2660</v>
      </c>
      <c r="F7" s="391" t="s">
        <v>2651</v>
      </c>
      <c r="G7" s="390" t="s">
        <v>12</v>
      </c>
      <c r="H7" s="390" t="s">
        <v>2661</v>
      </c>
    </row>
    <row r="8" customFormat="false" ht="23.25" hidden="false" customHeight="true" outlineLevel="0" collapsed="false">
      <c r="A8" s="390" t="s">
        <v>2662</v>
      </c>
      <c r="B8" s="390" t="s">
        <v>2663</v>
      </c>
      <c r="C8" s="390" t="s">
        <v>2648</v>
      </c>
      <c r="D8" s="390" t="s">
        <v>2664</v>
      </c>
      <c r="E8" s="390" t="s">
        <v>2665</v>
      </c>
      <c r="F8" s="392" t="s">
        <v>2666</v>
      </c>
      <c r="G8" s="390" t="s">
        <v>279</v>
      </c>
      <c r="H8" s="390" t="s">
        <v>2667</v>
      </c>
    </row>
    <row r="9" customFormat="false" ht="15" hidden="false" customHeight="true" outlineLevel="0" collapsed="false">
      <c r="A9" s="390" t="s">
        <v>2668</v>
      </c>
      <c r="B9" s="390" t="s">
        <v>2669</v>
      </c>
      <c r="C9" s="390" t="s">
        <v>2670</v>
      </c>
      <c r="D9" s="390" t="s">
        <v>2671</v>
      </c>
      <c r="E9" s="390" t="s">
        <v>753</v>
      </c>
      <c r="F9" s="391" t="s">
        <v>2651</v>
      </c>
      <c r="G9" s="390" t="s">
        <v>12</v>
      </c>
      <c r="H9" s="390" t="s">
        <v>2672</v>
      </c>
    </row>
    <row r="10" customFormat="false" ht="15" hidden="false" customHeight="true" outlineLevel="0" collapsed="false">
      <c r="A10" s="390" t="s">
        <v>2673</v>
      </c>
      <c r="B10" s="390" t="s">
        <v>2674</v>
      </c>
      <c r="C10" s="390" t="s">
        <v>2670</v>
      </c>
      <c r="D10" s="390" t="s">
        <v>2671</v>
      </c>
      <c r="E10" s="390" t="s">
        <v>2675</v>
      </c>
      <c r="F10" s="393" t="s">
        <v>2676</v>
      </c>
      <c r="G10" s="390" t="s">
        <v>12</v>
      </c>
      <c r="H10" s="390" t="s">
        <v>2677</v>
      </c>
    </row>
    <row r="11" customFormat="false" ht="15" hidden="false" customHeight="true" outlineLevel="0" collapsed="false">
      <c r="A11" s="390" t="s">
        <v>2678</v>
      </c>
      <c r="B11" s="390" t="s">
        <v>2679</v>
      </c>
      <c r="C11" s="390" t="s">
        <v>2670</v>
      </c>
      <c r="D11" s="390" t="s">
        <v>2671</v>
      </c>
      <c r="E11" s="390" t="s">
        <v>2680</v>
      </c>
      <c r="F11" s="391" t="s">
        <v>2651</v>
      </c>
      <c r="G11" s="390" t="s">
        <v>12</v>
      </c>
      <c r="H11" s="390" t="s">
        <v>2681</v>
      </c>
    </row>
    <row r="12" customFormat="false" ht="15" hidden="false" customHeight="true" outlineLevel="0" collapsed="false">
      <c r="A12" s="390" t="s">
        <v>2682</v>
      </c>
      <c r="B12" s="390" t="s">
        <v>2683</v>
      </c>
      <c r="C12" s="390" t="s">
        <v>2670</v>
      </c>
      <c r="D12" s="390" t="s">
        <v>2671</v>
      </c>
      <c r="E12" s="390" t="s">
        <v>2684</v>
      </c>
      <c r="F12" s="393" t="s">
        <v>2676</v>
      </c>
      <c r="G12" s="390" t="s">
        <v>12</v>
      </c>
      <c r="H12" s="390" t="s">
        <v>2685</v>
      </c>
    </row>
    <row r="13" customFormat="false" ht="15" hidden="false" customHeight="true" outlineLevel="0" collapsed="false">
      <c r="A13" s="390" t="s">
        <v>2686</v>
      </c>
      <c r="B13" s="390" t="s">
        <v>2687</v>
      </c>
      <c r="C13" s="390" t="s">
        <v>2670</v>
      </c>
      <c r="D13" s="390" t="s">
        <v>2671</v>
      </c>
      <c r="E13" s="390" t="s">
        <v>812</v>
      </c>
      <c r="F13" s="391" t="s">
        <v>2651</v>
      </c>
      <c r="G13" s="390" t="s">
        <v>12</v>
      </c>
      <c r="H13" s="390" t="s">
        <v>2688</v>
      </c>
    </row>
    <row r="14" customFormat="false" ht="15" hidden="false" customHeight="true" outlineLevel="0" collapsed="false">
      <c r="A14" s="390" t="s">
        <v>2689</v>
      </c>
      <c r="B14" s="390" t="s">
        <v>2690</v>
      </c>
      <c r="C14" s="390" t="s">
        <v>2670</v>
      </c>
      <c r="D14" s="390" t="s">
        <v>2691</v>
      </c>
      <c r="E14" s="390" t="s">
        <v>812</v>
      </c>
      <c r="F14" s="391" t="s">
        <v>2651</v>
      </c>
      <c r="G14" s="390" t="s">
        <v>2692</v>
      </c>
      <c r="H14" s="390" t="s">
        <v>2693</v>
      </c>
    </row>
    <row r="15" customFormat="false" ht="23.25" hidden="false" customHeight="true" outlineLevel="0" collapsed="false">
      <c r="A15" s="390" t="s">
        <v>2694</v>
      </c>
      <c r="B15" s="390" t="s">
        <v>2695</v>
      </c>
      <c r="C15" s="390" t="s">
        <v>2670</v>
      </c>
      <c r="D15" s="390" t="s">
        <v>2696</v>
      </c>
      <c r="E15" s="390" t="s">
        <v>812</v>
      </c>
      <c r="F15" s="391" t="s">
        <v>2651</v>
      </c>
      <c r="G15" s="390" t="s">
        <v>12</v>
      </c>
      <c r="H15" s="390" t="s">
        <v>2697</v>
      </c>
    </row>
    <row r="16" customFormat="false" ht="15" hidden="false" customHeight="true" outlineLevel="0" collapsed="false">
      <c r="A16" s="390" t="s">
        <v>2698</v>
      </c>
      <c r="B16" s="390" t="s">
        <v>2699</v>
      </c>
      <c r="C16" s="390" t="s">
        <v>2670</v>
      </c>
      <c r="D16" s="390" t="s">
        <v>2700</v>
      </c>
      <c r="E16" s="390" t="s">
        <v>1152</v>
      </c>
      <c r="F16" s="392" t="s">
        <v>2666</v>
      </c>
      <c r="G16" s="390" t="s">
        <v>279</v>
      </c>
      <c r="H16" s="390" t="s">
        <v>2701</v>
      </c>
    </row>
    <row r="17" customFormat="false" ht="23.25" hidden="false" customHeight="true" outlineLevel="0" collapsed="false">
      <c r="A17" s="390" t="s">
        <v>2702</v>
      </c>
      <c r="B17" s="390" t="s">
        <v>2703</v>
      </c>
      <c r="C17" s="390" t="s">
        <v>2670</v>
      </c>
      <c r="D17" s="390" t="s">
        <v>2700</v>
      </c>
      <c r="E17" s="390" t="s">
        <v>1152</v>
      </c>
      <c r="F17" s="392" t="s">
        <v>2666</v>
      </c>
      <c r="G17" s="390" t="s">
        <v>279</v>
      </c>
      <c r="H17" s="390" t="s">
        <v>2704</v>
      </c>
    </row>
    <row r="18" customFormat="false" ht="15" hidden="false" customHeight="true" outlineLevel="0" collapsed="false">
      <c r="A18" s="390" t="s">
        <v>2705</v>
      </c>
      <c r="B18" s="390" t="s">
        <v>2706</v>
      </c>
      <c r="C18" s="390" t="s">
        <v>2670</v>
      </c>
      <c r="D18" s="390" t="s">
        <v>2707</v>
      </c>
      <c r="E18" s="390" t="s">
        <v>812</v>
      </c>
      <c r="F18" s="391" t="s">
        <v>2651</v>
      </c>
      <c r="G18" s="390" t="s">
        <v>12</v>
      </c>
      <c r="H18" s="390" t="s">
        <v>2708</v>
      </c>
    </row>
    <row r="19" customFormat="false" ht="15" hidden="false" customHeight="true" outlineLevel="0" collapsed="false">
      <c r="A19" s="390" t="s">
        <v>2709</v>
      </c>
      <c r="B19" s="390" t="s">
        <v>2710</v>
      </c>
      <c r="C19" s="390" t="s">
        <v>2648</v>
      </c>
      <c r="D19" s="390" t="s">
        <v>2711</v>
      </c>
      <c r="E19" s="390" t="s">
        <v>2712</v>
      </c>
      <c r="F19" s="391" t="s">
        <v>2651</v>
      </c>
      <c r="G19" s="390" t="s">
        <v>12</v>
      </c>
      <c r="H19" s="390" t="s">
        <v>2713</v>
      </c>
    </row>
    <row r="20" customFormat="false" ht="15" hidden="false" customHeight="true" outlineLevel="0" collapsed="false">
      <c r="A20" s="390" t="s">
        <v>2714</v>
      </c>
      <c r="B20" s="390" t="s">
        <v>2715</v>
      </c>
      <c r="C20" s="390" t="s">
        <v>2648</v>
      </c>
      <c r="D20" s="390" t="s">
        <v>2716</v>
      </c>
      <c r="E20" s="390" t="s">
        <v>2717</v>
      </c>
      <c r="F20" s="392" t="s">
        <v>2666</v>
      </c>
      <c r="G20" s="390" t="s">
        <v>279</v>
      </c>
      <c r="H20" s="390" t="s">
        <v>2718</v>
      </c>
    </row>
    <row r="21" customFormat="false" ht="15" hidden="false" customHeight="true" outlineLevel="0" collapsed="false">
      <c r="A21" s="390" t="s">
        <v>2719</v>
      </c>
      <c r="B21" s="390" t="s">
        <v>2720</v>
      </c>
      <c r="C21" s="390" t="s">
        <v>2648</v>
      </c>
      <c r="D21" s="390" t="s">
        <v>2716</v>
      </c>
      <c r="E21" s="390" t="s">
        <v>2665</v>
      </c>
      <c r="F21" s="392" t="s">
        <v>2666</v>
      </c>
      <c r="G21" s="390" t="s">
        <v>279</v>
      </c>
      <c r="H21" s="390" t="s">
        <v>2721</v>
      </c>
    </row>
    <row r="22" customFormat="false" ht="15" hidden="false" customHeight="true" outlineLevel="0" collapsed="false">
      <c r="A22" s="390" t="s">
        <v>2722</v>
      </c>
      <c r="B22" s="390" t="s">
        <v>2723</v>
      </c>
      <c r="C22" s="390" t="s">
        <v>2648</v>
      </c>
      <c r="D22" s="390" t="s">
        <v>2724</v>
      </c>
      <c r="E22" s="390" t="s">
        <v>2725</v>
      </c>
      <c r="F22" s="391" t="s">
        <v>2651</v>
      </c>
      <c r="G22" s="390" t="s">
        <v>12</v>
      </c>
      <c r="H22" s="390" t="s">
        <v>2726</v>
      </c>
    </row>
    <row r="23" customFormat="false" ht="15" hidden="false" customHeight="true" outlineLevel="0" collapsed="false">
      <c r="A23" s="390" t="s">
        <v>2727</v>
      </c>
      <c r="B23" s="390" t="s">
        <v>2728</v>
      </c>
      <c r="C23" s="390" t="s">
        <v>2648</v>
      </c>
      <c r="D23" s="390" t="s">
        <v>2724</v>
      </c>
      <c r="E23" s="390" t="s">
        <v>2729</v>
      </c>
      <c r="F23" s="391" t="s">
        <v>2651</v>
      </c>
      <c r="G23" s="390" t="s">
        <v>12</v>
      </c>
      <c r="H23" s="390" t="s">
        <v>2730</v>
      </c>
    </row>
    <row r="24" customFormat="false" ht="23.25" hidden="false" customHeight="true" outlineLevel="0" collapsed="false">
      <c r="A24" s="390" t="s">
        <v>2731</v>
      </c>
      <c r="B24" s="390" t="s">
        <v>2732</v>
      </c>
      <c r="C24" s="390" t="s">
        <v>2648</v>
      </c>
      <c r="D24" s="390" t="s">
        <v>2724</v>
      </c>
      <c r="E24" s="390" t="s">
        <v>760</v>
      </c>
      <c r="F24" s="391" t="s">
        <v>2651</v>
      </c>
      <c r="G24" s="390" t="s">
        <v>12</v>
      </c>
      <c r="H24" s="390" t="s">
        <v>2733</v>
      </c>
    </row>
    <row r="25" customFormat="false" ht="15" hidden="false" customHeight="true" outlineLevel="0" collapsed="false">
      <c r="A25" s="390" t="s">
        <v>989</v>
      </c>
      <c r="B25" s="390" t="s">
        <v>2734</v>
      </c>
      <c r="C25" s="390" t="s">
        <v>2648</v>
      </c>
      <c r="D25" s="390" t="s">
        <v>2724</v>
      </c>
      <c r="E25" s="390" t="s">
        <v>754</v>
      </c>
      <c r="F25" s="391" t="s">
        <v>2651</v>
      </c>
      <c r="G25" s="390" t="s">
        <v>12</v>
      </c>
      <c r="H25" s="390" t="s">
        <v>2735</v>
      </c>
    </row>
    <row r="26" customFormat="false" ht="15" hidden="false" customHeight="true" outlineLevel="0" collapsed="false">
      <c r="A26" s="390" t="s">
        <v>988</v>
      </c>
      <c r="B26" s="390" t="s">
        <v>2736</v>
      </c>
      <c r="C26" s="390" t="s">
        <v>2648</v>
      </c>
      <c r="D26" s="390" t="s">
        <v>2737</v>
      </c>
      <c r="E26" s="390" t="s">
        <v>2665</v>
      </c>
      <c r="F26" s="392" t="s">
        <v>2666</v>
      </c>
      <c r="G26" s="390" t="s">
        <v>279</v>
      </c>
      <c r="H26" s="390" t="s">
        <v>2738</v>
      </c>
    </row>
    <row r="27" customFormat="false" ht="23.25" hidden="false" customHeight="true" outlineLevel="0" collapsed="false">
      <c r="A27" s="390" t="s">
        <v>2739</v>
      </c>
      <c r="B27" s="390" t="s">
        <v>2740</v>
      </c>
      <c r="C27" s="390" t="s">
        <v>2741</v>
      </c>
      <c r="D27" s="390" t="s">
        <v>2742</v>
      </c>
      <c r="E27" s="390" t="s">
        <v>2665</v>
      </c>
      <c r="F27" s="392" t="s">
        <v>2666</v>
      </c>
      <c r="G27" s="390" t="s">
        <v>279</v>
      </c>
      <c r="H27" s="390" t="s">
        <v>2743</v>
      </c>
    </row>
    <row r="28" customFormat="false" ht="15" hidden="false" customHeight="true" outlineLevel="0" collapsed="false">
      <c r="A28" s="390" t="s">
        <v>2744</v>
      </c>
      <c r="B28" s="390" t="s">
        <v>2745</v>
      </c>
      <c r="C28" s="390" t="s">
        <v>2741</v>
      </c>
      <c r="D28" s="390" t="s">
        <v>2746</v>
      </c>
      <c r="E28" s="390" t="s">
        <v>2747</v>
      </c>
      <c r="F28" s="392" t="s">
        <v>2666</v>
      </c>
      <c r="G28" s="390" t="s">
        <v>279</v>
      </c>
      <c r="H28" s="390" t="s">
        <v>2748</v>
      </c>
    </row>
    <row r="29" customFormat="false" ht="15" hidden="false" customHeight="true" outlineLevel="0" collapsed="false">
      <c r="A29" s="390" t="s">
        <v>2749</v>
      </c>
      <c r="B29" s="390" t="s">
        <v>2750</v>
      </c>
      <c r="C29" s="390" t="s">
        <v>2741</v>
      </c>
      <c r="D29" s="390" t="s">
        <v>2751</v>
      </c>
      <c r="E29" s="390" t="s">
        <v>2747</v>
      </c>
      <c r="F29" s="392" t="s">
        <v>2666</v>
      </c>
      <c r="G29" s="390" t="s">
        <v>279</v>
      </c>
      <c r="H29" s="390" t="s">
        <v>2752</v>
      </c>
    </row>
    <row r="30" customFormat="false" ht="15" hidden="false" customHeight="true" outlineLevel="0" collapsed="false">
      <c r="A30" s="390" t="s">
        <v>2753</v>
      </c>
      <c r="B30" s="390" t="s">
        <v>1225</v>
      </c>
      <c r="C30" s="390" t="s">
        <v>2741</v>
      </c>
      <c r="D30" s="390" t="s">
        <v>2041</v>
      </c>
      <c r="E30" s="390" t="s">
        <v>2747</v>
      </c>
      <c r="F30" s="392" t="s">
        <v>2666</v>
      </c>
      <c r="G30" s="390" t="s">
        <v>279</v>
      </c>
      <c r="H30" s="390" t="s">
        <v>2754</v>
      </c>
    </row>
    <row r="31" customFormat="false" ht="15" hidden="false" customHeight="true" outlineLevel="0" collapsed="false">
      <c r="A31" s="390" t="s">
        <v>2755</v>
      </c>
      <c r="B31" s="390" t="s">
        <v>35</v>
      </c>
      <c r="C31" s="390" t="s">
        <v>2741</v>
      </c>
      <c r="D31" s="390" t="s">
        <v>2051</v>
      </c>
      <c r="E31" s="390" t="s">
        <v>2747</v>
      </c>
      <c r="F31" s="392" t="s">
        <v>2666</v>
      </c>
      <c r="G31" s="390" t="s">
        <v>279</v>
      </c>
      <c r="H31" s="390" t="s">
        <v>2756</v>
      </c>
    </row>
    <row r="32" customFormat="false" ht="15" hidden="false" customHeight="true" outlineLevel="0" collapsed="false">
      <c r="A32" s="390" t="s">
        <v>2757</v>
      </c>
      <c r="B32" s="390" t="s">
        <v>57</v>
      </c>
      <c r="C32" s="390" t="s">
        <v>2741</v>
      </c>
      <c r="D32" s="390" t="s">
        <v>2758</v>
      </c>
      <c r="E32" s="390" t="s">
        <v>2747</v>
      </c>
      <c r="F32" s="392" t="s">
        <v>2666</v>
      </c>
      <c r="G32" s="390" t="s">
        <v>279</v>
      </c>
      <c r="H32" s="390" t="s">
        <v>2759</v>
      </c>
    </row>
    <row r="33" customFormat="false" ht="15" hidden="false" customHeight="true" outlineLevel="0" collapsed="false">
      <c r="A33" s="390" t="s">
        <v>2760</v>
      </c>
      <c r="B33" s="390" t="s">
        <v>53</v>
      </c>
      <c r="C33" s="390" t="s">
        <v>2670</v>
      </c>
      <c r="D33" s="390" t="s">
        <v>2761</v>
      </c>
      <c r="E33" s="390" t="s">
        <v>2747</v>
      </c>
      <c r="F33" s="392" t="s">
        <v>2666</v>
      </c>
      <c r="G33" s="390" t="s">
        <v>279</v>
      </c>
      <c r="H33" s="390" t="s">
        <v>2762</v>
      </c>
    </row>
    <row r="34" customFormat="false" ht="15" hidden="false" customHeight="true" outlineLevel="0" collapsed="false">
      <c r="A34" s="390" t="s">
        <v>2763</v>
      </c>
      <c r="B34" s="390" t="s">
        <v>49</v>
      </c>
      <c r="C34" s="390" t="s">
        <v>2670</v>
      </c>
      <c r="D34" s="390" t="s">
        <v>2066</v>
      </c>
      <c r="E34" s="390" t="s">
        <v>2764</v>
      </c>
      <c r="F34" s="392" t="s">
        <v>2666</v>
      </c>
      <c r="G34" s="390" t="s">
        <v>279</v>
      </c>
      <c r="H34" s="390" t="s">
        <v>2765</v>
      </c>
    </row>
    <row r="35" customFormat="false" ht="15" hidden="false" customHeight="true" outlineLevel="0" collapsed="false">
      <c r="A35" s="390" t="s">
        <v>2766</v>
      </c>
      <c r="B35" s="390" t="s">
        <v>2767</v>
      </c>
      <c r="C35" s="390" t="s">
        <v>2648</v>
      </c>
      <c r="D35" s="390" t="s">
        <v>2768</v>
      </c>
      <c r="E35" s="390" t="s">
        <v>2769</v>
      </c>
      <c r="F35" s="393" t="s">
        <v>2676</v>
      </c>
      <c r="G35" s="390" t="s">
        <v>2692</v>
      </c>
      <c r="H35" s="390" t="s">
        <v>2770</v>
      </c>
    </row>
    <row r="36" customFormat="false" ht="15" hidden="false" customHeight="true" outlineLevel="0" collapsed="false">
      <c r="A36" s="390" t="s">
        <v>2771</v>
      </c>
      <c r="B36" s="390" t="s">
        <v>69</v>
      </c>
      <c r="C36" s="390" t="s">
        <v>2772</v>
      </c>
      <c r="D36" s="390" t="s">
        <v>2773</v>
      </c>
      <c r="E36" s="390" t="s">
        <v>2774</v>
      </c>
      <c r="F36" s="392" t="s">
        <v>2666</v>
      </c>
      <c r="G36" s="390" t="s">
        <v>279</v>
      </c>
      <c r="H36" s="390" t="s">
        <v>2775</v>
      </c>
    </row>
  </sheetData>
  <mergeCells count="3">
    <mergeCell ref="A1:H1"/>
    <mergeCell ref="A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2026-04-28T07:33:12Z</dcterms:created>
  <dc:creator>openpyxl</dc:creator>
  <dc:description/>
  <dc:language>en-US</dc:language>
  <cp:lastModifiedBy/>
  <dcterms:modified xsi:type="dcterms:W3CDTF">2026-05-27T11:46:57Z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