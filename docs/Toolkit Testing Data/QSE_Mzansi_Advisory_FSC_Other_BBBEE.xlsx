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4.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 Request" sheetId="1" state="visible" r:id="rId3"/>
    <sheet name="Financials" sheetId="2" state="visible" r:id="rId4"/>
    <sheet name="Ownership" sheetId="3" state="visible" r:id="rId5"/>
    <sheet name="Management Control - Employees" sheetId="4" state="visible" r:id="rId6"/>
    <sheet name="Skills Development" sheetId="5" state="visible" r:id="rId7"/>
    <sheet name="Procurement - Suppliers" sheetId="6" state="visible" r:id="rId8"/>
    <sheet name="Enterprise &amp; Supplier Developme" sheetId="7" state="visible" r:id="rId9"/>
    <sheet name="Socioeconomic Development" sheetId="8" state="visible" r:id="rId10"/>
    <sheet name="Consumer Education" sheetId="9" state="visible" r:id="rId11"/>
    <sheet name="Access to Financial Services" sheetId="10" state="visible" r:id="rId12"/>
    <sheet name="Sector Targets" sheetId="11" state="visible" r:id="rId13"/>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Click on the 'Explanantions' sheet below for more information on what this is.</t>
        </r>
      </text>
    </comment>
  </commentList>
</comments>
</file>

<file path=xl/sharedStrings.xml><?xml version="1.0" encoding="utf-8"?>
<sst xmlns="http://schemas.openxmlformats.org/spreadsheetml/2006/main" count="2565" uniqueCount="782">
  <si>
    <t xml:space="preserve">Information request checklist - Mzansi Advisory (Pty) Ltd | Financial Sector Code (FSC) - Other - QSE scorecard</t>
  </si>
  <si>
    <t xml:space="preserve">Phase 1: Current State Analysis:</t>
  </si>
  <si>
    <t xml:space="preserve">Please provide the following information:</t>
  </si>
  <si>
    <t xml:space="preserve">1.</t>
  </si>
  <si>
    <t xml:space="preserve">FINANCIAL INFORMATION:</t>
  </si>
  <si>
    <t xml:space="preserve">Historical Information: Financial Year End 31 December 2025 (measured period)</t>
  </si>
  <si>
    <t xml:space="preserve">a. Revenue</t>
  </si>
  <si>
    <t xml:space="preserve">b. NPAT (Net Profit After Tax)</t>
  </si>
  <si>
    <t xml:space="preserve">c. Payroll (total salary bill for the 12 months January to December 2025)</t>
  </si>
  <si>
    <t xml:space="preserve">Forecasts: Current Financial Year End 31 December 2026 (forecast)</t>
  </si>
  <si>
    <t xml:space="preserve">a. Revenue - forecasted (estimate) revenue for this financial year</t>
  </si>
  <si>
    <t xml:space="preserve">b. NPAT (Net Profit After Tax) - forecasted (estimate) NPAT for this financial year</t>
  </si>
  <si>
    <t xml:space="preserve">c. Payroll (forecasted (estimate) total salary bill for the 12 months January to December 2026)</t>
  </si>
  <si>
    <t xml:space="preserve">2.</t>
  </si>
  <si>
    <t xml:space="preserve">EMPLOYMENT EQUITY PROFILE:</t>
  </si>
  <si>
    <t xml:space="preserve">a. Please provide the latest staff list (most recent employee profile). Important information is:</t>
  </si>
  <si>
    <t xml:space="preserve">                                                               i.      Name of each employee</t>
  </si>
  <si>
    <t xml:space="preserve">                                                             ii.      Gender of each</t>
  </si>
  <si>
    <t xml:space="preserve">                                                           iii.      Race</t>
  </si>
  <si>
    <t xml:space="preserve">                                                           iv.      Designation (management tier in the company)</t>
  </si>
  <si>
    <t xml:space="preserve">                                                             v.      Disability (if any employees are disabled)</t>
  </si>
  <si>
    <t xml:space="preserve">                                                           vi.      Nationality (if you have any non-south African employees)</t>
  </si>
  <si>
    <t xml:space="preserve">                                                           vii.     Years of service/employment start date</t>
  </si>
  <si>
    <t xml:space="preserve">You can complete the Management Control tab for this purpose</t>
  </si>
  <si>
    <t xml:space="preserve">3.</t>
  </si>
  <si>
    <t xml:space="preserve">SKILLS DEVELOPMENT</t>
  </si>
  <si>
    <t xml:space="preserve">a. Please provide all training that Mzansi Advisory (Pty) Ltd has done for black persons throughout the previous current financial year (January to December 2025) </t>
  </si>
  <si>
    <t xml:space="preserve">b. Also include any planned training for Black People the current period - January to December 2026, as well as any training done year to date Jan to June 2026</t>
  </si>
  <si>
    <t xml:space="preserve">c. It is also important to note that only training conducted by Mzansi Advisory (Pty) Ltd can count towards B-BBEE. If any training is done by the international group, you would need to show that Mzansi Advisory (Pty) Ltd was cross-charged by Global in order for the training to count as an expense for Mzansi Advisory (Pty) Ltd</t>
  </si>
  <si>
    <t xml:space="preserve">d. You can complete the Skills Development tab for this purpose</t>
  </si>
  <si>
    <t xml:space="preserve">4.</t>
  </si>
  <si>
    <t xml:space="preserve">PREFERENTIAL PROCUREMENT:</t>
  </si>
  <si>
    <t xml:space="preserve">a. List of all suppliers/vendors used by Mzansi Advisory (Pty) Ltd (including subcontractors and freelancers) and the spend amount (excl. VAT) with each supplier – for the previous financial year (January to December 2025)</t>
  </si>
  <si>
    <t xml:space="preserve">b. List of all suppliers/vendors used by Mzansi Advisory (Pty) Ltd (including subcontractors and freelancers) and the spend amount (excl. VAT) with each supplier – for the current financial year to date (January to June 2021 year to date)</t>
  </si>
  <si>
    <t xml:space="preserve">c. Okiru has a database of B-BBEE certificates, therefore we will be able to get the B-BBEE credentials for all your suppliers</t>
  </si>
  <si>
    <t xml:space="preserve">d. Please highlight / outline any foreign spend and foreign suppliers</t>
  </si>
  <si>
    <t xml:space="preserve">e. You can complete the Preferential procurement tab for this purpose</t>
  </si>
  <si>
    <t xml:space="preserve">5.</t>
  </si>
  <si>
    <t xml:space="preserve">ENTERPRISE AND SUPPLIER DEVELOPMENT</t>
  </si>
  <si>
    <t xml:space="preserve">a. Please provided details of any support given to small black businesses for the previous financial year (January to December 2025) and current financial year (January to December 2026). Examples of support:
- monetary support / donations / loans
- non-monetary support
- discounts
- coaching and mentoring
- free consulting services.</t>
  </si>
  <si>
    <t xml:space="preserve">b. if no support provided, then you may leave this blank</t>
  </si>
  <si>
    <t xml:space="preserve">6.</t>
  </si>
  <si>
    <t xml:space="preserve">SOCIOECONOMIC DEVELOPMENT</t>
  </si>
  <si>
    <t xml:space="preserve">a. Please provide any support given to charities, NPOS, or socioeconomic initiatives for black people  for the previous financial year (January to December 2025) and current financial year (January to December 2026):
- monetary support / donations
- non-monetary support
- discounts
- coaching and mentoring
- free consulting services.</t>
  </si>
  <si>
    <t xml:space="preserve">Financials</t>
  </si>
  <si>
    <t xml:space="preserve">Measured Entity</t>
  </si>
  <si>
    <t xml:space="preserve">Mzansi Advisory (Pty) Ltd</t>
  </si>
  <si>
    <t xml:space="preserve">Sector / Codes</t>
  </si>
  <si>
    <t xml:space="preserve">Financial Sector Code (FSC) - Other - QSE scorecard</t>
  </si>
  <si>
    <t xml:space="preserve">Metric</t>
  </si>
  <si>
    <t xml:space="preserve">Prior FYE 31 Dec 2024</t>
  </si>
  <si>
    <t xml:space="preserve">Measured FYE 31 Dec 2025</t>
  </si>
  <si>
    <t xml:space="preserve">Forecast FYE 31 Dec 2026</t>
  </si>
  <si>
    <t xml:space="preserve">Total Revenue / Turnover (R)</t>
  </si>
  <si>
    <t xml:space="preserve">Net Profit After Tax - NPAT (R)</t>
  </si>
  <si>
    <t xml:space="preserve">Total Payroll (R)</t>
  </si>
  <si>
    <t xml:space="preserve">Leviable Amount for Skills (R)</t>
  </si>
  <si>
    <t xml:space="preserve">Total Measured Procurement Spend - TMPS (R)</t>
  </si>
  <si>
    <t xml:space="preserve">Ownership</t>
  </si>
  <si>
    <t xml:space="preserve">Shareholder Name</t>
  </si>
  <si>
    <t xml:space="preserve">Race</t>
  </si>
  <si>
    <t xml:space="preserve">Gender</t>
  </si>
  <si>
    <t xml:space="preserve">Designated Group? (Yes/No)</t>
  </si>
  <si>
    <t xml:space="preserve">New Entrant? (Yes/No)</t>
  </si>
  <si>
    <t xml:space="preserve">Broad-based / ESOP? (Yes/No)</t>
  </si>
  <si>
    <t xml:space="preserve">Voting Rights (%)</t>
  </si>
  <si>
    <t xml:space="preserve">Economic Interest (%)</t>
  </si>
  <si>
    <t xml:space="preserve">Date Acquired (dd/mm/yyyy)</t>
  </si>
  <si>
    <t xml:space="preserve">Value of Acquisition (R)</t>
  </si>
  <si>
    <t xml:space="preserve">Acquisition Debt (R)</t>
  </si>
  <si>
    <t xml:space="preserve">Net Value (R)</t>
  </si>
  <si>
    <t xml:space="preserve">Nomvula Dlamini</t>
  </si>
  <si>
    <t xml:space="preserve">African</t>
  </si>
  <si>
    <t xml:space="preserve">Female</t>
  </si>
  <si>
    <t xml:space="preserve">Yes</t>
  </si>
  <si>
    <t xml:space="preserve">No</t>
  </si>
  <si>
    <t xml:space="preserve">01/03/2018</t>
  </si>
  <si>
    <t xml:space="preserve">Thabo Khumalo</t>
  </si>
  <si>
    <t xml:space="preserve">Male</t>
  </si>
  <si>
    <t xml:space="preserve">Staff Empowerment Trust</t>
  </si>
  <si>
    <t xml:space="preserve">Mainstream Capital Partners</t>
  </si>
  <si>
    <t xml:space="preserve">White</t>
  </si>
  <si>
    <t xml:space="preserve">TOTALS</t>
  </si>
  <si>
    <t xml:space="preserve">Black voting rights</t>
  </si>
  <si>
    <t xml:space="preserve">Black women voting rights</t>
  </si>
  <si>
    <t xml:space="preserve">Net value: shares fully paid, nil acquisition debt -&gt; full net value points.</t>
  </si>
  <si>
    <t xml:space="preserve">Management Control</t>
  </si>
  <si>
    <t xml:space="preserve">Full Name *</t>
  </si>
  <si>
    <t xml:space="preserve">Gender *</t>
  </si>
  <si>
    <t xml:space="preserve">Race *</t>
  </si>
  <si>
    <t xml:space="preserve">Designation *</t>
  </si>
  <si>
    <t xml:space="preserve">Disabled?</t>
  </si>
  <si>
    <t xml:space="preserve">Foreign?</t>
  </si>
  <si>
    <t xml:space="preserve">ID Number</t>
  </si>
  <si>
    <t xml:space="preserve">Voting Rights *</t>
  </si>
  <si>
    <t xml:space="preserve">Employee Code</t>
  </si>
  <si>
    <t xml:space="preserve">Start date/ years of service</t>
  </si>
  <si>
    <t xml:space="preserve">Palesa Khumalo</t>
  </si>
  <si>
    <t xml:space="preserve">Executive Director</t>
  </si>
  <si>
    <t xml:space="preserve">7011103622080</t>
  </si>
  <si>
    <t xml:space="preserve">E1001</t>
  </si>
  <si>
    <t xml:space="preserve">25/11/2015</t>
  </si>
  <si>
    <t xml:space="preserve">Kagiso Molefe</t>
  </si>
  <si>
    <t xml:space="preserve">7708018325085</t>
  </si>
  <si>
    <t xml:space="preserve">E1002</t>
  </si>
  <si>
    <t xml:space="preserve">15/03/2025</t>
  </si>
  <si>
    <t xml:space="preserve">Bianca Daniels</t>
  </si>
  <si>
    <t xml:space="preserve">Coloured</t>
  </si>
  <si>
    <t xml:space="preserve">Non-executive Director</t>
  </si>
  <si>
    <t xml:space="preserve">7404240109089</t>
  </si>
  <si>
    <t xml:space="preserve">E1003</t>
  </si>
  <si>
    <t xml:space="preserve">28/10/2013</t>
  </si>
  <si>
    <t xml:space="preserve">Vusi Zulu</t>
  </si>
  <si>
    <t xml:space="preserve">Other Executive Manager</t>
  </si>
  <si>
    <t xml:space="preserve">8307148050082</t>
  </si>
  <si>
    <t xml:space="preserve">E1004</t>
  </si>
  <si>
    <t xml:space="preserve">31/01/2025</t>
  </si>
  <si>
    <t xml:space="preserve">Ilse Van der Merwe</t>
  </si>
  <si>
    <t xml:space="preserve">6506144575081</t>
  </si>
  <si>
    <t xml:space="preserve">E1005</t>
  </si>
  <si>
    <t xml:space="preserve">11/09/2017</t>
  </si>
  <si>
    <t xml:space="preserve">Charmaine Daniels</t>
  </si>
  <si>
    <t xml:space="preserve">6305254021089</t>
  </si>
  <si>
    <t xml:space="preserve">E1006</t>
  </si>
  <si>
    <t xml:space="preserve">26/01/2019</t>
  </si>
  <si>
    <t xml:space="preserve">Nokuthula Radebe</t>
  </si>
  <si>
    <t xml:space="preserve">Senior Manager</t>
  </si>
  <si>
    <t xml:space="preserve">8910243545086</t>
  </si>
  <si>
    <t xml:space="preserve">E1007</t>
  </si>
  <si>
    <t xml:space="preserve">01/03/2025</t>
  </si>
  <si>
    <t xml:space="preserve">Pieter Van der Merwe</t>
  </si>
  <si>
    <t xml:space="preserve">8406168273085</t>
  </si>
  <si>
    <t xml:space="preserve">E1008</t>
  </si>
  <si>
    <t xml:space="preserve">20/07/2021</t>
  </si>
  <si>
    <t xml:space="preserve">Bernadette Hendricks</t>
  </si>
  <si>
    <t xml:space="preserve">7007251667083</t>
  </si>
  <si>
    <t xml:space="preserve">E1009</t>
  </si>
  <si>
    <t xml:space="preserve">17/11/2017</t>
  </si>
  <si>
    <t xml:space="preserve">Khaya Khumalo</t>
  </si>
  <si>
    <t xml:space="preserve">7511166802081</t>
  </si>
  <si>
    <t xml:space="preserve">E1010</t>
  </si>
  <si>
    <t xml:space="preserve">06/05/2015</t>
  </si>
  <si>
    <t xml:space="preserve">Retha Nel</t>
  </si>
  <si>
    <t xml:space="preserve">8408284691083</t>
  </si>
  <si>
    <t xml:space="preserve">E1011</t>
  </si>
  <si>
    <t xml:space="preserve">02/12/2013</t>
  </si>
  <si>
    <t xml:space="preserve">Ashley Booysen</t>
  </si>
  <si>
    <t xml:space="preserve">8806078774082</t>
  </si>
  <si>
    <t xml:space="preserve">E1012</t>
  </si>
  <si>
    <t xml:space="preserve">19/10/2022</t>
  </si>
  <si>
    <t xml:space="preserve">Nomvula Radebe</t>
  </si>
  <si>
    <t xml:space="preserve">Middle Manager</t>
  </si>
  <si>
    <t xml:space="preserve">0001154616088</t>
  </si>
  <si>
    <t xml:space="preserve">E1013</t>
  </si>
  <si>
    <t xml:space="preserve">26/02/2016</t>
  </si>
  <si>
    <t xml:space="preserve">Busisiwe Sibeko</t>
  </si>
  <si>
    <t xml:space="preserve">0011193491088</t>
  </si>
  <si>
    <t xml:space="preserve">E1014</t>
  </si>
  <si>
    <t xml:space="preserve">13/11/2022</t>
  </si>
  <si>
    <t xml:space="preserve">Phila Tshabalala</t>
  </si>
  <si>
    <t xml:space="preserve">7106195886088</t>
  </si>
  <si>
    <t xml:space="preserve">E1015</t>
  </si>
  <si>
    <t xml:space="preserve">07/02/2012</t>
  </si>
  <si>
    <t xml:space="preserve">Pravin Padayachee</t>
  </si>
  <si>
    <t xml:space="preserve">Indian</t>
  </si>
  <si>
    <t xml:space="preserve">8108146146082</t>
  </si>
  <si>
    <t xml:space="preserve">E1016</t>
  </si>
  <si>
    <t xml:space="preserve">04/03/2017</t>
  </si>
  <si>
    <t xml:space="preserve">Precious Maseko</t>
  </si>
  <si>
    <t xml:space="preserve">6808093570083</t>
  </si>
  <si>
    <t xml:space="preserve">E1017</t>
  </si>
  <si>
    <t xml:space="preserve">30/04/2023</t>
  </si>
  <si>
    <t xml:space="preserve">Johan Coetzee</t>
  </si>
  <si>
    <t xml:space="preserve">8108168539081</t>
  </si>
  <si>
    <t xml:space="preserve">E1018</t>
  </si>
  <si>
    <t xml:space="preserve">05/03/2014</t>
  </si>
  <si>
    <t xml:space="preserve">Thabo Mabaso</t>
  </si>
  <si>
    <t xml:space="preserve">8509067079089</t>
  </si>
  <si>
    <t xml:space="preserve">E1019</t>
  </si>
  <si>
    <t xml:space="preserve">22/09/2018</t>
  </si>
  <si>
    <t xml:space="preserve">Phila Buthelezi</t>
  </si>
  <si>
    <t xml:space="preserve">7003166664083</t>
  </si>
  <si>
    <t xml:space="preserve">E1020</t>
  </si>
  <si>
    <t xml:space="preserve">13/06/2012</t>
  </si>
  <si>
    <t xml:space="preserve">Annelise Du Plessis</t>
  </si>
  <si>
    <t xml:space="preserve">8303150997088</t>
  </si>
  <si>
    <t xml:space="preserve">E1021</t>
  </si>
  <si>
    <t xml:space="preserve">03/10/2016</t>
  </si>
  <si>
    <t xml:space="preserve">Phumzile Ndlovu</t>
  </si>
  <si>
    <t xml:space="preserve">7508232928080</t>
  </si>
  <si>
    <t xml:space="preserve">E1022</t>
  </si>
  <si>
    <t xml:space="preserve">10/10/2011</t>
  </si>
  <si>
    <t xml:space="preserve">Katlego Mabaso</t>
  </si>
  <si>
    <t xml:space="preserve">8008165638086</t>
  </si>
  <si>
    <t xml:space="preserve">E1023</t>
  </si>
  <si>
    <t xml:space="preserve">05/05/2021</t>
  </si>
  <si>
    <t xml:space="preserve">Hlengiwe Sithole</t>
  </si>
  <si>
    <t xml:space="preserve">9510013448088</t>
  </si>
  <si>
    <t xml:space="preserve">E1024</t>
  </si>
  <si>
    <t xml:space="preserve">14/01/2021</t>
  </si>
  <si>
    <t xml:space="preserve">Nokuthula Mabaso</t>
  </si>
  <si>
    <t xml:space="preserve">Junior Manager</t>
  </si>
  <si>
    <t xml:space="preserve">9109064215080</t>
  </si>
  <si>
    <t xml:space="preserve">E1025</t>
  </si>
  <si>
    <t xml:space="preserve">07/12/2023</t>
  </si>
  <si>
    <t xml:space="preserve">Vusi Maseko</t>
  </si>
  <si>
    <t xml:space="preserve">9106099078087</t>
  </si>
  <si>
    <t xml:space="preserve">E1026</t>
  </si>
  <si>
    <t xml:space="preserve">22/08/2019</t>
  </si>
  <si>
    <t xml:space="preserve">Sanjay Naicker</t>
  </si>
  <si>
    <t xml:space="preserve">9606276199085</t>
  </si>
  <si>
    <t xml:space="preserve">E1027</t>
  </si>
  <si>
    <t xml:space="preserve">27/08/2024</t>
  </si>
  <si>
    <t xml:space="preserve">Boitumelo Molefe</t>
  </si>
  <si>
    <t xml:space="preserve">8101031916081</t>
  </si>
  <si>
    <t xml:space="preserve">E1028</t>
  </si>
  <si>
    <t xml:space="preserve">01/01/2017</t>
  </si>
  <si>
    <t xml:space="preserve">Lerato Ndlovu</t>
  </si>
  <si>
    <t xml:space="preserve">7707040890082</t>
  </si>
  <si>
    <t xml:space="preserve">E1029</t>
  </si>
  <si>
    <t xml:space="preserve">11/09/2024</t>
  </si>
  <si>
    <t xml:space="preserve">Sandile Mbatha</t>
  </si>
  <si>
    <t xml:space="preserve">7006057502080</t>
  </si>
  <si>
    <t xml:space="preserve">E1030</t>
  </si>
  <si>
    <t xml:space="preserve">17/08/2018</t>
  </si>
  <si>
    <t xml:space="preserve">Tarryn Williams</t>
  </si>
  <si>
    <t xml:space="preserve">9101192004080</t>
  </si>
  <si>
    <t xml:space="preserve">E1031</t>
  </si>
  <si>
    <t xml:space="preserve">09/09/2013</t>
  </si>
  <si>
    <t xml:space="preserve">Suraj Pillay</t>
  </si>
  <si>
    <t xml:space="preserve">8903238121088</t>
  </si>
  <si>
    <t xml:space="preserve">E1032</t>
  </si>
  <si>
    <t xml:space="preserve">14/06/2016</t>
  </si>
  <si>
    <t xml:space="preserve">Byron September</t>
  </si>
  <si>
    <t xml:space="preserve">7610169035085</t>
  </si>
  <si>
    <t xml:space="preserve">E1033</t>
  </si>
  <si>
    <t xml:space="preserve">16/11/2019</t>
  </si>
  <si>
    <t xml:space="preserve">Busisiwe Ngcobo</t>
  </si>
  <si>
    <t xml:space="preserve">9209250053087</t>
  </si>
  <si>
    <t xml:space="preserve">E1034</t>
  </si>
  <si>
    <t xml:space="preserve">19/05/2019</t>
  </si>
  <si>
    <t xml:space="preserve">Nkosana Sibeko</t>
  </si>
  <si>
    <t xml:space="preserve">8810058628086</t>
  </si>
  <si>
    <t xml:space="preserve">E1035</t>
  </si>
  <si>
    <t xml:space="preserve">02/02/2015</t>
  </si>
  <si>
    <t xml:space="preserve">Precious Mbatha</t>
  </si>
  <si>
    <t xml:space="preserve">9012154921080</t>
  </si>
  <si>
    <t xml:space="preserve">E1036</t>
  </si>
  <si>
    <t xml:space="preserve">23/05/2020</t>
  </si>
  <si>
    <t xml:space="preserve">Boitumelo Mbatha</t>
  </si>
  <si>
    <t xml:space="preserve">9009140779085</t>
  </si>
  <si>
    <t xml:space="preserve">E1037</t>
  </si>
  <si>
    <t xml:space="preserve">25/10/2018</t>
  </si>
  <si>
    <t xml:space="preserve">Riaan Van der Merwe</t>
  </si>
  <si>
    <t xml:space="preserve">8302127005082</t>
  </si>
  <si>
    <t xml:space="preserve">E1038</t>
  </si>
  <si>
    <t xml:space="preserve">21/03/2021</t>
  </si>
  <si>
    <t xml:space="preserve">Dineo Molefe</t>
  </si>
  <si>
    <t xml:space="preserve">9610120587081</t>
  </si>
  <si>
    <t xml:space="preserve">E1039</t>
  </si>
  <si>
    <t xml:space="preserve">16/06/2014</t>
  </si>
  <si>
    <t xml:space="preserve">Katlego Tshabalala</t>
  </si>
  <si>
    <t xml:space="preserve">7004059192083</t>
  </si>
  <si>
    <t xml:space="preserve">E1040</t>
  </si>
  <si>
    <t xml:space="preserve">20/06/2019</t>
  </si>
  <si>
    <t xml:space="preserve">Vusi Radebe</t>
  </si>
  <si>
    <t xml:space="preserve">Semi-skilled</t>
  </si>
  <si>
    <t xml:space="preserve">6803245345088</t>
  </si>
  <si>
    <t xml:space="preserve">E1041</t>
  </si>
  <si>
    <t xml:space="preserve">30/07/2012</t>
  </si>
  <si>
    <t xml:space="preserve">Deshen Chetty</t>
  </si>
  <si>
    <t xml:space="preserve">9601256034089</t>
  </si>
  <si>
    <t xml:space="preserve">E1042</t>
  </si>
  <si>
    <t xml:space="preserve">17/03/2014</t>
  </si>
  <si>
    <t xml:space="preserve">Khanyisile Nkosi</t>
  </si>
  <si>
    <t xml:space="preserve">8606284156086</t>
  </si>
  <si>
    <t xml:space="preserve">E1043</t>
  </si>
  <si>
    <t xml:space="preserve">28/07/2023</t>
  </si>
  <si>
    <t xml:space="preserve">Palesa Mbatha</t>
  </si>
  <si>
    <t xml:space="preserve">6901153607083</t>
  </si>
  <si>
    <t xml:space="preserve">E1044</t>
  </si>
  <si>
    <t xml:space="preserve">26/05/2019</t>
  </si>
  <si>
    <t xml:space="preserve">Ayanda Khoza</t>
  </si>
  <si>
    <t xml:space="preserve">8806142442088</t>
  </si>
  <si>
    <t xml:space="preserve">E1045</t>
  </si>
  <si>
    <t xml:space="preserve">19/06/2020</t>
  </si>
  <si>
    <t xml:space="preserve">9607258600082</t>
  </si>
  <si>
    <t xml:space="preserve">E1046</t>
  </si>
  <si>
    <t xml:space="preserve">08/04/2018</t>
  </si>
  <si>
    <t xml:space="preserve">Mpho Sibeko</t>
  </si>
  <si>
    <t xml:space="preserve">9604188281083</t>
  </si>
  <si>
    <t xml:space="preserve">E1047</t>
  </si>
  <si>
    <t xml:space="preserve">06/09/2021</t>
  </si>
  <si>
    <t xml:space="preserve">Zanele Khumalo</t>
  </si>
  <si>
    <t xml:space="preserve">8706120315084</t>
  </si>
  <si>
    <t xml:space="preserve">E1048</t>
  </si>
  <si>
    <t xml:space="preserve">09/01/2022</t>
  </si>
  <si>
    <t xml:space="preserve">Thabo Mahlangu</t>
  </si>
  <si>
    <t xml:space="preserve">7707168544081</t>
  </si>
  <si>
    <t xml:space="preserve">E1049</t>
  </si>
  <si>
    <t xml:space="preserve">09/06/2015</t>
  </si>
  <si>
    <t xml:space="preserve">8603070083087</t>
  </si>
  <si>
    <t xml:space="preserve">E1050</t>
  </si>
  <si>
    <t xml:space="preserve">30/05/2024</t>
  </si>
  <si>
    <t xml:space="preserve">Sandile Mabaso</t>
  </si>
  <si>
    <t xml:space="preserve">9409266807084</t>
  </si>
  <si>
    <t xml:space="preserve">E1051</t>
  </si>
  <si>
    <t xml:space="preserve">09/01/2019</t>
  </si>
  <si>
    <t xml:space="preserve">Yusuf Singh</t>
  </si>
  <si>
    <t xml:space="preserve">7105155695083</t>
  </si>
  <si>
    <t xml:space="preserve">E1052</t>
  </si>
  <si>
    <t xml:space="preserve">06/09/2014</t>
  </si>
  <si>
    <t xml:space="preserve">Karien Coetzee</t>
  </si>
  <si>
    <t xml:space="preserve">8408101742085</t>
  </si>
  <si>
    <t xml:space="preserve">E1053</t>
  </si>
  <si>
    <t xml:space="preserve">04/02/2018</t>
  </si>
  <si>
    <t xml:space="preserve">Bradley Arendse</t>
  </si>
  <si>
    <t xml:space="preserve">6906015142088</t>
  </si>
  <si>
    <t xml:space="preserve">E1054</t>
  </si>
  <si>
    <t xml:space="preserve">20/12/2024</t>
  </si>
  <si>
    <t xml:space="preserve">Busisiwe Dlamini</t>
  </si>
  <si>
    <t xml:space="preserve">8602130148088</t>
  </si>
  <si>
    <t xml:space="preserve">E1055</t>
  </si>
  <si>
    <t xml:space="preserve">04/03/2023</t>
  </si>
  <si>
    <t xml:space="preserve">Zinhle Maluleke</t>
  </si>
  <si>
    <t xml:space="preserve">7610254783086</t>
  </si>
  <si>
    <t xml:space="preserve">E1056</t>
  </si>
  <si>
    <t xml:space="preserve">06/06/2020</t>
  </si>
  <si>
    <t xml:space="preserve">Wesley Adams</t>
  </si>
  <si>
    <t xml:space="preserve">8009157964084</t>
  </si>
  <si>
    <t xml:space="preserve">E1057</t>
  </si>
  <si>
    <t xml:space="preserve">07/01/2018</t>
  </si>
  <si>
    <t xml:space="preserve">Mmabatho Dlamini</t>
  </si>
  <si>
    <t xml:space="preserve">7611233081089</t>
  </si>
  <si>
    <t xml:space="preserve">E1058</t>
  </si>
  <si>
    <t xml:space="preserve">18/01/2025</t>
  </si>
  <si>
    <t xml:space="preserve">Themba Maluleke</t>
  </si>
  <si>
    <t xml:space="preserve">Unskilled</t>
  </si>
  <si>
    <t xml:space="preserve">7807208386087</t>
  </si>
  <si>
    <t xml:space="preserve">E1059</t>
  </si>
  <si>
    <t xml:space="preserve">10/12/2023</t>
  </si>
  <si>
    <t xml:space="preserve">Oupa Khumalo</t>
  </si>
  <si>
    <t xml:space="preserve">8507078388085</t>
  </si>
  <si>
    <t xml:space="preserve">E1060</t>
  </si>
  <si>
    <t xml:space="preserve">06/11/2011</t>
  </si>
  <si>
    <t xml:space="preserve">Katlego Buthelezi</t>
  </si>
  <si>
    <t xml:space="preserve">8811156893085</t>
  </si>
  <si>
    <t xml:space="preserve">E1061</t>
  </si>
  <si>
    <t xml:space="preserve">05/04/2019</t>
  </si>
  <si>
    <t xml:space="preserve">Oupa Zulu</t>
  </si>
  <si>
    <t xml:space="preserve">6702026923081</t>
  </si>
  <si>
    <t xml:space="preserve">E1062</t>
  </si>
  <si>
    <t xml:space="preserve">30/10/2015</t>
  </si>
  <si>
    <t xml:space="preserve">Nosipho Khoza</t>
  </si>
  <si>
    <t xml:space="preserve">8909104210087</t>
  </si>
  <si>
    <t xml:space="preserve">E1063</t>
  </si>
  <si>
    <t xml:space="preserve">27/02/2017</t>
  </si>
  <si>
    <t xml:space="preserve">Marius Joubert</t>
  </si>
  <si>
    <t xml:space="preserve">7504225484082</t>
  </si>
  <si>
    <t xml:space="preserve">E1064</t>
  </si>
  <si>
    <t xml:space="preserve">22/08/2020</t>
  </si>
  <si>
    <t xml:space="preserve">Candice Fortuin</t>
  </si>
  <si>
    <t xml:space="preserve">9707171996086</t>
  </si>
  <si>
    <t xml:space="preserve">E1065</t>
  </si>
  <si>
    <t xml:space="preserve">18/08/2012</t>
  </si>
  <si>
    <t xml:space="preserve">Tshepo Ndlovu</t>
  </si>
  <si>
    <t xml:space="preserve">8805137361089</t>
  </si>
  <si>
    <t xml:space="preserve">E1066</t>
  </si>
  <si>
    <t xml:space="preserve">21/05/2025</t>
  </si>
  <si>
    <t xml:space="preserve">Palesa Buthelezi</t>
  </si>
  <si>
    <t xml:space="preserve">6901250090084</t>
  </si>
  <si>
    <t xml:space="preserve">E1067</t>
  </si>
  <si>
    <t xml:space="preserve">21/08/2022</t>
  </si>
  <si>
    <t xml:space="preserve">Phumzile Mbatha</t>
  </si>
  <si>
    <t xml:space="preserve">9306024169080</t>
  </si>
  <si>
    <t xml:space="preserve">E1068</t>
  </si>
  <si>
    <t xml:space="preserve">03/09/2021</t>
  </si>
  <si>
    <t xml:space="preserve">Khanyisile Maseko</t>
  </si>
  <si>
    <t xml:space="preserve">9905201044089</t>
  </si>
  <si>
    <t xml:space="preserve">E1069</t>
  </si>
  <si>
    <t xml:space="preserve">14/04/2025</t>
  </si>
  <si>
    <t xml:space="preserve">Boitumelo Buthelezi</t>
  </si>
  <si>
    <t xml:space="preserve">8002010600086</t>
  </si>
  <si>
    <t xml:space="preserve">E1070</t>
  </si>
  <si>
    <t xml:space="preserve">26/08/2012</t>
  </si>
  <si>
    <t xml:space="preserve">Skills Development</t>
  </si>
  <si>
    <t xml:space="preserve">Training Program Name *</t>
  </si>
  <si>
    <t xml:space="preserve">Category *</t>
  </si>
  <si>
    <t xml:space="preserve">Training Provider</t>
  </si>
  <si>
    <t xml:space="preserve">Province</t>
  </si>
  <si>
    <t xml:space="preserve">Municipality</t>
  </si>
  <si>
    <t xml:space="preserve">Learner Name *</t>
  </si>
  <si>
    <t xml:space="preserve">Age</t>
  </si>
  <si>
    <t xml:space="preserve">Employed?</t>
  </si>
  <si>
    <t xml:space="preserve">Completed?</t>
  </si>
  <si>
    <t xml:space="preserve">Absorbed?</t>
  </si>
  <si>
    <t xml:space="preserve">Course Cost</t>
  </si>
  <si>
    <t xml:space="preserve">Travel Cost</t>
  </si>
  <si>
    <t xml:space="preserve">Accommodation Cost</t>
  </si>
  <si>
    <t xml:space="preserve">Catering Cost</t>
  </si>
  <si>
    <t xml:space="preserve">Stationery Cost</t>
  </si>
  <si>
    <t xml:space="preserve">Training Facility Cost</t>
  </si>
  <si>
    <t xml:space="preserve">Salary Cost (category B,C,D only)</t>
  </si>
  <si>
    <t xml:space="preserve">Other Costs</t>
  </si>
  <si>
    <t xml:space="preserve">Start Date (format: dd/mm/yyyy)</t>
  </si>
  <si>
    <t xml:space="preserve">End Date (format: dd/mm/yyyy)</t>
  </si>
  <si>
    <t xml:space="preserve">Custom Data</t>
  </si>
  <si>
    <t xml:space="preserve">Man hours</t>
  </si>
  <si>
    <t xml:space="preserve">Location</t>
  </si>
  <si>
    <t xml:space="preserve">Business Unit</t>
  </si>
  <si>
    <t xml:space="preserve">NQF5 Banking Operations</t>
  </si>
  <si>
    <t xml:space="preserve">B</t>
  </si>
  <si>
    <t xml:space="preserve">Okiru Skills Academy</t>
  </si>
  <si>
    <t xml:space="preserve">Kwazulu-Natal</t>
  </si>
  <si>
    <t xml:space="preserve">Kwazulu-Natal Metro</t>
  </si>
  <si>
    <t xml:space="preserve">Sindiswa Maseko</t>
  </si>
  <si>
    <t xml:space="preserve">7004101844087</t>
  </si>
  <si>
    <t xml:space="preserve">15/01/2025</t>
  </si>
  <si>
    <t xml:space="preserve">30/11/2025</t>
  </si>
  <si>
    <t xml:space="preserve">Operations</t>
  </si>
  <si>
    <t xml:space="preserve">Western Cape</t>
  </si>
  <si>
    <t xml:space="preserve">Western Cape Metro</t>
  </si>
  <si>
    <t xml:space="preserve">6706125687083</t>
  </si>
  <si>
    <t xml:space="preserve">On-the-job Coaching</t>
  </si>
  <si>
    <t xml:space="preserve">E</t>
  </si>
  <si>
    <t xml:space="preserve">Hendrik Botha</t>
  </si>
  <si>
    <t xml:space="preserve">7101196704083</t>
  </si>
  <si>
    <t xml:space="preserve">Workplace Compliance Programme</t>
  </si>
  <si>
    <t xml:space="preserve">D</t>
  </si>
  <si>
    <t xml:space="preserve">North West</t>
  </si>
  <si>
    <t xml:space="preserve">North West Metro</t>
  </si>
  <si>
    <t xml:space="preserve">Lucky Khoza</t>
  </si>
  <si>
    <t xml:space="preserve">9401078906089</t>
  </si>
  <si>
    <t xml:space="preserve">FAIS Induction</t>
  </si>
  <si>
    <t xml:space="preserve">F</t>
  </si>
  <si>
    <t xml:space="preserve">Gauteng</t>
  </si>
  <si>
    <t xml:space="preserve">Gauteng Metro</t>
  </si>
  <si>
    <t xml:space="preserve">Suraj Reddy</t>
  </si>
  <si>
    <t xml:space="preserve">9911156060088</t>
  </si>
  <si>
    <t xml:space="preserve">Mpumalanga</t>
  </si>
  <si>
    <t xml:space="preserve">Mpumalanga Metro</t>
  </si>
  <si>
    <t xml:space="preserve">Lindiwe Sithole</t>
  </si>
  <si>
    <t xml:space="preserve">9812124578088</t>
  </si>
  <si>
    <t xml:space="preserve">Northern Cape</t>
  </si>
  <si>
    <t xml:space="preserve">Northern Cape Metro</t>
  </si>
  <si>
    <t xml:space="preserve">Sindiswa Sithole</t>
  </si>
  <si>
    <t xml:space="preserve">9712204494083</t>
  </si>
  <si>
    <t xml:space="preserve">Financial Services Learnership</t>
  </si>
  <si>
    <t xml:space="preserve">C</t>
  </si>
  <si>
    <t xml:space="preserve">Free State</t>
  </si>
  <si>
    <t xml:space="preserve">Free State Metro</t>
  </si>
  <si>
    <t xml:space="preserve">Bheki Nkosi</t>
  </si>
  <si>
    <t xml:space="preserve">6903027142081</t>
  </si>
  <si>
    <t xml:space="preserve">7410013580083</t>
  </si>
  <si>
    <t xml:space="preserve">Informal Mentorship</t>
  </si>
  <si>
    <t xml:space="preserve">G</t>
  </si>
  <si>
    <t xml:space="preserve">Limpopo</t>
  </si>
  <si>
    <t xml:space="preserve">Limpopo Metro</t>
  </si>
  <si>
    <t xml:space="preserve">Ayanda Maluleke</t>
  </si>
  <si>
    <t xml:space="preserve">6906123911085</t>
  </si>
  <si>
    <t xml:space="preserve">Thandeka Mabaso</t>
  </si>
  <si>
    <t xml:space="preserve">0506121268086</t>
  </si>
  <si>
    <t xml:space="preserve">Hlengiwe Khumalo</t>
  </si>
  <si>
    <t xml:space="preserve">9310032928081</t>
  </si>
  <si>
    <t xml:space="preserve">Charmaine Adams</t>
  </si>
  <si>
    <t xml:space="preserve">6810144943087</t>
  </si>
  <si>
    <t xml:space="preserve">Bheki Ngcobo</t>
  </si>
  <si>
    <t xml:space="preserve">0201229825082</t>
  </si>
  <si>
    <t xml:space="preserve">Kagiso Mahlangu</t>
  </si>
  <si>
    <t xml:space="preserve">7806108696082</t>
  </si>
  <si>
    <t xml:space="preserve">Financial Services Bursary</t>
  </si>
  <si>
    <t xml:space="preserve">A</t>
  </si>
  <si>
    <t xml:space="preserve">Nkosana Mahlangu</t>
  </si>
  <si>
    <t xml:space="preserve">0010256679084</t>
  </si>
  <si>
    <t xml:space="preserve">Elsabe Botha</t>
  </si>
  <si>
    <t xml:space="preserve">7212224898084</t>
  </si>
  <si>
    <t xml:space="preserve">Nonhlanhla Zulu</t>
  </si>
  <si>
    <t xml:space="preserve">0109113488083</t>
  </si>
  <si>
    <t xml:space="preserve">Sipho Maluleke</t>
  </si>
  <si>
    <t xml:space="preserve">9610279159088</t>
  </si>
  <si>
    <t xml:space="preserve">Logan Naidoo</t>
  </si>
  <si>
    <t xml:space="preserve">0003258125081</t>
  </si>
  <si>
    <t xml:space="preserve">Gift Sithole</t>
  </si>
  <si>
    <t xml:space="preserve">6701269921083</t>
  </si>
  <si>
    <t xml:space="preserve">Lungelo Khumalo</t>
  </si>
  <si>
    <t xml:space="preserve">7605127028081</t>
  </si>
  <si>
    <t xml:space="preserve">Thabo Zulu</t>
  </si>
  <si>
    <t xml:space="preserve">7007076288081</t>
  </si>
  <si>
    <t xml:space="preserve">Musa Nkosi</t>
  </si>
  <si>
    <t xml:space="preserve">7306197449089</t>
  </si>
  <si>
    <t xml:space="preserve">Sipho Khoza</t>
  </si>
  <si>
    <t xml:space="preserve">8706266121080</t>
  </si>
  <si>
    <t xml:space="preserve">Mandla Ngcobo</t>
  </si>
  <si>
    <t xml:space="preserve">0204076816089</t>
  </si>
  <si>
    <t xml:space="preserve">Lehlohonolo Mokoena</t>
  </si>
  <si>
    <t xml:space="preserve">9410076284084</t>
  </si>
  <si>
    <t xml:space="preserve">Eastern Cape</t>
  </si>
  <si>
    <t xml:space="preserve">Eastern Cape Metro</t>
  </si>
  <si>
    <t xml:space="preserve">Naadir Naidoo</t>
  </si>
  <si>
    <t xml:space="preserve">9812199688085</t>
  </si>
  <si>
    <t xml:space="preserve">Carike Nel</t>
  </si>
  <si>
    <t xml:space="preserve">7212263489084</t>
  </si>
  <si>
    <t xml:space="preserve">Lehlohonolo Nkosi</t>
  </si>
  <si>
    <t xml:space="preserve">0308157192086</t>
  </si>
  <si>
    <t xml:space="preserve">Naledi Zulu</t>
  </si>
  <si>
    <t xml:space="preserve">0309111839085</t>
  </si>
  <si>
    <t xml:space="preserve">Palesa Mahlangu</t>
  </si>
  <si>
    <t xml:space="preserve">9708140647081</t>
  </si>
  <si>
    <t xml:space="preserve">Sandile Buthelezi</t>
  </si>
  <si>
    <t xml:space="preserve">7101186316088</t>
  </si>
  <si>
    <t xml:space="preserve">Precious Mabaso</t>
  </si>
  <si>
    <t xml:space="preserve">7011171647084</t>
  </si>
  <si>
    <t xml:space="preserve">Werner Fourie</t>
  </si>
  <si>
    <t xml:space="preserve">9301019558082</t>
  </si>
  <si>
    <t xml:space="preserve">Preferential Procurement</t>
  </si>
  <si>
    <t xml:space="preserve">Supplier Name *</t>
  </si>
  <si>
    <t xml:space="preserve">Current Company Size *</t>
  </si>
  <si>
    <t xml:space="preserve">B-BBEE Level</t>
  </si>
  <si>
    <t xml:space="preserve">VAT Number</t>
  </si>
  <si>
    <t xml:space="preserve">Measured Under (CoGP/RCoGP)</t>
  </si>
  <si>
    <t xml:space="preserve">Empowering Supplier? (Yes/No)</t>
  </si>
  <si>
    <t xml:space="preserve">Date of first procurement (format: dd/mm/yyyy)</t>
  </si>
  <si>
    <t xml:space="preserve">Size at first procurement</t>
  </si>
  <si>
    <t xml:space="preserve">Current Black ownership</t>
  </si>
  <si>
    <t xml:space="preserve">Current Black Female ownership</t>
  </si>
  <si>
    <t xml:space="preserve">Has modified Black ownership? (Yes/No)</t>
  </si>
  <si>
    <t xml:space="preserve">Unmodified Black ownership</t>
  </si>
  <si>
    <t xml:space="preserve">Supplier development recipient? (Yes/No)</t>
  </si>
  <si>
    <t xml:space="preserve">3 year contract in place? (Yes/No)</t>
  </si>
  <si>
    <t xml:space="preserve">Designated? (Yes/No)</t>
  </si>
  <si>
    <t xml:space="preserve">Spend *</t>
  </si>
  <si>
    <t xml:space="preserve">Certificate Expiry Date (format: dd/mm/yyyy)</t>
  </si>
  <si>
    <t xml:space="preserve">Khanyisa Engineering (Pty) Ltd</t>
  </si>
  <si>
    <t xml:space="preserve">EME</t>
  </si>
  <si>
    <t xml:space="preserve">1</t>
  </si>
  <si>
    <t xml:space="preserve">4126314473</t>
  </si>
  <si>
    <t xml:space="preserve">RCoGP</t>
  </si>
  <si>
    <t xml:space="preserve">03/02/2020</t>
  </si>
  <si>
    <t xml:space="preserve">Procurement</t>
  </si>
  <si>
    <t xml:space="preserve">31/03/2026</t>
  </si>
  <si>
    <t xml:space="preserve">Cape Engineering (Pty) Ltd</t>
  </si>
  <si>
    <t xml:space="preserve">QSE</t>
  </si>
  <si>
    <t xml:space="preserve">4</t>
  </si>
  <si>
    <t xml:space="preserve">4335577346</t>
  </si>
  <si>
    <t xml:space="preserve">Kgwele Distributors (Pty) Ltd</t>
  </si>
  <si>
    <t xml:space="preserve">Large</t>
  </si>
  <si>
    <t xml:space="preserve">2</t>
  </si>
  <si>
    <t xml:space="preserve">4200842135</t>
  </si>
  <si>
    <t xml:space="preserve">Masakhane Trading (Pty) Ltd</t>
  </si>
  <si>
    <t xml:space="preserve">4305764986</t>
  </si>
  <si>
    <t xml:space="preserve">Group</t>
  </si>
  <si>
    <t xml:space="preserve">Vukani Supplies (Pty) Ltd</t>
  </si>
  <si>
    <t xml:space="preserve">4294579920</t>
  </si>
  <si>
    <t xml:space="preserve">Kgwele Engineering (Pty) Ltd</t>
  </si>
  <si>
    <t xml:space="preserve">6</t>
  </si>
  <si>
    <t xml:space="preserve">4142957858</t>
  </si>
  <si>
    <t xml:space="preserve">Imvula Projects (Pty) Ltd</t>
  </si>
  <si>
    <t xml:space="preserve">4331790394</t>
  </si>
  <si>
    <t xml:space="preserve">Amandla Advisory (Pty) Ltd</t>
  </si>
  <si>
    <t xml:space="preserve">5</t>
  </si>
  <si>
    <t xml:space="preserve">4161629965</t>
  </si>
  <si>
    <t xml:space="preserve">Sandton Solutions (Pty) Ltd</t>
  </si>
  <si>
    <t xml:space="preserve">3</t>
  </si>
  <si>
    <t xml:space="preserve">4489820997</t>
  </si>
  <si>
    <t xml:space="preserve">Kgwele Projects (Pty) Ltd</t>
  </si>
  <si>
    <t xml:space="preserve">4436917654</t>
  </si>
  <si>
    <t xml:space="preserve">Amandla Engineering (Pty) Ltd</t>
  </si>
  <si>
    <t xml:space="preserve">4120428437</t>
  </si>
  <si>
    <t xml:space="preserve">Kgwele Supplies (Pty) Ltd</t>
  </si>
  <si>
    <t xml:space="preserve">4462729838</t>
  </si>
  <si>
    <t xml:space="preserve">Kusile Services (Pty) Ltd</t>
  </si>
  <si>
    <t xml:space="preserve">4248319063</t>
  </si>
  <si>
    <t xml:space="preserve">Morester Solutions (Pty) Ltd</t>
  </si>
  <si>
    <t xml:space="preserve">4322259676</t>
  </si>
  <si>
    <t xml:space="preserve">Vukani Holdings (Pty) Ltd</t>
  </si>
  <si>
    <t xml:space="preserve">4470588209</t>
  </si>
  <si>
    <t xml:space="preserve">Cape Industrial (Pty) Ltd</t>
  </si>
  <si>
    <t xml:space="preserve">4474916499</t>
  </si>
  <si>
    <t xml:space="preserve">Sandton Holdings (Pty) Ltd</t>
  </si>
  <si>
    <t xml:space="preserve">4432400124</t>
  </si>
  <si>
    <t xml:space="preserve">Kusile Supplies (Pty) Ltd</t>
  </si>
  <si>
    <t xml:space="preserve">4300600172</t>
  </si>
  <si>
    <t xml:space="preserve">Tshwaranang Solutions (Pty) Ltd</t>
  </si>
  <si>
    <t xml:space="preserve">4301430246</t>
  </si>
  <si>
    <t xml:space="preserve">Highveld Distributors (Pty) Ltd</t>
  </si>
  <si>
    <t xml:space="preserve">4145529916</t>
  </si>
  <si>
    <t xml:space="preserve">Bophelo Trading (Pty) Ltd</t>
  </si>
  <si>
    <t xml:space="preserve">4358953115</t>
  </si>
  <si>
    <t xml:space="preserve">Bokamoso Group (Pty) Ltd</t>
  </si>
  <si>
    <t xml:space="preserve">4324919480</t>
  </si>
  <si>
    <t xml:space="preserve">Masakhane Holdings (Pty) Ltd</t>
  </si>
  <si>
    <t xml:space="preserve">4323523406</t>
  </si>
  <si>
    <t xml:space="preserve">Phakama Engineering (Pty) Ltd</t>
  </si>
  <si>
    <t xml:space="preserve">4442533234</t>
  </si>
  <si>
    <t xml:space="preserve">Kusile Solutions (Pty) Ltd</t>
  </si>
  <si>
    <t xml:space="preserve">4292355050</t>
  </si>
  <si>
    <t xml:space="preserve">Umoya Industrial (Pty) Ltd</t>
  </si>
  <si>
    <t xml:space="preserve">4260960495</t>
  </si>
  <si>
    <t xml:space="preserve">Kgwele Group (Pty) Ltd</t>
  </si>
  <si>
    <t xml:space="preserve">Non-compliant</t>
  </si>
  <si>
    <t xml:space="preserve">4371662722</t>
  </si>
  <si>
    <t xml:space="preserve">Khanyisa Logistics (Pty) Ltd</t>
  </si>
  <si>
    <t xml:space="preserve">4440319202</t>
  </si>
  <si>
    <t xml:space="preserve">Siyakha Holdings (Pty) Ltd</t>
  </si>
  <si>
    <t xml:space="preserve">4111918286</t>
  </si>
  <si>
    <t xml:space="preserve">Phakama Industrial (Pty) Ltd</t>
  </si>
  <si>
    <t xml:space="preserve">4484820315</t>
  </si>
  <si>
    <t xml:space="preserve">Imvula Engineering (Pty) Ltd</t>
  </si>
  <si>
    <t xml:space="preserve">4423816152</t>
  </si>
  <si>
    <t xml:space="preserve">Imvula Services (Pty) Ltd</t>
  </si>
  <si>
    <t xml:space="preserve">4331133699</t>
  </si>
  <si>
    <t xml:space="preserve">Sebenza Services (Pty) Ltd</t>
  </si>
  <si>
    <t xml:space="preserve">4393298757</t>
  </si>
  <si>
    <t xml:space="preserve">Masakhane Engineering (Pty) Ltd</t>
  </si>
  <si>
    <t xml:space="preserve">4139185752</t>
  </si>
  <si>
    <t xml:space="preserve">Thembekile Supplies (Pty) Ltd</t>
  </si>
  <si>
    <t xml:space="preserve">4319309147</t>
  </si>
  <si>
    <t xml:space="preserve">Rise Holdings (Pty) Ltd</t>
  </si>
  <si>
    <t xml:space="preserve">4379440420</t>
  </si>
  <si>
    <t xml:space="preserve">Sebenza Group (Pty) Ltd</t>
  </si>
  <si>
    <t xml:space="preserve">4426392192</t>
  </si>
  <si>
    <t xml:space="preserve">Bokamoso Solutions (Pty) Ltd</t>
  </si>
  <si>
    <t xml:space="preserve">4106370301</t>
  </si>
  <si>
    <t xml:space="preserve">Rise Industrial (Pty) Ltd</t>
  </si>
  <si>
    <t xml:space="preserve">4359769485</t>
  </si>
  <si>
    <t xml:space="preserve">Thembekile Trading (Pty) Ltd</t>
  </si>
  <si>
    <t xml:space="preserve">4296543868</t>
  </si>
  <si>
    <t xml:space="preserve">Bophelo Advisory (Pty) Ltd</t>
  </si>
  <si>
    <t xml:space="preserve">4213836649</t>
  </si>
  <si>
    <t xml:space="preserve">Drakens Advisory (Pty) Ltd</t>
  </si>
  <si>
    <t xml:space="preserve">4165750060</t>
  </si>
  <si>
    <t xml:space="preserve">Cape Supplies (Pty) Ltd</t>
  </si>
  <si>
    <t xml:space="preserve">4220175317</t>
  </si>
  <si>
    <t xml:space="preserve">Letsema Solutions (Pty) Ltd</t>
  </si>
  <si>
    <t xml:space="preserve">8</t>
  </si>
  <si>
    <t xml:space="preserve">4169544504</t>
  </si>
  <si>
    <t xml:space="preserve">Vukani Industrial (Pty) Ltd</t>
  </si>
  <si>
    <t xml:space="preserve">4387704661</t>
  </si>
  <si>
    <t xml:space="preserve">Rise Services (Pty) Ltd</t>
  </si>
  <si>
    <t xml:space="preserve">4435534659</t>
  </si>
  <si>
    <t xml:space="preserve">Highveld Holdings (Pty) Ltd</t>
  </si>
  <si>
    <t xml:space="preserve">4424361745</t>
  </si>
  <si>
    <t xml:space="preserve">Sandton Logistics (Pty) Ltd</t>
  </si>
  <si>
    <t xml:space="preserve">4118965844</t>
  </si>
  <si>
    <t xml:space="preserve">Sizanani Trading (Pty) Ltd</t>
  </si>
  <si>
    <t xml:space="preserve">4160553302</t>
  </si>
  <si>
    <t xml:space="preserve">Imvula Holdings (Pty) Ltd</t>
  </si>
  <si>
    <t xml:space="preserve">4188336495</t>
  </si>
  <si>
    <t xml:space="preserve">Sandton Group (Pty) Ltd</t>
  </si>
  <si>
    <t xml:space="preserve">4292946180</t>
  </si>
  <si>
    <t xml:space="preserve">Rise Supplies (Pty) Ltd</t>
  </si>
  <si>
    <t xml:space="preserve">4427649694</t>
  </si>
  <si>
    <t xml:space="preserve">Khanyisa Group (Pty) Ltd</t>
  </si>
  <si>
    <t xml:space="preserve">4429765253</t>
  </si>
  <si>
    <t xml:space="preserve">Phakama Logistics (Pty) Ltd</t>
  </si>
  <si>
    <t xml:space="preserve">4325820985</t>
  </si>
  <si>
    <t xml:space="preserve">Cape Advisory (Pty) Ltd</t>
  </si>
  <si>
    <t xml:space="preserve">4100676519</t>
  </si>
  <si>
    <t xml:space="preserve">Sebenza Projects (Pty) Ltd</t>
  </si>
  <si>
    <t xml:space="preserve">4146734587</t>
  </si>
  <si>
    <t xml:space="preserve">Morester Advisory (Pty) Ltd</t>
  </si>
  <si>
    <t xml:space="preserve">4132887312</t>
  </si>
  <si>
    <t xml:space="preserve">Letsema Industrial (Pty) Ltd</t>
  </si>
  <si>
    <t xml:space="preserve">4325162505</t>
  </si>
  <si>
    <t xml:space="preserve">Kgwele Services (Pty) Ltd</t>
  </si>
  <si>
    <t xml:space="preserve">4393703905</t>
  </si>
  <si>
    <t xml:space="preserve">Tshwaranang Supplies (Pty) Ltd</t>
  </si>
  <si>
    <t xml:space="preserve">4289349705</t>
  </si>
  <si>
    <t xml:space="preserve">Supplier Development</t>
  </si>
  <si>
    <t xml:space="preserve">Current black ownership *</t>
  </si>
  <si>
    <t xml:space="preserve">Current size *</t>
  </si>
  <si>
    <t xml:space="preserve">Contribution Description*</t>
  </si>
  <si>
    <t xml:space="preserve">Date of Transaction (format: dd/mm/yyyy)</t>
  </si>
  <si>
    <t xml:space="preserve">Contribution Type *</t>
  </si>
  <si>
    <t xml:space="preserve">Amount *</t>
  </si>
  <si>
    <t xml:space="preserve">Invoice date (format: dd/mm/yyyy)</t>
  </si>
  <si>
    <t xml:space="preserve">Payment date (format: dd/mm/yyyy)</t>
  </si>
  <si>
    <t xml:space="preserve">Prime Rate</t>
  </si>
  <si>
    <t xml:space="preserve">Actual Rate</t>
  </si>
  <si>
    <t xml:space="preserve">Sebenza Trading (Pty) Ltd</t>
  </si>
  <si>
    <t xml:space="preserve">SD beneficiary (existing supplier): Interest-free working capital loan</t>
  </si>
  <si>
    <t xml:space="preserve">12/06/2025</t>
  </si>
  <si>
    <t xml:space="preserve">Loan</t>
  </si>
  <si>
    <t xml:space="preserve">10/07/2025</t>
  </si>
  <si>
    <t xml:space="preserve">ESD</t>
  </si>
  <si>
    <t xml:space="preserve">Bophelo Logistics (Pty) Ltd</t>
  </si>
  <si>
    <t xml:space="preserve">SD beneficiary (existing supplier): Early-payment programme (30-day terms)</t>
  </si>
  <si>
    <t xml:space="preserve">Early payment</t>
  </si>
  <si>
    <t xml:space="preserve">Letsema Logistics (Pty) Ltd</t>
  </si>
  <si>
    <t xml:space="preserve">SD beneficiary (existing supplier): Free ERP licences and onboarding</t>
  </si>
  <si>
    <t xml:space="preserve">Grant</t>
  </si>
  <si>
    <t xml:space="preserve">Drakens Distributors (Pty) Ltd</t>
  </si>
  <si>
    <t xml:space="preserve">SD beneficiary (existing supplier): Subsidised machinery lease</t>
  </si>
  <si>
    <t xml:space="preserve">Discount</t>
  </si>
  <si>
    <t xml:space="preserve">Letsema Services (Pty) Ltd</t>
  </si>
  <si>
    <t xml:space="preserve">SD beneficiary (existing supplier): Mentorship and systems support</t>
  </si>
  <si>
    <t xml:space="preserve">Professional services</t>
  </si>
  <si>
    <t xml:space="preserve">Umoya Projects (Pty) Ltd</t>
  </si>
  <si>
    <t xml:space="preserve">SD beneficiary (existing supplier): Bulk-buying discount facility</t>
  </si>
  <si>
    <t xml:space="preserve">Highveld Engineering (Pty) Ltd</t>
  </si>
  <si>
    <t xml:space="preserve">ENTERPRISE DEVELOPMENT (non-supplier beneficiary): Seed grant to black-owned start-up</t>
  </si>
  <si>
    <t xml:space="preserve">Umoya Group (Pty) Ltd</t>
  </si>
  <si>
    <t xml:space="preserve">ENTERPRISE DEVELOPMENT (non-supplier beneficiary): Equipment donation to township enterprise</t>
  </si>
  <si>
    <t xml:space="preserve">Vukani Logistics (Pty) Ltd</t>
  </si>
  <si>
    <t xml:space="preserve">ENTERPRISE DEVELOPMENT (non-supplier beneficiary): Incubation programme sponsorship</t>
  </si>
  <si>
    <t xml:space="preserve">Kusile Advisory (Pty) Ltd</t>
  </si>
  <si>
    <t xml:space="preserve">ENTERPRISE DEVELOPMENT (non-supplier beneficiary): Free professional services to black SMME</t>
  </si>
  <si>
    <t xml:space="preserve">Socioeconomic Development</t>
  </si>
  <si>
    <t xml:space="preserve">Beneficiary Name *</t>
  </si>
  <si>
    <t xml:space="preserve">Description of Spend *</t>
  </si>
  <si>
    <t xml:space="preserve">ICT Specific Initiative?</t>
  </si>
  <si>
    <t xml:space="preserve">% of Spend Benefiting Black Individuals *</t>
  </si>
  <si>
    <t xml:space="preserve">Itireleng Primary School</t>
  </si>
  <si>
    <t xml:space="preserve">Maths and science bursaries for learners</t>
  </si>
  <si>
    <t xml:space="preserve">20/05/2025</t>
  </si>
  <si>
    <t xml:space="preserve">Donation</t>
  </si>
  <si>
    <t xml:space="preserve">CSI</t>
  </si>
  <si>
    <t xml:space="preserve">Sizanani Community Clinic</t>
  </si>
  <si>
    <t xml:space="preserve">Mobile health outreach in township</t>
  </si>
  <si>
    <t xml:space="preserve">Khula Youth Centre</t>
  </si>
  <si>
    <t xml:space="preserve">Financial literacy and skills programme</t>
  </si>
  <si>
    <t xml:space="preserve">Bohlokong Old Age Home</t>
  </si>
  <si>
    <t xml:space="preserve">Food and care support</t>
  </si>
  <si>
    <t xml:space="preserve">Reentseng Disability Trust</t>
  </si>
  <si>
    <t xml:space="preserve">Assistive devices and skills</t>
  </si>
  <si>
    <t xml:space="preserve">Consumer Education</t>
  </si>
  <si>
    <t xml:space="preserve">Programme Name</t>
  </si>
  <si>
    <t xml:space="preserve">Description</t>
  </si>
  <si>
    <t xml:space="preserve">Date (dd/mm/yyyy)</t>
  </si>
  <si>
    <t xml:space="preserve">Spend (R)</t>
  </si>
  <si>
    <t xml:space="preserve">% Black Beneficiaries</t>
  </si>
  <si>
    <t xml:space="preserve">Reach (people)</t>
  </si>
  <si>
    <t xml:space="preserve">Money Smart Townships</t>
  </si>
  <si>
    <t xml:space="preserve">Financial literacy workshops in LSM 1-5 communities</t>
  </si>
  <si>
    <t xml:space="preserve">18/04/2025</t>
  </si>
  <si>
    <t xml:space="preserve">Save &amp; Plan Schools</t>
  </si>
  <si>
    <t xml:space="preserve">Budgeting and savings curriculum for high schools</t>
  </si>
  <si>
    <t xml:space="preserve">Digital Banking Safety</t>
  </si>
  <si>
    <t xml:space="preserve">Fraud awareness and digital money management</t>
  </si>
  <si>
    <t xml:space="preserve">Access to Financial Services</t>
  </si>
  <si>
    <t xml:space="preserve">Access Indicator</t>
  </si>
  <si>
    <t xml:space="preserve">Unit</t>
  </si>
  <si>
    <t xml:space="preserve">Notional Target</t>
  </si>
  <si>
    <t xml:space="preserve">Achieved</t>
  </si>
  <si>
    <t xml:space="preserve">Qualifying? (Yes/No)</t>
  </si>
  <si>
    <t xml:space="preserve">Notes</t>
  </si>
  <si>
    <t xml:space="preserve">Assets under management for black-owned mandates</t>
  </si>
  <si>
    <t xml:space="preserve">R value</t>
  </si>
  <si>
    <t xml:space="preserve">Black asset owners</t>
  </si>
  <si>
    <t xml:space="preserve">Mandates awarded to black-owned managers</t>
  </si>
  <si>
    <t xml:space="preserve">mandates</t>
  </si>
  <si>
    <t xml:space="preserve">51%+ black managers</t>
  </si>
  <si>
    <t xml:space="preserve">Retail savings / investment products to target market</t>
  </si>
  <si>
    <t xml:space="preserve">products</t>
  </si>
  <si>
    <t xml:space="preserve">Low-cost RA/unit trusts</t>
  </si>
  <si>
    <t xml:space="preserve">Adviser footprint in target-market areas</t>
  </si>
  <si>
    <t xml:space="preserve">advisers</t>
  </si>
  <si>
    <t xml:space="preserve">Accredited FSPs</t>
  </si>
  <si>
    <t xml:space="preserve">Sector Targets (reference)</t>
  </si>
  <si>
    <t xml:space="preserve">Element</t>
  </si>
  <si>
    <t xml:space="preserve">Indicative Weighting / Target</t>
  </si>
  <si>
    <t xml:space="preserve">Built to</t>
  </si>
  <si>
    <t xml:space="preserve">Ownership (25 pts)</t>
  </si>
  <si>
    <t xml:space="preserve">25% black, 10% black women</t>
  </si>
  <si>
    <t xml:space="preserve">50% / 30%</t>
  </si>
  <si>
    <t xml:space="preserve">Management Control (15 pts)</t>
  </si>
  <si>
    <t xml:space="preserve">EAP-aligned at all tiers</t>
  </si>
  <si>
    <t xml:space="preserve">Cleared at every tier</t>
  </si>
  <si>
    <t xml:space="preserve">Skills Development (25 pts)</t>
  </si>
  <si>
    <t xml:space="preserve">~3% of payroll on black people</t>
  </si>
  <si>
    <t xml:space="preserve">8%+</t>
  </si>
  <si>
    <t xml:space="preserve">Qualifying products / access (scaled to QSE)</t>
  </si>
  <si>
    <t xml:space="preserve">Exceeded (see tab)</t>
  </si>
  <si>
    <t xml:space="preserve">~0.4% of NPAT</t>
  </si>
  <si>
    <t xml:space="preserve">0.6%</t>
  </si>
  <si>
    <t xml:space="preserve">Enterprise &amp; Supplier Development (30 pts)</t>
  </si>
  <si>
    <t xml:space="preserve">80% PP + 2% SD + 1% ED of NPAT</t>
  </si>
  <si>
    <t xml:space="preserve">94%+ / 3.3% / 1.5%</t>
  </si>
  <si>
    <t xml:space="preserve">Socio-Economic Development (5 pts)</t>
  </si>
  <si>
    <t xml:space="preserve">1% of NPAT</t>
  </si>
  <si>
    <t xml:space="preserve">1.3%</t>
  </si>
  <si>
    <t xml:space="preserve">Reference only. The calculator applies the official Financial Sector Code (FSC) - Other - QSE scorecard weightings. Data is engineered to exceed each target so every point is exercised and the entity reaches Level 1.</t>
  </si>
</sst>
</file>

<file path=xl/styles.xml><?xml version="1.0" encoding="utf-8"?>
<styleSheet xmlns="http://schemas.openxmlformats.org/spreadsheetml/2006/main">
  <numFmts count="11">
    <numFmt numFmtId="164" formatCode="General"/>
    <numFmt numFmtId="165" formatCode="0%"/>
    <numFmt numFmtId="166" formatCode="#,##0"/>
    <numFmt numFmtId="167" formatCode="_ [$R-1C09]\ * #,##0.00_ ;_ [$R-1C09]\ * \-#,##0.00_ ;_ [$R-1C09]\ * \-??_ ;_ @_ "/>
    <numFmt numFmtId="168" formatCode="0.0"/>
    <numFmt numFmtId="169" formatCode="@"/>
    <numFmt numFmtId="170" formatCode="0.00%"/>
    <numFmt numFmtId="171" formatCode="0.00"/>
    <numFmt numFmtId="172" formatCode="dd\-mm\-yyyy"/>
    <numFmt numFmtId="173" formatCode="m/d/yyyy"/>
    <numFmt numFmtId="174" formatCode="[$R-1C09]\ #,##0.00"/>
  </numFmts>
  <fonts count="24">
    <font>
      <sz val="11"/>
      <color rgb="FF000000"/>
      <name val="Calibri"/>
      <family val="2"/>
      <charset val="1"/>
    </font>
    <font>
      <sz val="10"/>
      <name val="Arial"/>
      <family val="0"/>
    </font>
    <font>
      <sz val="10"/>
      <name val="Arial"/>
      <family val="0"/>
    </font>
    <font>
      <sz val="10"/>
      <name val="Arial"/>
      <family val="0"/>
    </font>
    <font>
      <sz val="11"/>
      <color theme="1"/>
      <name val="Calibri"/>
      <family val="2"/>
      <charset val="1"/>
    </font>
    <font>
      <sz val="10"/>
      <name val="Verdana"/>
      <family val="2"/>
      <charset val="1"/>
    </font>
    <font>
      <b val="true"/>
      <sz val="15"/>
      <color theme="1"/>
      <name val="Arial"/>
      <family val="2"/>
      <charset val="1"/>
    </font>
    <font>
      <b val="true"/>
      <sz val="11"/>
      <color rgb="FF000000"/>
      <name val="Calibri"/>
      <family val="2"/>
      <charset val="1"/>
    </font>
    <font>
      <sz val="7"/>
      <color rgb="FF000000"/>
      <name val="Times New Roman"/>
      <family val="1"/>
      <charset val="1"/>
    </font>
    <font>
      <b val="true"/>
      <sz val="13"/>
      <name val="Arial"/>
      <family val="0"/>
      <charset val="1"/>
    </font>
    <font>
      <b val="true"/>
      <sz val="10"/>
      <name val="Arial"/>
      <family val="0"/>
      <charset val="1"/>
    </font>
    <font>
      <sz val="10"/>
      <name val="Arial"/>
      <family val="0"/>
      <charset val="1"/>
    </font>
    <font>
      <b val="true"/>
      <sz val="11"/>
      <color rgb="FFFFFFFF"/>
      <name val="Arial"/>
      <family val="0"/>
      <charset val="1"/>
    </font>
    <font>
      <i val="true"/>
      <sz val="9"/>
      <name val="Arial"/>
      <family val="0"/>
      <charset val="1"/>
    </font>
    <font>
      <b val="true"/>
      <sz val="12"/>
      <color rgb="FF000000"/>
      <name val="Calibri"/>
      <family val="2"/>
      <charset val="1"/>
    </font>
    <font>
      <b val="true"/>
      <sz val="11"/>
      <color theme="1"/>
      <name val="Calibri"/>
      <family val="2"/>
      <charset val="1"/>
    </font>
    <font>
      <b val="true"/>
      <sz val="11"/>
      <name val="Arial"/>
      <family val="2"/>
      <charset val="1"/>
    </font>
    <font>
      <sz val="10"/>
      <name val="Calibri"/>
      <family val="2"/>
      <charset val="1"/>
    </font>
    <font>
      <b val="true"/>
      <sz val="11"/>
      <color rgb="FF000000"/>
      <name val="Arial"/>
      <family val="2"/>
      <charset val="1"/>
    </font>
    <font>
      <sz val="11"/>
      <name val="Calibri"/>
      <family val="2"/>
      <charset val="1"/>
    </font>
    <font>
      <sz val="10"/>
      <name val="Arial"/>
      <family val="2"/>
    </font>
    <font>
      <b val="true"/>
      <sz val="12"/>
      <name val="Calibri"/>
      <family val="2"/>
      <charset val="1"/>
    </font>
    <font>
      <b val="true"/>
      <sz val="11"/>
      <name val="Calibri"/>
      <family val="2"/>
      <charset val="1"/>
    </font>
    <font>
      <b val="true"/>
      <sz val="10"/>
      <name val="Calibri"/>
      <family val="2"/>
      <charset val="1"/>
    </font>
  </fonts>
  <fills count="8">
    <fill>
      <patternFill patternType="none"/>
    </fill>
    <fill>
      <patternFill patternType="gray125"/>
    </fill>
    <fill>
      <patternFill patternType="solid">
        <fgColor theme="5" tint="0.7999"/>
        <bgColor rgb="FFD7E4BD"/>
      </patternFill>
    </fill>
    <fill>
      <patternFill patternType="solid">
        <fgColor theme="0"/>
        <bgColor rgb="FFFFFFCC"/>
      </patternFill>
    </fill>
    <fill>
      <patternFill patternType="solid">
        <fgColor rgb="FF1F3B4D"/>
        <bgColor rgb="FF003366"/>
      </patternFill>
    </fill>
    <fill>
      <patternFill patternType="solid">
        <fgColor theme="3" tint="0.5999"/>
        <bgColor rgb="FF9999FF"/>
      </patternFill>
    </fill>
    <fill>
      <patternFill patternType="solid">
        <fgColor theme="3" tint="0.7999"/>
        <bgColor rgb="FFD7E4BD"/>
      </patternFill>
    </fill>
    <fill>
      <patternFill patternType="solid">
        <fgColor rgb="FFD7E4BD"/>
        <bgColor rgb="FFF2DCDB"/>
      </patternFill>
    </fill>
  </fills>
  <borders count="2">
    <border diagonalUp="false" diagonalDown="false">
      <left/>
      <right/>
      <top/>
      <bottom/>
      <diagonal/>
    </border>
    <border diagonalUp="false" diagonalDown="false">
      <left style="thin"/>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1" shrinkToFit="false"/>
      <protection locked="true" hidden="false"/>
    </xf>
    <xf numFmtId="164" fontId="0" fillId="0" borderId="1" xfId="0" applyFont="true" applyBorder="true" applyAlignment="true" applyProtection="false">
      <alignment horizontal="left" vertical="center" textRotation="0" wrapText="false" indent="2"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2"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9" fontId="0" fillId="0" borderId="0" xfId="0" applyFont="false" applyBorder="false" applyAlignment="false" applyProtection="true">
      <alignment horizontal="general" vertical="bottom" textRotation="0" wrapText="false" indent="0" shrinkToFit="false"/>
      <protection locked="false" hidden="false"/>
    </xf>
    <xf numFmtId="170" fontId="0" fillId="0" borderId="0" xfId="0" applyFont="false" applyBorder="false" applyAlignment="false" applyProtection="true">
      <alignment horizontal="general" vertical="bottom" textRotation="0" wrapText="false" indent="0" shrinkToFit="false"/>
      <protection locked="false" hidden="false"/>
    </xf>
    <xf numFmtId="164" fontId="14" fillId="5"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2" borderId="0" xfId="25" applyFont="true" applyBorder="false" applyAlignment="false" applyProtection="true">
      <alignment horizontal="general" vertical="bottom" textRotation="0" wrapText="false" indent="0" shrinkToFit="false"/>
      <protection locked="false" hidden="false"/>
    </xf>
    <xf numFmtId="164" fontId="15" fillId="2" borderId="0" xfId="25" applyFont="true" applyBorder="false" applyAlignment="false" applyProtection="true">
      <alignment horizontal="general" vertical="bottom" textRotation="0" wrapText="false" indent="0" shrinkToFit="false"/>
      <protection locked="fals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9" fontId="7" fillId="6" borderId="0" xfId="0" applyFont="true" applyBorder="false" applyAlignment="false" applyProtection="false">
      <alignment horizontal="general" vertical="bottom" textRotation="0" wrapText="false" indent="0" shrinkToFit="false"/>
      <protection locked="true" hidden="false"/>
    </xf>
    <xf numFmtId="170" fontId="7" fillId="2"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21" applyFont="true" applyBorder="false" applyAlignment="false" applyProtection="false">
      <alignment horizontal="general" vertical="bottom" textRotation="0" wrapText="false" indent="0" shrinkToFit="false"/>
      <protection locked="true" hidden="false"/>
    </xf>
    <xf numFmtId="169" fontId="5" fillId="0" borderId="0" xfId="21" applyFont="true" applyBorder="false" applyAlignment="false" applyProtection="false">
      <alignment horizontal="general" vertical="bottom" textRotation="0" wrapText="false" indent="0" shrinkToFit="false"/>
      <protection locked="true" hidden="false"/>
    </xf>
    <xf numFmtId="164" fontId="16" fillId="5" borderId="0" xfId="21" applyFont="true" applyBorder="true" applyAlignment="true" applyProtection="false">
      <alignment horizontal="center" vertical="center" textRotation="0" wrapText="false" indent="0" shrinkToFit="false"/>
      <protection locked="true" hidden="false"/>
    </xf>
    <xf numFmtId="164" fontId="17" fillId="0" borderId="0" xfId="21" applyFont="true" applyBorder="false" applyAlignment="false" applyProtection="false">
      <alignment horizontal="general" vertical="bottom" textRotation="0" wrapText="false" indent="0" shrinkToFit="false"/>
      <protection locked="true" hidden="false"/>
    </xf>
    <xf numFmtId="164" fontId="16" fillId="2" borderId="0" xfId="21" applyFont="true" applyBorder="false" applyAlignment="true" applyProtection="false">
      <alignment horizontal="center" vertical="top" textRotation="0" wrapText="true" indent="0" shrinkToFit="false"/>
      <protection locked="true" hidden="false"/>
    </xf>
    <xf numFmtId="164" fontId="16" fillId="6" borderId="0" xfId="21" applyFont="true" applyBorder="false" applyAlignment="true" applyProtection="false">
      <alignment horizontal="center" vertical="top" textRotation="0" wrapText="true" indent="0" shrinkToFit="false"/>
      <protection locked="true" hidden="false"/>
    </xf>
    <xf numFmtId="169" fontId="16" fillId="7" borderId="0" xfId="21" applyFont="true" applyBorder="false" applyAlignment="true" applyProtection="false">
      <alignment horizontal="center" vertical="top" textRotation="0" wrapText="true" indent="0" shrinkToFit="false"/>
      <protection locked="true" hidden="false"/>
    </xf>
    <xf numFmtId="164" fontId="18" fillId="2" borderId="0" xfId="21" applyFont="true" applyBorder="false" applyAlignment="true" applyProtection="false">
      <alignment horizontal="center" vertical="top" textRotation="0" wrapText="true" indent="0" shrinkToFit="false"/>
      <protection locked="true" hidden="false"/>
    </xf>
    <xf numFmtId="164" fontId="16" fillId="7" borderId="0" xfId="21" applyFont="true" applyBorder="false" applyAlignment="true" applyProtection="false">
      <alignment horizontal="center" vertical="top" textRotation="0" wrapText="true" indent="0" shrinkToFit="false"/>
      <protection locked="true" hidden="false"/>
    </xf>
    <xf numFmtId="171" fontId="16" fillId="6" borderId="0" xfId="21" applyFont="true" applyBorder="false" applyAlignment="true" applyProtection="false">
      <alignment horizontal="center" vertical="top" textRotation="0" wrapText="true" indent="0" shrinkToFit="false"/>
      <protection locked="true" hidden="false"/>
    </xf>
    <xf numFmtId="164" fontId="19" fillId="0" borderId="0" xfId="21" applyFont="true" applyBorder="false" applyAlignment="true" applyProtection="false">
      <alignment horizontal="center" vertical="top" textRotation="0" wrapText="true" indent="0" shrinkToFit="false"/>
      <protection locked="true" hidden="false"/>
    </xf>
    <xf numFmtId="164" fontId="17" fillId="0" borderId="0" xfId="22" applyFont="true" applyBorder="false" applyAlignment="true" applyProtection="true">
      <alignment horizontal="center" vertical="bottom" textRotation="0" wrapText="false" indent="0" shrinkToFit="false"/>
      <protection locked="false" hidden="false"/>
    </xf>
    <xf numFmtId="172" fontId="17" fillId="0" borderId="0" xfId="22" applyFont="true" applyBorder="false" applyAlignment="true" applyProtection="true">
      <alignment horizontal="center" vertical="bottom" textRotation="0" wrapText="false" indent="0" shrinkToFit="false"/>
      <protection locked="false" hidden="false"/>
    </xf>
    <xf numFmtId="170" fontId="17" fillId="0" borderId="0" xfId="22" applyFont="true" applyBorder="false" applyAlignment="true" applyProtection="true">
      <alignment horizontal="center" vertical="bottom" textRotation="0" wrapText="false" indent="0" shrinkToFit="false"/>
      <protection locked="false" hidden="false"/>
    </xf>
    <xf numFmtId="167" fontId="17" fillId="0" borderId="0" xfId="22" applyFont="true" applyBorder="false" applyAlignment="true" applyProtection="true">
      <alignment horizontal="center" vertical="bottom" textRotation="0" wrapText="false" indent="0" shrinkToFit="false"/>
      <protection locked="false" hidden="false"/>
    </xf>
    <xf numFmtId="164" fontId="17"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bottom" textRotation="0" wrapText="false" indent="0" shrinkToFit="false"/>
      <protection locked="false" hidden="false"/>
    </xf>
    <xf numFmtId="164" fontId="21" fillId="5" borderId="0" xfId="22" applyFont="true" applyBorder="true" applyAlignment="true" applyProtection="false">
      <alignment horizontal="center" vertical="center" textRotation="0" wrapText="false" indent="0" shrinkToFit="false"/>
      <protection locked="true" hidden="false"/>
    </xf>
    <xf numFmtId="169" fontId="22" fillId="2" borderId="0" xfId="22" applyFont="true" applyBorder="false" applyAlignment="true" applyProtection="false">
      <alignment horizontal="center" vertical="center" textRotation="0" wrapText="true" indent="0" shrinkToFit="false"/>
      <protection locked="true" hidden="false"/>
    </xf>
    <xf numFmtId="169" fontId="22" fillId="6" borderId="0" xfId="22" applyFont="true" applyBorder="false" applyAlignment="true" applyProtection="false">
      <alignment horizontal="center" vertical="center" textRotation="0" wrapText="true" indent="0" shrinkToFit="false"/>
      <protection locked="true" hidden="false"/>
    </xf>
    <xf numFmtId="169" fontId="19" fillId="0" borderId="0" xfId="22" applyFont="true" applyBorder="false" applyAlignment="true" applyProtection="false">
      <alignment horizontal="general" vertical="center" textRotation="0" wrapText="true" indent="0" shrinkToFit="false"/>
      <protection locked="true" hidden="false"/>
    </xf>
    <xf numFmtId="164" fontId="17" fillId="0" borderId="0" xfId="22" applyFont="true" applyBorder="false" applyAlignment="true" applyProtection="true">
      <alignment horizontal="center" vertical="center" textRotation="0" wrapText="false" indent="0" shrinkToFit="false"/>
      <protection locked="false" hidden="false"/>
    </xf>
    <xf numFmtId="172" fontId="17" fillId="0" borderId="0" xfId="22" applyFont="true" applyBorder="false" applyAlignment="true" applyProtection="true">
      <alignment horizontal="center" vertical="center" textRotation="0" wrapText="false" indent="0" shrinkToFit="false"/>
      <protection locked="false" hidden="false"/>
    </xf>
    <xf numFmtId="170" fontId="17" fillId="0" borderId="0" xfId="22" applyFont="true" applyBorder="false" applyAlignment="true" applyProtection="true">
      <alignment horizontal="center" vertical="center" textRotation="0" wrapText="false" indent="0" shrinkToFit="false"/>
      <protection locked="false" hidden="false"/>
    </xf>
    <xf numFmtId="167" fontId="17" fillId="0" borderId="0" xfId="22" applyFont="true" applyBorder="false" applyAlignment="true" applyProtection="true">
      <alignment horizontal="center" vertical="center" textRotation="0" wrapText="false" indent="0" shrinkToFit="false"/>
      <protection locked="false" hidden="false"/>
    </xf>
    <xf numFmtId="164" fontId="23"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center" textRotation="0" wrapText="false" indent="0" shrinkToFit="false"/>
      <protection locked="fals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70" fontId="4" fillId="0" borderId="0" xfId="23" applyFont="true" applyBorder="false" applyAlignment="false" applyProtection="false">
      <alignment horizontal="general" vertical="bottom" textRotation="0" wrapText="false" indent="0" shrinkToFit="false"/>
      <protection locked="true" hidden="false"/>
    </xf>
    <xf numFmtId="173" fontId="4" fillId="0" borderId="0" xfId="23" applyFont="true" applyBorder="false" applyAlignment="false" applyProtection="false">
      <alignment horizontal="general" vertical="bottom" textRotation="0" wrapText="false" indent="0" shrinkToFit="false"/>
      <protection locked="true" hidden="false"/>
    </xf>
    <xf numFmtId="174" fontId="4" fillId="0" borderId="0" xfId="23" applyFont="true" applyBorder="false" applyAlignment="false" applyProtection="false">
      <alignment horizontal="general" vertical="bottom" textRotation="0" wrapText="false" indent="0" shrinkToFit="false"/>
      <protection locked="true" hidden="false"/>
    </xf>
    <xf numFmtId="165" fontId="0" fillId="0" borderId="0" xfId="24" applyFont="true" applyBorder="false" applyAlignment="false" applyProtection="false">
      <alignment horizontal="general" vertical="bottom" textRotation="0" wrapText="false" indent="0" shrinkToFit="false"/>
      <protection locked="true" hidden="false"/>
    </xf>
    <xf numFmtId="164" fontId="21" fillId="5" borderId="0" xfId="23" applyFont="true" applyBorder="true" applyAlignment="true" applyProtection="false">
      <alignment horizontal="center" vertical="center" textRotation="0" wrapText="false" indent="0" shrinkToFit="false"/>
      <protection locked="true" hidden="false"/>
    </xf>
    <xf numFmtId="164" fontId="22" fillId="2" borderId="0" xfId="23" applyFont="true" applyBorder="false" applyAlignment="true" applyProtection="false">
      <alignment horizontal="general" vertical="center" textRotation="0" wrapText="true" indent="0" shrinkToFit="false"/>
      <protection locked="true" hidden="false"/>
    </xf>
    <xf numFmtId="170" fontId="22" fillId="2" borderId="0" xfId="23" applyFont="true" applyBorder="false" applyAlignment="true" applyProtection="false">
      <alignment horizontal="general" vertical="center" textRotation="0" wrapText="true" indent="0" shrinkToFit="false"/>
      <protection locked="true" hidden="false"/>
    </xf>
    <xf numFmtId="164" fontId="15" fillId="2" borderId="0" xfId="20" applyFont="true" applyBorder="false" applyAlignment="true" applyProtection="false">
      <alignment horizontal="general" vertical="center" textRotation="0" wrapText="true" indent="0" shrinkToFit="false"/>
      <protection locked="true" hidden="false"/>
    </xf>
    <xf numFmtId="164" fontId="22" fillId="6" borderId="0" xfId="23" applyFont="true" applyBorder="false" applyAlignment="true" applyProtection="false">
      <alignment horizontal="general" vertical="center" textRotation="0" wrapText="true" indent="0" shrinkToFit="false"/>
      <protection locked="true" hidden="false"/>
    </xf>
    <xf numFmtId="164" fontId="22" fillId="2" borderId="0" xfId="23" applyFont="true" applyBorder="false" applyAlignment="true" applyProtection="false">
      <alignment horizontal="general" vertical="center" textRotation="0" wrapText="true" indent="0" shrinkToFit="true"/>
      <protection locked="true" hidden="false"/>
    </xf>
    <xf numFmtId="165" fontId="22" fillId="6" borderId="0" xfId="24" applyFont="true" applyBorder="false" applyAlignment="true" applyProtection="false">
      <alignment horizontal="general" vertical="center" textRotation="0" wrapText="true" indent="0" shrinkToFit="false"/>
      <protection locked="true" hidden="false"/>
    </xf>
    <xf numFmtId="164" fontId="21" fillId="0" borderId="0" xfId="23" applyFont="true" applyBorder="false" applyAlignment="true" applyProtection="false">
      <alignment horizontal="center" vertical="center" textRotation="0" wrapText="false" indent="0" shrinkToFit="false"/>
      <protection locked="true" hidden="false"/>
    </xf>
    <xf numFmtId="164" fontId="22" fillId="2" borderId="0" xfId="24" applyFont="true" applyBorder="false" applyAlignment="true" applyProtection="false">
      <alignment horizontal="general" vertical="center" textRotation="0" wrapText="true" indent="0" shrinkToFit="false"/>
      <protection locked="true" hidden="false"/>
    </xf>
    <xf numFmtId="164" fontId="22" fillId="0" borderId="0" xfId="23"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20% - Accent2 2" xfId="20"/>
    <cellStyle name="Normal 2" xfId="21"/>
    <cellStyle name="Normal 3" xfId="22"/>
    <cellStyle name="Normal 4" xfId="23"/>
    <cellStyle name="Percent 2" xfId="24"/>
    <cellStyle name="Excel Built-in 20% - Accent2"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FFF99"/>
      <rgbColor rgb="FF8EB4E3"/>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B4D"/>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customXml" Target="../customXml/item3.xml"/><Relationship Id="rId2" Type="http://schemas.openxmlformats.org/officeDocument/2006/relationships/styles" Target="styles.xml"/><Relationship Id="rId16" Type="http://schemas.openxmlformats.org/officeDocument/2006/relationships/customXml" Target="../customXml/item2.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worksheet" Target="worksheets/sheet9.xml"/><Relationship Id="rId5" Type="http://schemas.openxmlformats.org/officeDocument/2006/relationships/worksheet" Target="worksheets/sheet3.xml"/><Relationship Id="rId15" Type="http://schemas.openxmlformats.org/officeDocument/2006/relationships/customXml" Target="../customXml/item1.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8.6796875" defaultRowHeight="15" zeroHeight="false" outlineLevelRow="0" outlineLevelCol="0"/>
  <cols>
    <col collapsed="false" customWidth="true" hidden="false" outlineLevel="0" max="1" min="1" style="1" width="29.42"/>
    <col collapsed="false" customWidth="true" hidden="false" outlineLevel="0" max="2" min="2" style="1" width="168.57"/>
    <col collapsed="false" customWidth="true" hidden="false" outlineLevel="0" max="3" min="3" style="0" width="9.14"/>
  </cols>
  <sheetData>
    <row r="2" customFormat="false" ht="19.5" hidden="false" customHeight="true" outlineLevel="0" collapsed="false">
      <c r="A2" s="2" t="s">
        <v>0</v>
      </c>
    </row>
    <row r="6" customFormat="false" ht="15" hidden="false" customHeight="false" outlineLevel="0" collapsed="false">
      <c r="A6" s="3" t="s">
        <v>1</v>
      </c>
      <c r="B6" s="1" t="s">
        <v>2</v>
      </c>
    </row>
    <row r="8" customFormat="false" ht="30" hidden="false" customHeight="true" outlineLevel="0" collapsed="false">
      <c r="A8" s="4" t="s">
        <v>3</v>
      </c>
      <c r="B8" s="5" t="s">
        <v>4</v>
      </c>
    </row>
    <row r="9" customFormat="false" ht="15" hidden="false" customHeight="false" outlineLevel="0" collapsed="false">
      <c r="A9" s="4"/>
      <c r="B9" s="6" t="s">
        <v>5</v>
      </c>
    </row>
    <row r="10" customFormat="false" ht="15" hidden="false" customHeight="false" outlineLevel="0" collapsed="false">
      <c r="A10" s="4"/>
      <c r="B10" s="7" t="s">
        <v>6</v>
      </c>
    </row>
    <row r="11" customFormat="false" ht="15" hidden="false" customHeight="false" outlineLevel="0" collapsed="false">
      <c r="A11" s="4"/>
      <c r="B11" s="7" t="s">
        <v>7</v>
      </c>
    </row>
    <row r="12" customFormat="false" ht="15" hidden="false" customHeight="false" outlineLevel="0" collapsed="false">
      <c r="A12" s="4"/>
      <c r="B12" s="7" t="s">
        <v>8</v>
      </c>
    </row>
    <row r="13" customFormat="false" ht="15" hidden="false" customHeight="false" outlineLevel="0" collapsed="false">
      <c r="A13" s="4"/>
      <c r="B13" s="6" t="s">
        <v>9</v>
      </c>
    </row>
    <row r="14" customFormat="false" ht="15" hidden="false" customHeight="false" outlineLevel="0" collapsed="false">
      <c r="A14" s="4"/>
      <c r="B14" s="7" t="s">
        <v>10</v>
      </c>
    </row>
    <row r="15" customFormat="false" ht="15" hidden="false" customHeight="false" outlineLevel="0" collapsed="false">
      <c r="A15" s="4"/>
      <c r="B15" s="7" t="s">
        <v>11</v>
      </c>
    </row>
    <row r="16" customFormat="false" ht="15" hidden="false" customHeight="false" outlineLevel="0" collapsed="false">
      <c r="A16" s="4"/>
      <c r="B16" s="7" t="s">
        <v>12</v>
      </c>
    </row>
    <row r="18" customFormat="false" ht="15" hidden="false" customHeight="true" outlineLevel="0" collapsed="false">
      <c r="A18" s="4" t="s">
        <v>13</v>
      </c>
      <c r="B18" s="8" t="s">
        <v>14</v>
      </c>
    </row>
    <row r="19" customFormat="false" ht="15" hidden="false" customHeight="false" outlineLevel="0" collapsed="false">
      <c r="A19" s="4"/>
      <c r="B19" s="9" t="s">
        <v>15</v>
      </c>
    </row>
    <row r="20" customFormat="false" ht="15" hidden="false" customHeight="false" outlineLevel="0" collapsed="false">
      <c r="A20" s="4"/>
      <c r="B20" s="10" t="s">
        <v>16</v>
      </c>
    </row>
    <row r="21" customFormat="false" ht="15" hidden="false" customHeight="false" outlineLevel="0" collapsed="false">
      <c r="A21" s="4"/>
      <c r="B21" s="10" t="s">
        <v>17</v>
      </c>
    </row>
    <row r="22" customFormat="false" ht="15" hidden="false" customHeight="false" outlineLevel="0" collapsed="false">
      <c r="A22" s="4"/>
      <c r="B22" s="10" t="s">
        <v>18</v>
      </c>
    </row>
    <row r="23" customFormat="false" ht="15" hidden="false" customHeight="false" outlineLevel="0" collapsed="false">
      <c r="A23" s="4"/>
      <c r="B23" s="10" t="s">
        <v>19</v>
      </c>
    </row>
    <row r="24" customFormat="false" ht="15" hidden="false" customHeight="false" outlineLevel="0" collapsed="false">
      <c r="A24" s="4"/>
      <c r="B24" s="10" t="s">
        <v>20</v>
      </c>
    </row>
    <row r="25" customFormat="false" ht="15" hidden="false" customHeight="false" outlineLevel="0" collapsed="false">
      <c r="A25" s="4"/>
      <c r="B25" s="10" t="s">
        <v>21</v>
      </c>
    </row>
    <row r="26" customFormat="false" ht="15" hidden="false" customHeight="false" outlineLevel="0" collapsed="false">
      <c r="A26" s="4"/>
      <c r="B26" s="10" t="s">
        <v>22</v>
      </c>
    </row>
    <row r="27" customFormat="false" ht="15" hidden="false" customHeight="false" outlineLevel="0" collapsed="false">
      <c r="A27" s="4"/>
      <c r="B27" s="9" t="s">
        <v>23</v>
      </c>
    </row>
    <row r="29" customFormat="false" ht="15" hidden="false" customHeight="true" outlineLevel="0" collapsed="false">
      <c r="A29" s="4" t="s">
        <v>24</v>
      </c>
      <c r="B29" s="8" t="s">
        <v>25</v>
      </c>
    </row>
    <row r="30" customFormat="false" ht="15" hidden="false" customHeight="false" outlineLevel="0" collapsed="false">
      <c r="A30" s="4"/>
      <c r="B30" s="9" t="s">
        <v>26</v>
      </c>
    </row>
    <row r="31" customFormat="false" ht="15" hidden="false" customHeight="false" outlineLevel="0" collapsed="false">
      <c r="A31" s="4"/>
      <c r="B31" s="9" t="s">
        <v>27</v>
      </c>
    </row>
    <row r="32" customFormat="false" ht="30" hidden="false" customHeight="true" outlineLevel="0" collapsed="false">
      <c r="A32" s="4"/>
      <c r="B32" s="11" t="s">
        <v>28</v>
      </c>
    </row>
    <row r="33" customFormat="false" ht="15" hidden="false" customHeight="false" outlineLevel="0" collapsed="false">
      <c r="A33" s="4"/>
      <c r="B33" s="9" t="s">
        <v>29</v>
      </c>
    </row>
    <row r="35" customFormat="false" ht="15" hidden="false" customHeight="true" outlineLevel="0" collapsed="false">
      <c r="A35" s="4" t="s">
        <v>30</v>
      </c>
      <c r="B35" s="8" t="s">
        <v>31</v>
      </c>
    </row>
    <row r="36" customFormat="false" ht="30" hidden="false" customHeight="true" outlineLevel="0" collapsed="false">
      <c r="A36" s="4"/>
      <c r="B36" s="11" t="s">
        <v>32</v>
      </c>
    </row>
    <row r="37" customFormat="false" ht="30" hidden="false" customHeight="true" outlineLevel="0" collapsed="false">
      <c r="A37" s="4"/>
      <c r="B37" s="11" t="s">
        <v>33</v>
      </c>
    </row>
    <row r="38" customFormat="false" ht="15" hidden="false" customHeight="false" outlineLevel="0" collapsed="false">
      <c r="A38" s="4"/>
      <c r="B38" s="9" t="s">
        <v>34</v>
      </c>
    </row>
    <row r="39" customFormat="false" ht="15" hidden="false" customHeight="false" outlineLevel="0" collapsed="false">
      <c r="A39" s="4"/>
      <c r="B39" s="9" t="s">
        <v>35</v>
      </c>
    </row>
    <row r="40" customFormat="false" ht="15" hidden="false" customHeight="false" outlineLevel="0" collapsed="false">
      <c r="A40" s="4"/>
      <c r="B40" s="9" t="s">
        <v>36</v>
      </c>
    </row>
    <row r="42" customFormat="false" ht="15" hidden="false" customHeight="true" outlineLevel="0" collapsed="false">
      <c r="A42" s="4" t="s">
        <v>37</v>
      </c>
      <c r="B42" s="8" t="s">
        <v>38</v>
      </c>
    </row>
    <row r="43" customFormat="false" ht="105" hidden="false" customHeight="true" outlineLevel="0" collapsed="false">
      <c r="A43" s="4"/>
      <c r="B43" s="11" t="s">
        <v>39</v>
      </c>
    </row>
    <row r="44" customFormat="false" ht="15" hidden="false" customHeight="false" outlineLevel="0" collapsed="false">
      <c r="A44" s="4"/>
      <c r="B44" s="9" t="s">
        <v>40</v>
      </c>
    </row>
    <row r="46" customFormat="false" ht="15" hidden="false" customHeight="true" outlineLevel="0" collapsed="false">
      <c r="A46" s="4" t="s">
        <v>41</v>
      </c>
      <c r="B46" s="8" t="s">
        <v>42</v>
      </c>
    </row>
    <row r="47" customFormat="false" ht="105" hidden="false" customHeight="true" outlineLevel="0" collapsed="false">
      <c r="A47" s="4"/>
      <c r="B47" s="11" t="s">
        <v>43</v>
      </c>
    </row>
    <row r="48" customFormat="false" ht="15" hidden="false" customHeight="false" outlineLevel="0" collapsed="false">
      <c r="A48" s="4"/>
      <c r="B48" s="9" t="s">
        <v>40</v>
      </c>
    </row>
  </sheetData>
  <mergeCells count="6">
    <mergeCell ref="A8:A16"/>
    <mergeCell ref="A18:A27"/>
    <mergeCell ref="A29:A33"/>
    <mergeCell ref="A35:A40"/>
    <mergeCell ref="A42:A44"/>
    <mergeCell ref="A46:A4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2"/>
  </cols>
  <sheetData>
    <row r="1" customFormat="false" ht="16.15" hidden="false" customHeight="false" outlineLevel="0" collapsed="false">
      <c r="A1" s="12" t="s">
        <v>44</v>
      </c>
    </row>
    <row r="2" customFormat="false" ht="15" hidden="false" customHeight="false" outlineLevel="0" collapsed="false">
      <c r="A2" s="13" t="s">
        <v>45</v>
      </c>
      <c r="B2" s="14" t="s">
        <v>46</v>
      </c>
      <c r="C2" s="14"/>
      <c r="D2" s="14"/>
    </row>
    <row r="3" customFormat="false" ht="15" hidden="false" customHeight="false" outlineLevel="0" collapsed="false">
      <c r="A3" s="13" t="s">
        <v>47</v>
      </c>
      <c r="B3" s="14" t="s">
        <v>48</v>
      </c>
      <c r="C3" s="14"/>
      <c r="D3" s="14"/>
    </row>
    <row r="4" customFormat="false" ht="15" hidden="false" customHeight="false" outlineLevel="0" collapsed="false">
      <c r="A4" s="13"/>
      <c r="B4" s="14"/>
      <c r="C4" s="14"/>
      <c r="D4" s="14"/>
    </row>
    <row r="5" customFormat="false" ht="15" hidden="false" customHeight="false" outlineLevel="0" collapsed="false">
      <c r="A5" s="15" t="s">
        <v>49</v>
      </c>
      <c r="B5" s="15" t="s">
        <v>50</v>
      </c>
      <c r="C5" s="15" t="s">
        <v>51</v>
      </c>
      <c r="D5" s="15" t="s">
        <v>52</v>
      </c>
    </row>
    <row r="6" customFormat="false" ht="15" hidden="false" customHeight="false" outlineLevel="0" collapsed="false">
      <c r="A6" s="13" t="s">
        <v>53</v>
      </c>
      <c r="B6" s="16" t="n">
        <v>40480000</v>
      </c>
      <c r="C6" s="16" t="n">
        <v>44000000</v>
      </c>
      <c r="D6" s="16" t="n">
        <v>47520000</v>
      </c>
    </row>
    <row r="7" customFormat="false" ht="15" hidden="false" customHeight="false" outlineLevel="0" collapsed="false">
      <c r="A7" s="13" t="s">
        <v>54</v>
      </c>
      <c r="B7" s="16" t="n">
        <v>7200000</v>
      </c>
      <c r="C7" s="16" t="n">
        <v>8000000</v>
      </c>
      <c r="D7" s="16" t="n">
        <v>8800000</v>
      </c>
    </row>
    <row r="8" customFormat="false" ht="15" hidden="false" customHeight="false" outlineLevel="0" collapsed="false">
      <c r="A8" s="13" t="s">
        <v>55</v>
      </c>
      <c r="B8" s="16" t="n">
        <v>16920000</v>
      </c>
      <c r="C8" s="16" t="n">
        <v>18000000</v>
      </c>
      <c r="D8" s="16" t="n">
        <v>19440000</v>
      </c>
    </row>
    <row r="9" customFormat="false" ht="15" hidden="false" customHeight="false" outlineLevel="0" collapsed="false">
      <c r="A9" s="13" t="s">
        <v>56</v>
      </c>
      <c r="B9" s="16" t="n">
        <v>16920000</v>
      </c>
      <c r="C9" s="16" t="n">
        <v>18000000</v>
      </c>
      <c r="D9" s="16" t="n">
        <v>19440000</v>
      </c>
    </row>
    <row r="10" customFormat="false" ht="15" hidden="false" customHeight="false" outlineLevel="0" collapsed="false">
      <c r="A10" s="13" t="s">
        <v>57</v>
      </c>
      <c r="B10" s="17" t="n">
        <f aca="false">SUM('Procurement - Suppliers'!P3:P82)</f>
        <v>16593411</v>
      </c>
      <c r="C10" s="17" t="n">
        <f aca="false">SUM('Procurement - Suppliers'!P3:P82)</f>
        <v>16593411</v>
      </c>
      <c r="D10" s="17" t="n">
        <f aca="false">SUM('Procurement - Suppliers'!P3:P82)</f>
        <v>16593411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
    <col collapsed="false" customWidth="true" hidden="false" outlineLevel="0" max="3" min="3" style="0" width="9"/>
    <col collapsed="false" customWidth="true" hidden="false" outlineLevel="0" max="4" min="4" style="0" width="16"/>
    <col collapsed="false" customWidth="true" hidden="false" outlineLevel="0" max="6" min="5" style="0" width="15"/>
    <col collapsed="false" customWidth="true" hidden="false" outlineLevel="0" max="7" min="7" style="0" width="13"/>
    <col collapsed="false" customWidth="true" hidden="false" outlineLevel="0" max="8" min="8" style="0" width="15"/>
    <col collapsed="false" customWidth="true" hidden="false" outlineLevel="0" max="9" min="9" style="0" width="17"/>
    <col collapsed="false" customWidth="true" hidden="false" outlineLevel="0" max="10" min="10" style="0" width="18"/>
    <col collapsed="false" customWidth="true" hidden="false" outlineLevel="0" max="12" min="11" style="0" width="16"/>
  </cols>
  <sheetData>
    <row r="1" customFormat="false" ht="16.15" hidden="false" customHeight="false" outlineLevel="0" collapsed="false">
      <c r="A1" s="12" t="s">
        <v>58</v>
      </c>
    </row>
    <row r="2" customFormat="false" ht="39.55" hidden="false" customHeight="false" outlineLevel="0" collapsed="false">
      <c r="A2" s="18" t="s">
        <v>59</v>
      </c>
      <c r="B2" s="18" t="s">
        <v>60</v>
      </c>
      <c r="C2" s="18" t="s">
        <v>61</v>
      </c>
      <c r="D2" s="18" t="s">
        <v>62</v>
      </c>
      <c r="E2" s="18" t="s">
        <v>63</v>
      </c>
      <c r="F2" s="18" t="s">
        <v>64</v>
      </c>
      <c r="G2" s="18" t="s">
        <v>65</v>
      </c>
      <c r="H2" s="18" t="s">
        <v>66</v>
      </c>
      <c r="I2" s="18" t="s">
        <v>67</v>
      </c>
      <c r="J2" s="18" t="s">
        <v>68</v>
      </c>
      <c r="K2" s="18" t="s">
        <v>69</v>
      </c>
      <c r="L2" s="18" t="s">
        <v>70</v>
      </c>
    </row>
    <row r="3" customFormat="false" ht="15" hidden="false" customHeight="false" outlineLevel="0" collapsed="false">
      <c r="A3" s="0" t="s">
        <v>71</v>
      </c>
      <c r="B3" s="0" t="s">
        <v>72</v>
      </c>
      <c r="C3" s="0" t="s">
        <v>73</v>
      </c>
      <c r="D3" s="0" t="s">
        <v>74</v>
      </c>
      <c r="E3" s="0" t="s">
        <v>74</v>
      </c>
      <c r="F3" s="0" t="s">
        <v>75</v>
      </c>
      <c r="G3" s="0" t="n">
        <v>25</v>
      </c>
      <c r="H3" s="0" t="n">
        <v>25</v>
      </c>
      <c r="I3" s="0" t="s">
        <v>76</v>
      </c>
      <c r="J3" s="19" t="n">
        <v>5500000</v>
      </c>
      <c r="K3" s="0" t="n">
        <v>0</v>
      </c>
      <c r="L3" s="19" t="n">
        <v>5500000</v>
      </c>
    </row>
    <row r="4" customFormat="false" ht="15" hidden="false" customHeight="false" outlineLevel="0" collapsed="false">
      <c r="A4" s="0" t="s">
        <v>77</v>
      </c>
      <c r="B4" s="0" t="s">
        <v>72</v>
      </c>
      <c r="C4" s="0" t="s">
        <v>78</v>
      </c>
      <c r="D4" s="0" t="s">
        <v>74</v>
      </c>
      <c r="E4" s="0" t="s">
        <v>75</v>
      </c>
      <c r="F4" s="0" t="s">
        <v>75</v>
      </c>
      <c r="G4" s="0" t="n">
        <v>20</v>
      </c>
      <c r="H4" s="0" t="n">
        <v>20</v>
      </c>
      <c r="I4" s="0" t="s">
        <v>76</v>
      </c>
      <c r="J4" s="19" t="n">
        <v>4400000</v>
      </c>
      <c r="K4" s="0" t="n">
        <v>0</v>
      </c>
      <c r="L4" s="19" t="n">
        <v>4400000</v>
      </c>
    </row>
    <row r="5" customFormat="false" ht="15" hidden="false" customHeight="false" outlineLevel="0" collapsed="false">
      <c r="A5" s="0" t="s">
        <v>79</v>
      </c>
      <c r="B5" s="0" t="s">
        <v>72</v>
      </c>
      <c r="C5" s="0" t="s">
        <v>73</v>
      </c>
      <c r="D5" s="0" t="s">
        <v>74</v>
      </c>
      <c r="E5" s="0" t="s">
        <v>75</v>
      </c>
      <c r="F5" s="0" t="s">
        <v>74</v>
      </c>
      <c r="G5" s="0" t="n">
        <v>5</v>
      </c>
      <c r="H5" s="0" t="n">
        <v>5</v>
      </c>
      <c r="I5" s="0" t="s">
        <v>76</v>
      </c>
      <c r="J5" s="19" t="n">
        <v>1100000</v>
      </c>
      <c r="K5" s="0" t="n">
        <v>0</v>
      </c>
      <c r="L5" s="19" t="n">
        <v>1100000</v>
      </c>
    </row>
    <row r="6" customFormat="false" ht="15" hidden="false" customHeight="false" outlineLevel="0" collapsed="false">
      <c r="A6" s="0" t="s">
        <v>80</v>
      </c>
      <c r="B6" s="0" t="s">
        <v>81</v>
      </c>
      <c r="C6" s="0" t="s">
        <v>78</v>
      </c>
      <c r="D6" s="0" t="s">
        <v>75</v>
      </c>
      <c r="E6" s="0" t="s">
        <v>75</v>
      </c>
      <c r="F6" s="0" t="s">
        <v>75</v>
      </c>
      <c r="G6" s="0" t="n">
        <v>50</v>
      </c>
      <c r="H6" s="0" t="n">
        <v>50</v>
      </c>
      <c r="I6" s="0" t="s">
        <v>76</v>
      </c>
      <c r="J6" s="19" t="n">
        <v>11000000</v>
      </c>
      <c r="K6" s="0" t="n">
        <v>0</v>
      </c>
      <c r="L6" s="19" t="n">
        <v>11000000</v>
      </c>
    </row>
    <row r="7" customFormat="false" ht="15" hidden="false" customHeight="false" outlineLevel="0" collapsed="false">
      <c r="A7" s="13" t="s">
        <v>82</v>
      </c>
      <c r="G7" s="20" t="n">
        <f aca="false">SUM(G3:G6)</f>
        <v>100</v>
      </c>
      <c r="H7" s="20" t="n">
        <f aca="false">SUM(H3:H6)</f>
        <v>100</v>
      </c>
    </row>
    <row r="9" customFormat="false" ht="15" hidden="false" customHeight="false" outlineLevel="0" collapsed="false">
      <c r="A9" s="13" t="s">
        <v>83</v>
      </c>
      <c r="B9" s="20" t="n">
        <f aca="false">SUMIF(B3:B6,"&lt;&gt;White",G3:G6)</f>
        <v>50</v>
      </c>
    </row>
    <row r="10" customFormat="false" ht="15" hidden="false" customHeight="false" outlineLevel="0" collapsed="false">
      <c r="A10" s="13" t="s">
        <v>84</v>
      </c>
      <c r="B10" s="20" t="n">
        <f aca="false">SUMIFS(G3:G6,B3:B6,"&lt;&gt;White",C3:C6,"Female")</f>
        <v>30</v>
      </c>
    </row>
    <row r="12" customFormat="false" ht="15" hidden="false" customHeight="false" outlineLevel="0" collapsed="false">
      <c r="A12" s="21"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8.859375" defaultRowHeight="15" zeroHeight="false" outlineLevelRow="0" outlineLevelCol="0"/>
  <cols>
    <col collapsed="false" customWidth="true" hidden="false" outlineLevel="0" max="1" min="1" style="22" width="25.29"/>
    <col collapsed="false" customWidth="true" hidden="false" outlineLevel="0" max="2" min="2" style="22" width="10.42"/>
    <col collapsed="false" customWidth="true" hidden="false" outlineLevel="0" max="3" min="3" style="22" width="9.14"/>
    <col collapsed="false" customWidth="true" hidden="false" outlineLevel="0" max="4" min="4" style="22" width="19"/>
    <col collapsed="false" customWidth="true" hidden="false" outlineLevel="0" max="6" min="5" style="22" width="10.42"/>
    <col collapsed="false" customWidth="true" hidden="false" outlineLevel="0" max="7" min="7" style="23" width="10.42"/>
    <col collapsed="false" customWidth="true" hidden="false" outlineLevel="0" max="8" min="8" style="24" width="14.29"/>
    <col collapsed="false" customWidth="true" hidden="false" outlineLevel="0" max="9" min="9" style="0" width="14.14"/>
    <col collapsed="false" customWidth="true" hidden="false" outlineLevel="0" max="10" min="10" style="0" width="14.29"/>
  </cols>
  <sheetData>
    <row r="1" customFormat="false" ht="18" hidden="false" customHeight="true" outlineLevel="0" collapsed="false">
      <c r="A1" s="25" t="s">
        <v>86</v>
      </c>
      <c r="B1" s="25"/>
      <c r="C1" s="25"/>
      <c r="D1" s="25"/>
      <c r="E1" s="25"/>
      <c r="F1" s="25"/>
      <c r="G1" s="25"/>
      <c r="H1" s="25"/>
      <c r="I1" s="25"/>
      <c r="J1" s="25"/>
    </row>
    <row r="2" customFormat="false" ht="45" hidden="false" customHeight="true" outlineLevel="0" collapsed="false">
      <c r="A2" s="26" t="s">
        <v>87</v>
      </c>
      <c r="B2" s="27" t="s">
        <v>88</v>
      </c>
      <c r="C2" s="27" t="s">
        <v>89</v>
      </c>
      <c r="D2" s="28" t="s">
        <v>90</v>
      </c>
      <c r="E2" s="29" t="s">
        <v>91</v>
      </c>
      <c r="F2" s="29" t="s">
        <v>92</v>
      </c>
      <c r="G2" s="30" t="s">
        <v>93</v>
      </c>
      <c r="H2" s="31" t="s">
        <v>94</v>
      </c>
      <c r="I2" s="29" t="s">
        <v>95</v>
      </c>
      <c r="J2" s="32" t="s">
        <v>96</v>
      </c>
    </row>
    <row r="3" customFormat="false" ht="15" hidden="false" customHeight="false" outlineLevel="0" collapsed="false">
      <c r="A3" s="22" t="s">
        <v>97</v>
      </c>
      <c r="B3" s="22" t="s">
        <v>73</v>
      </c>
      <c r="C3" s="22" t="s">
        <v>72</v>
      </c>
      <c r="D3" s="22" t="s">
        <v>98</v>
      </c>
      <c r="E3" s="33" t="s">
        <v>75</v>
      </c>
      <c r="F3" s="33" t="s">
        <v>75</v>
      </c>
      <c r="G3" s="23" t="s">
        <v>99</v>
      </c>
      <c r="H3" s="24" t="n">
        <v>33.34</v>
      </c>
      <c r="I3" s="34" t="s">
        <v>100</v>
      </c>
      <c r="J3" s="34" t="s">
        <v>101</v>
      </c>
    </row>
    <row r="4" customFormat="false" ht="15" hidden="false" customHeight="false" outlineLevel="0" collapsed="false">
      <c r="A4" s="22" t="s">
        <v>102</v>
      </c>
      <c r="B4" s="22" t="s">
        <v>78</v>
      </c>
      <c r="C4" s="22" t="s">
        <v>72</v>
      </c>
      <c r="D4" s="22" t="s">
        <v>98</v>
      </c>
      <c r="E4" s="33" t="s">
        <v>75</v>
      </c>
      <c r="F4" s="33" t="s">
        <v>75</v>
      </c>
      <c r="G4" s="23" t="s">
        <v>103</v>
      </c>
      <c r="H4" s="24" t="n">
        <v>33.33</v>
      </c>
      <c r="I4" s="34" t="s">
        <v>104</v>
      </c>
      <c r="J4" s="34" t="s">
        <v>105</v>
      </c>
    </row>
    <row r="5" customFormat="false" ht="15" hidden="false" customHeight="false" outlineLevel="0" collapsed="false">
      <c r="A5" s="22" t="s">
        <v>106</v>
      </c>
      <c r="B5" s="22" t="s">
        <v>73</v>
      </c>
      <c r="C5" s="22" t="s">
        <v>107</v>
      </c>
      <c r="D5" s="22" t="s">
        <v>108</v>
      </c>
      <c r="E5" s="33" t="s">
        <v>75</v>
      </c>
      <c r="F5" s="33" t="s">
        <v>75</v>
      </c>
      <c r="G5" s="23" t="s">
        <v>109</v>
      </c>
      <c r="H5" s="24" t="n">
        <v>33.33</v>
      </c>
      <c r="I5" s="34" t="s">
        <v>110</v>
      </c>
      <c r="J5" s="34" t="s">
        <v>111</v>
      </c>
    </row>
    <row r="6" customFormat="false" ht="15" hidden="false" customHeight="false" outlineLevel="0" collapsed="false">
      <c r="A6" s="22" t="s">
        <v>112</v>
      </c>
      <c r="B6" s="22" t="s">
        <v>78</v>
      </c>
      <c r="C6" s="22" t="s">
        <v>72</v>
      </c>
      <c r="D6" s="22" t="s">
        <v>113</v>
      </c>
      <c r="E6" s="33" t="s">
        <v>75</v>
      </c>
      <c r="F6" s="33" t="s">
        <v>75</v>
      </c>
      <c r="G6" s="23" t="s">
        <v>114</v>
      </c>
      <c r="H6" s="24" t="n">
        <v>0</v>
      </c>
      <c r="I6" s="34" t="s">
        <v>115</v>
      </c>
      <c r="J6" s="34" t="s">
        <v>116</v>
      </c>
    </row>
    <row r="7" customFormat="false" ht="15" hidden="false" customHeight="false" outlineLevel="0" collapsed="false">
      <c r="A7" s="22" t="s">
        <v>117</v>
      </c>
      <c r="B7" s="22" t="s">
        <v>73</v>
      </c>
      <c r="C7" s="22" t="s">
        <v>81</v>
      </c>
      <c r="D7" s="22" t="s">
        <v>113</v>
      </c>
      <c r="E7" s="33" t="s">
        <v>75</v>
      </c>
      <c r="F7" s="33" t="s">
        <v>75</v>
      </c>
      <c r="G7" s="23" t="s">
        <v>118</v>
      </c>
      <c r="H7" s="24" t="n">
        <v>0</v>
      </c>
      <c r="I7" s="34" t="s">
        <v>119</v>
      </c>
      <c r="J7" s="34" t="s">
        <v>120</v>
      </c>
    </row>
    <row r="8" customFormat="false" ht="15" hidden="false" customHeight="false" outlineLevel="0" collapsed="false">
      <c r="A8" s="22" t="s">
        <v>121</v>
      </c>
      <c r="B8" s="22" t="s">
        <v>73</v>
      </c>
      <c r="C8" s="22" t="s">
        <v>107</v>
      </c>
      <c r="D8" s="22" t="s">
        <v>113</v>
      </c>
      <c r="E8" s="33" t="s">
        <v>75</v>
      </c>
      <c r="F8" s="33" t="s">
        <v>75</v>
      </c>
      <c r="G8" s="23" t="s">
        <v>122</v>
      </c>
      <c r="H8" s="24" t="n">
        <v>0</v>
      </c>
      <c r="I8" s="34" t="s">
        <v>123</v>
      </c>
      <c r="J8" s="34" t="s">
        <v>124</v>
      </c>
    </row>
    <row r="9" customFormat="false" ht="15" hidden="false" customHeight="false" outlineLevel="0" collapsed="false">
      <c r="A9" s="22" t="s">
        <v>125</v>
      </c>
      <c r="B9" s="22" t="s">
        <v>73</v>
      </c>
      <c r="C9" s="22" t="s">
        <v>72</v>
      </c>
      <c r="D9" s="22" t="s">
        <v>126</v>
      </c>
      <c r="E9" s="33" t="s">
        <v>75</v>
      </c>
      <c r="F9" s="33" t="s">
        <v>75</v>
      </c>
      <c r="G9" s="23" t="s">
        <v>127</v>
      </c>
      <c r="H9" s="24" t="n">
        <v>0</v>
      </c>
      <c r="I9" s="34" t="s">
        <v>128</v>
      </c>
      <c r="J9" s="34" t="s">
        <v>129</v>
      </c>
    </row>
    <row r="10" customFormat="false" ht="15" hidden="false" customHeight="false" outlineLevel="0" collapsed="false">
      <c r="A10" s="22" t="s">
        <v>130</v>
      </c>
      <c r="B10" s="22" t="s">
        <v>78</v>
      </c>
      <c r="C10" s="22" t="s">
        <v>81</v>
      </c>
      <c r="D10" s="22" t="s">
        <v>126</v>
      </c>
      <c r="E10" s="33" t="s">
        <v>75</v>
      </c>
      <c r="F10" s="33" t="s">
        <v>75</v>
      </c>
      <c r="G10" s="23" t="s">
        <v>131</v>
      </c>
      <c r="H10" s="24" t="n">
        <v>0</v>
      </c>
      <c r="I10" s="34" t="s">
        <v>132</v>
      </c>
      <c r="J10" s="34" t="s">
        <v>133</v>
      </c>
    </row>
    <row r="11" customFormat="false" ht="15" hidden="false" customHeight="false" outlineLevel="0" collapsed="false">
      <c r="A11" s="22" t="s">
        <v>134</v>
      </c>
      <c r="B11" s="22" t="s">
        <v>73</v>
      </c>
      <c r="C11" s="22" t="s">
        <v>107</v>
      </c>
      <c r="D11" s="22" t="s">
        <v>126</v>
      </c>
      <c r="E11" s="33" t="s">
        <v>75</v>
      </c>
      <c r="F11" s="33" t="s">
        <v>75</v>
      </c>
      <c r="G11" s="23" t="s">
        <v>135</v>
      </c>
      <c r="H11" s="24" t="n">
        <v>0</v>
      </c>
      <c r="I11" s="34" t="s">
        <v>136</v>
      </c>
      <c r="J11" s="34" t="s">
        <v>137</v>
      </c>
    </row>
    <row r="12" customFormat="false" ht="15" hidden="false" customHeight="false" outlineLevel="0" collapsed="false">
      <c r="A12" s="22" t="s">
        <v>138</v>
      </c>
      <c r="B12" s="22" t="s">
        <v>78</v>
      </c>
      <c r="C12" s="22" t="s">
        <v>72</v>
      </c>
      <c r="D12" s="22" t="s">
        <v>126</v>
      </c>
      <c r="E12" s="33" t="s">
        <v>75</v>
      </c>
      <c r="F12" s="33" t="s">
        <v>75</v>
      </c>
      <c r="G12" s="23" t="s">
        <v>139</v>
      </c>
      <c r="H12" s="24" t="n">
        <v>0</v>
      </c>
      <c r="I12" s="34" t="s">
        <v>140</v>
      </c>
      <c r="J12" s="34" t="s">
        <v>141</v>
      </c>
    </row>
    <row r="13" customFormat="false" ht="15" hidden="false" customHeight="false" outlineLevel="0" collapsed="false">
      <c r="A13" s="22" t="s">
        <v>142</v>
      </c>
      <c r="B13" s="22" t="s">
        <v>73</v>
      </c>
      <c r="C13" s="22" t="s">
        <v>81</v>
      </c>
      <c r="D13" s="22" t="s">
        <v>126</v>
      </c>
      <c r="E13" s="33" t="s">
        <v>75</v>
      </c>
      <c r="F13" s="33" t="s">
        <v>75</v>
      </c>
      <c r="G13" s="23" t="s">
        <v>143</v>
      </c>
      <c r="H13" s="24" t="n">
        <v>0</v>
      </c>
      <c r="I13" s="34" t="s">
        <v>144</v>
      </c>
      <c r="J13" s="34" t="s">
        <v>145</v>
      </c>
    </row>
    <row r="14" customFormat="false" ht="15" hidden="false" customHeight="false" outlineLevel="0" collapsed="false">
      <c r="A14" s="22" t="s">
        <v>146</v>
      </c>
      <c r="B14" s="22" t="s">
        <v>78</v>
      </c>
      <c r="C14" s="22" t="s">
        <v>107</v>
      </c>
      <c r="D14" s="22" t="s">
        <v>126</v>
      </c>
      <c r="E14" s="33" t="s">
        <v>74</v>
      </c>
      <c r="F14" s="33" t="s">
        <v>75</v>
      </c>
      <c r="G14" s="23" t="s">
        <v>147</v>
      </c>
      <c r="H14" s="24" t="n">
        <v>0</v>
      </c>
      <c r="I14" s="34" t="s">
        <v>148</v>
      </c>
      <c r="J14" s="34" t="s">
        <v>149</v>
      </c>
    </row>
    <row r="15" customFormat="false" ht="15" hidden="false" customHeight="false" outlineLevel="0" collapsed="false">
      <c r="A15" s="22" t="s">
        <v>150</v>
      </c>
      <c r="B15" s="22" t="s">
        <v>73</v>
      </c>
      <c r="C15" s="22" t="s">
        <v>72</v>
      </c>
      <c r="D15" s="22" t="s">
        <v>151</v>
      </c>
      <c r="E15" s="33" t="s">
        <v>75</v>
      </c>
      <c r="F15" s="33" t="s">
        <v>75</v>
      </c>
      <c r="G15" s="23" t="s">
        <v>152</v>
      </c>
      <c r="H15" s="24" t="n">
        <v>0</v>
      </c>
      <c r="I15" s="34" t="s">
        <v>153</v>
      </c>
      <c r="J15" s="34" t="s">
        <v>154</v>
      </c>
    </row>
    <row r="16" customFormat="false" ht="15" hidden="false" customHeight="false" outlineLevel="0" collapsed="false">
      <c r="A16" s="22" t="s">
        <v>155</v>
      </c>
      <c r="B16" s="22" t="s">
        <v>73</v>
      </c>
      <c r="C16" s="22" t="s">
        <v>72</v>
      </c>
      <c r="D16" s="22" t="s">
        <v>151</v>
      </c>
      <c r="E16" s="33" t="s">
        <v>75</v>
      </c>
      <c r="F16" s="33" t="s">
        <v>75</v>
      </c>
      <c r="G16" s="23" t="s">
        <v>156</v>
      </c>
      <c r="H16" s="24" t="n">
        <v>0</v>
      </c>
      <c r="I16" s="34" t="s">
        <v>157</v>
      </c>
      <c r="J16" s="34" t="s">
        <v>158</v>
      </c>
    </row>
    <row r="17" customFormat="false" ht="15" hidden="false" customHeight="false" outlineLevel="0" collapsed="false">
      <c r="A17" s="22" t="s">
        <v>159</v>
      </c>
      <c r="B17" s="22" t="s">
        <v>78</v>
      </c>
      <c r="C17" s="22" t="s">
        <v>72</v>
      </c>
      <c r="D17" s="22" t="s">
        <v>151</v>
      </c>
      <c r="E17" s="33" t="s">
        <v>75</v>
      </c>
      <c r="F17" s="33" t="s">
        <v>75</v>
      </c>
      <c r="G17" s="23" t="s">
        <v>160</v>
      </c>
      <c r="H17" s="24" t="n">
        <v>0</v>
      </c>
      <c r="I17" s="34" t="s">
        <v>161</v>
      </c>
      <c r="J17" s="34" t="s">
        <v>162</v>
      </c>
    </row>
    <row r="18" customFormat="false" ht="15" hidden="false" customHeight="false" outlineLevel="0" collapsed="false">
      <c r="A18" s="22" t="s">
        <v>163</v>
      </c>
      <c r="B18" s="22" t="s">
        <v>78</v>
      </c>
      <c r="C18" s="22" t="s">
        <v>164</v>
      </c>
      <c r="D18" s="22" t="s">
        <v>151</v>
      </c>
      <c r="E18" s="33" t="s">
        <v>75</v>
      </c>
      <c r="F18" s="33" t="s">
        <v>75</v>
      </c>
      <c r="G18" s="23" t="s">
        <v>165</v>
      </c>
      <c r="H18" s="24" t="n">
        <v>0</v>
      </c>
      <c r="I18" s="34" t="s">
        <v>166</v>
      </c>
      <c r="J18" s="34" t="s">
        <v>167</v>
      </c>
    </row>
    <row r="19" customFormat="false" ht="15" hidden="false" customHeight="false" outlineLevel="0" collapsed="false">
      <c r="A19" s="22" t="s">
        <v>168</v>
      </c>
      <c r="B19" s="22" t="s">
        <v>73</v>
      </c>
      <c r="C19" s="22" t="s">
        <v>72</v>
      </c>
      <c r="D19" s="22" t="s">
        <v>151</v>
      </c>
      <c r="E19" s="33" t="s">
        <v>75</v>
      </c>
      <c r="F19" s="33" t="s">
        <v>75</v>
      </c>
      <c r="G19" s="23" t="s">
        <v>169</v>
      </c>
      <c r="H19" s="24" t="n">
        <v>0</v>
      </c>
      <c r="I19" s="34" t="s">
        <v>170</v>
      </c>
      <c r="J19" s="34" t="s">
        <v>171</v>
      </c>
    </row>
    <row r="20" customFormat="false" ht="15" hidden="false" customHeight="false" outlineLevel="0" collapsed="false">
      <c r="A20" s="22" t="s">
        <v>172</v>
      </c>
      <c r="B20" s="22" t="s">
        <v>78</v>
      </c>
      <c r="C20" s="22" t="s">
        <v>81</v>
      </c>
      <c r="D20" s="22" t="s">
        <v>151</v>
      </c>
      <c r="E20" s="33" t="s">
        <v>75</v>
      </c>
      <c r="F20" s="33" t="s">
        <v>75</v>
      </c>
      <c r="G20" s="23" t="s">
        <v>173</v>
      </c>
      <c r="H20" s="24" t="n">
        <v>0</v>
      </c>
      <c r="I20" s="34" t="s">
        <v>174</v>
      </c>
      <c r="J20" s="34" t="s">
        <v>175</v>
      </c>
    </row>
    <row r="21" customFormat="false" ht="15" hidden="false" customHeight="false" outlineLevel="0" collapsed="false">
      <c r="A21" s="22" t="s">
        <v>176</v>
      </c>
      <c r="B21" s="22" t="s">
        <v>78</v>
      </c>
      <c r="C21" s="22" t="s">
        <v>72</v>
      </c>
      <c r="D21" s="22" t="s">
        <v>151</v>
      </c>
      <c r="E21" s="33" t="s">
        <v>75</v>
      </c>
      <c r="F21" s="33" t="s">
        <v>75</v>
      </c>
      <c r="G21" s="23" t="s">
        <v>177</v>
      </c>
      <c r="H21" s="24" t="n">
        <v>0</v>
      </c>
      <c r="I21" s="34" t="s">
        <v>178</v>
      </c>
      <c r="J21" s="34" t="s">
        <v>179</v>
      </c>
    </row>
    <row r="22" customFormat="false" ht="15" hidden="false" customHeight="false" outlineLevel="0" collapsed="false">
      <c r="A22" s="22" t="s">
        <v>180</v>
      </c>
      <c r="B22" s="22" t="s">
        <v>78</v>
      </c>
      <c r="C22" s="22" t="s">
        <v>72</v>
      </c>
      <c r="D22" s="22" t="s">
        <v>151</v>
      </c>
      <c r="E22" s="33" t="s">
        <v>75</v>
      </c>
      <c r="F22" s="33" t="s">
        <v>75</v>
      </c>
      <c r="G22" s="23" t="s">
        <v>181</v>
      </c>
      <c r="H22" s="24" t="n">
        <v>0</v>
      </c>
      <c r="I22" s="34" t="s">
        <v>182</v>
      </c>
      <c r="J22" s="34" t="s">
        <v>183</v>
      </c>
    </row>
    <row r="23" customFormat="false" ht="15" hidden="false" customHeight="false" outlineLevel="0" collapsed="false">
      <c r="A23" s="22" t="s">
        <v>184</v>
      </c>
      <c r="B23" s="22" t="s">
        <v>73</v>
      </c>
      <c r="C23" s="22" t="s">
        <v>81</v>
      </c>
      <c r="D23" s="22" t="s">
        <v>151</v>
      </c>
      <c r="E23" s="33" t="s">
        <v>75</v>
      </c>
      <c r="F23" s="33" t="s">
        <v>75</v>
      </c>
      <c r="G23" s="23" t="s">
        <v>185</v>
      </c>
      <c r="H23" s="24" t="n">
        <v>0</v>
      </c>
      <c r="I23" s="34" t="s">
        <v>186</v>
      </c>
      <c r="J23" s="34" t="s">
        <v>187</v>
      </c>
    </row>
    <row r="24" customFormat="false" ht="15" hidden="false" customHeight="false" outlineLevel="0" collapsed="false">
      <c r="A24" s="22" t="s">
        <v>188</v>
      </c>
      <c r="B24" s="22" t="s">
        <v>73</v>
      </c>
      <c r="C24" s="22" t="s">
        <v>72</v>
      </c>
      <c r="D24" s="22" t="s">
        <v>151</v>
      </c>
      <c r="E24" s="33" t="s">
        <v>75</v>
      </c>
      <c r="F24" s="33" t="s">
        <v>75</v>
      </c>
      <c r="G24" s="23" t="s">
        <v>189</v>
      </c>
      <c r="H24" s="24" t="n">
        <v>0</v>
      </c>
      <c r="I24" s="34" t="s">
        <v>190</v>
      </c>
      <c r="J24" s="34" t="s">
        <v>191</v>
      </c>
    </row>
    <row r="25" customFormat="false" ht="15" hidden="false" customHeight="false" outlineLevel="0" collapsed="false">
      <c r="A25" s="22" t="s">
        <v>192</v>
      </c>
      <c r="B25" s="22" t="s">
        <v>78</v>
      </c>
      <c r="C25" s="22" t="s">
        <v>72</v>
      </c>
      <c r="D25" s="22" t="s">
        <v>151</v>
      </c>
      <c r="E25" s="33" t="s">
        <v>75</v>
      </c>
      <c r="F25" s="33" t="s">
        <v>75</v>
      </c>
      <c r="G25" s="23" t="s">
        <v>193</v>
      </c>
      <c r="H25" s="24" t="n">
        <v>0</v>
      </c>
      <c r="I25" s="34" t="s">
        <v>194</v>
      </c>
      <c r="J25" s="34" t="s">
        <v>195</v>
      </c>
    </row>
    <row r="26" customFormat="false" ht="15" hidden="false" customHeight="false" outlineLevel="0" collapsed="false">
      <c r="A26" s="22" t="s">
        <v>196</v>
      </c>
      <c r="B26" s="22" t="s">
        <v>73</v>
      </c>
      <c r="C26" s="22" t="s">
        <v>72</v>
      </c>
      <c r="D26" s="22" t="s">
        <v>151</v>
      </c>
      <c r="E26" s="33" t="s">
        <v>75</v>
      </c>
      <c r="F26" s="33" t="s">
        <v>75</v>
      </c>
      <c r="G26" s="23" t="s">
        <v>197</v>
      </c>
      <c r="H26" s="24" t="n">
        <v>0</v>
      </c>
      <c r="I26" s="34" t="s">
        <v>198</v>
      </c>
      <c r="J26" s="34" t="s">
        <v>199</v>
      </c>
    </row>
    <row r="27" customFormat="false" ht="15" hidden="false" customHeight="false" outlineLevel="0" collapsed="false">
      <c r="A27" s="22" t="s">
        <v>200</v>
      </c>
      <c r="B27" s="22" t="s">
        <v>73</v>
      </c>
      <c r="C27" s="22" t="s">
        <v>72</v>
      </c>
      <c r="D27" s="22" t="s">
        <v>201</v>
      </c>
      <c r="E27" s="33" t="s">
        <v>74</v>
      </c>
      <c r="F27" s="33" t="s">
        <v>75</v>
      </c>
      <c r="G27" s="23" t="s">
        <v>202</v>
      </c>
      <c r="H27" s="24" t="n">
        <v>0</v>
      </c>
      <c r="I27" s="34" t="s">
        <v>203</v>
      </c>
      <c r="J27" s="34" t="s">
        <v>204</v>
      </c>
    </row>
    <row r="28" customFormat="false" ht="15" hidden="false" customHeight="false" outlineLevel="0" collapsed="false">
      <c r="A28" s="22" t="s">
        <v>205</v>
      </c>
      <c r="B28" s="22" t="s">
        <v>78</v>
      </c>
      <c r="C28" s="22" t="s">
        <v>72</v>
      </c>
      <c r="D28" s="22" t="s">
        <v>201</v>
      </c>
      <c r="E28" s="33" t="s">
        <v>75</v>
      </c>
      <c r="F28" s="33" t="s">
        <v>75</v>
      </c>
      <c r="G28" s="23" t="s">
        <v>206</v>
      </c>
      <c r="H28" s="24" t="n">
        <v>0</v>
      </c>
      <c r="I28" s="34" t="s">
        <v>207</v>
      </c>
      <c r="J28" s="34" t="s">
        <v>208</v>
      </c>
    </row>
    <row r="29" customFormat="false" ht="15" hidden="false" customHeight="false" outlineLevel="0" collapsed="false">
      <c r="A29" s="22" t="s">
        <v>209</v>
      </c>
      <c r="B29" s="22" t="s">
        <v>78</v>
      </c>
      <c r="C29" s="22" t="s">
        <v>164</v>
      </c>
      <c r="D29" s="22" t="s">
        <v>201</v>
      </c>
      <c r="E29" s="33" t="s">
        <v>74</v>
      </c>
      <c r="F29" s="33" t="s">
        <v>75</v>
      </c>
      <c r="G29" s="23" t="s">
        <v>210</v>
      </c>
      <c r="H29" s="24" t="n">
        <v>0</v>
      </c>
      <c r="I29" s="34" t="s">
        <v>211</v>
      </c>
      <c r="J29" s="34" t="s">
        <v>212</v>
      </c>
    </row>
    <row r="30" customFormat="false" ht="15" hidden="false" customHeight="false" outlineLevel="0" collapsed="false">
      <c r="A30" s="22" t="s">
        <v>213</v>
      </c>
      <c r="B30" s="22" t="s">
        <v>73</v>
      </c>
      <c r="C30" s="22" t="s">
        <v>72</v>
      </c>
      <c r="D30" s="22" t="s">
        <v>201</v>
      </c>
      <c r="E30" s="33" t="s">
        <v>75</v>
      </c>
      <c r="F30" s="33" t="s">
        <v>75</v>
      </c>
      <c r="G30" s="23" t="s">
        <v>214</v>
      </c>
      <c r="H30" s="24" t="n">
        <v>0</v>
      </c>
      <c r="I30" s="34" t="s">
        <v>215</v>
      </c>
      <c r="J30" s="34" t="s">
        <v>216</v>
      </c>
    </row>
    <row r="31" customFormat="false" ht="15" hidden="false" customHeight="false" outlineLevel="0" collapsed="false">
      <c r="A31" s="22" t="s">
        <v>217</v>
      </c>
      <c r="B31" s="22" t="s">
        <v>73</v>
      </c>
      <c r="C31" s="22" t="s">
        <v>72</v>
      </c>
      <c r="D31" s="22" t="s">
        <v>201</v>
      </c>
      <c r="E31" s="33" t="s">
        <v>75</v>
      </c>
      <c r="F31" s="33" t="s">
        <v>75</v>
      </c>
      <c r="G31" s="23" t="s">
        <v>218</v>
      </c>
      <c r="H31" s="24" t="n">
        <v>0</v>
      </c>
      <c r="I31" s="34" t="s">
        <v>219</v>
      </c>
      <c r="J31" s="34" t="s">
        <v>220</v>
      </c>
    </row>
    <row r="32" customFormat="false" ht="15" hidden="false" customHeight="false" outlineLevel="0" collapsed="false">
      <c r="A32" s="22" t="s">
        <v>221</v>
      </c>
      <c r="B32" s="22" t="s">
        <v>78</v>
      </c>
      <c r="C32" s="22" t="s">
        <v>72</v>
      </c>
      <c r="D32" s="22" t="s">
        <v>201</v>
      </c>
      <c r="E32" s="33" t="s">
        <v>75</v>
      </c>
      <c r="F32" s="33" t="s">
        <v>75</v>
      </c>
      <c r="G32" s="23" t="s">
        <v>222</v>
      </c>
      <c r="H32" s="24" t="n">
        <v>0</v>
      </c>
      <c r="I32" s="34" t="s">
        <v>223</v>
      </c>
      <c r="J32" s="34" t="s">
        <v>224</v>
      </c>
    </row>
    <row r="33" customFormat="false" ht="15" hidden="false" customHeight="false" outlineLevel="0" collapsed="false">
      <c r="A33" s="22" t="s">
        <v>225</v>
      </c>
      <c r="B33" s="22" t="s">
        <v>73</v>
      </c>
      <c r="C33" s="22" t="s">
        <v>107</v>
      </c>
      <c r="D33" s="22" t="s">
        <v>201</v>
      </c>
      <c r="E33" s="33" t="s">
        <v>75</v>
      </c>
      <c r="F33" s="33" t="s">
        <v>75</v>
      </c>
      <c r="G33" s="23" t="s">
        <v>226</v>
      </c>
      <c r="H33" s="24" t="n">
        <v>0</v>
      </c>
      <c r="I33" s="34" t="s">
        <v>227</v>
      </c>
      <c r="J33" s="34" t="s">
        <v>228</v>
      </c>
    </row>
    <row r="34" customFormat="false" ht="15" hidden="false" customHeight="false" outlineLevel="0" collapsed="false">
      <c r="A34" s="22" t="s">
        <v>229</v>
      </c>
      <c r="B34" s="22" t="s">
        <v>78</v>
      </c>
      <c r="C34" s="22" t="s">
        <v>164</v>
      </c>
      <c r="D34" s="22" t="s">
        <v>201</v>
      </c>
      <c r="E34" s="33" t="s">
        <v>75</v>
      </c>
      <c r="F34" s="33" t="s">
        <v>75</v>
      </c>
      <c r="G34" s="23" t="s">
        <v>230</v>
      </c>
      <c r="H34" s="24" t="n">
        <v>0</v>
      </c>
      <c r="I34" s="34" t="s">
        <v>231</v>
      </c>
      <c r="J34" s="34" t="s">
        <v>232</v>
      </c>
    </row>
    <row r="35" customFormat="false" ht="15" hidden="false" customHeight="false" outlineLevel="0" collapsed="false">
      <c r="A35" s="22" t="s">
        <v>233</v>
      </c>
      <c r="B35" s="22" t="s">
        <v>78</v>
      </c>
      <c r="C35" s="22" t="s">
        <v>107</v>
      </c>
      <c r="D35" s="22" t="s">
        <v>201</v>
      </c>
      <c r="E35" s="33" t="s">
        <v>75</v>
      </c>
      <c r="F35" s="33" t="s">
        <v>75</v>
      </c>
      <c r="G35" s="23" t="s">
        <v>234</v>
      </c>
      <c r="H35" s="24" t="n">
        <v>0</v>
      </c>
      <c r="I35" s="34" t="s">
        <v>235</v>
      </c>
      <c r="J35" s="34" t="s">
        <v>236</v>
      </c>
    </row>
    <row r="36" customFormat="false" ht="15" hidden="false" customHeight="false" outlineLevel="0" collapsed="false">
      <c r="A36" s="22" t="s">
        <v>237</v>
      </c>
      <c r="B36" s="22" t="s">
        <v>73</v>
      </c>
      <c r="C36" s="22" t="s">
        <v>72</v>
      </c>
      <c r="D36" s="22" t="s">
        <v>201</v>
      </c>
      <c r="E36" s="33" t="s">
        <v>75</v>
      </c>
      <c r="F36" s="33" t="s">
        <v>75</v>
      </c>
      <c r="G36" s="23" t="s">
        <v>238</v>
      </c>
      <c r="H36" s="24" t="n">
        <v>0</v>
      </c>
      <c r="I36" s="34" t="s">
        <v>239</v>
      </c>
      <c r="J36" s="34" t="s">
        <v>240</v>
      </c>
    </row>
    <row r="37" customFormat="false" ht="15" hidden="false" customHeight="false" outlineLevel="0" collapsed="false">
      <c r="A37" s="22" t="s">
        <v>241</v>
      </c>
      <c r="B37" s="22" t="s">
        <v>78</v>
      </c>
      <c r="C37" s="22" t="s">
        <v>72</v>
      </c>
      <c r="D37" s="22" t="s">
        <v>201</v>
      </c>
      <c r="E37" s="33" t="s">
        <v>75</v>
      </c>
      <c r="F37" s="33" t="s">
        <v>75</v>
      </c>
      <c r="G37" s="23" t="s">
        <v>242</v>
      </c>
      <c r="H37" s="24" t="n">
        <v>0</v>
      </c>
      <c r="I37" s="34" t="s">
        <v>243</v>
      </c>
      <c r="J37" s="34" t="s">
        <v>244</v>
      </c>
    </row>
    <row r="38" customFormat="false" ht="15" hidden="false" customHeight="false" outlineLevel="0" collapsed="false">
      <c r="A38" s="22" t="s">
        <v>245</v>
      </c>
      <c r="B38" s="22" t="s">
        <v>73</v>
      </c>
      <c r="C38" s="22" t="s">
        <v>72</v>
      </c>
      <c r="D38" s="22" t="s">
        <v>201</v>
      </c>
      <c r="E38" s="33" t="s">
        <v>75</v>
      </c>
      <c r="F38" s="33" t="s">
        <v>75</v>
      </c>
      <c r="G38" s="23" t="s">
        <v>246</v>
      </c>
      <c r="H38" s="24" t="n">
        <v>0</v>
      </c>
      <c r="I38" s="34" t="s">
        <v>247</v>
      </c>
      <c r="J38" s="34" t="s">
        <v>248</v>
      </c>
    </row>
    <row r="39" customFormat="false" ht="15" hidden="false" customHeight="false" outlineLevel="0" collapsed="false">
      <c r="A39" s="22" t="s">
        <v>249</v>
      </c>
      <c r="B39" s="22" t="s">
        <v>73</v>
      </c>
      <c r="C39" s="22" t="s">
        <v>72</v>
      </c>
      <c r="D39" s="22" t="s">
        <v>201</v>
      </c>
      <c r="E39" s="33" t="s">
        <v>75</v>
      </c>
      <c r="F39" s="33" t="s">
        <v>75</v>
      </c>
      <c r="G39" s="23" t="s">
        <v>250</v>
      </c>
      <c r="H39" s="24" t="n">
        <v>0</v>
      </c>
      <c r="I39" s="34" t="s">
        <v>251</v>
      </c>
      <c r="J39" s="34" t="s">
        <v>252</v>
      </c>
    </row>
    <row r="40" customFormat="false" ht="15" hidden="false" customHeight="false" outlineLevel="0" collapsed="false">
      <c r="A40" s="22" t="s">
        <v>253</v>
      </c>
      <c r="B40" s="22" t="s">
        <v>78</v>
      </c>
      <c r="C40" s="22" t="s">
        <v>81</v>
      </c>
      <c r="D40" s="22" t="s">
        <v>201</v>
      </c>
      <c r="E40" s="33" t="s">
        <v>75</v>
      </c>
      <c r="F40" s="33" t="s">
        <v>75</v>
      </c>
      <c r="G40" s="23" t="s">
        <v>254</v>
      </c>
      <c r="H40" s="24" t="n">
        <v>0</v>
      </c>
      <c r="I40" s="34" t="s">
        <v>255</v>
      </c>
      <c r="J40" s="34" t="s">
        <v>256</v>
      </c>
    </row>
    <row r="41" customFormat="false" ht="15" hidden="false" customHeight="false" outlineLevel="0" collapsed="false">
      <c r="A41" s="22" t="s">
        <v>257</v>
      </c>
      <c r="B41" s="22" t="s">
        <v>73</v>
      </c>
      <c r="C41" s="22" t="s">
        <v>72</v>
      </c>
      <c r="D41" s="22" t="s">
        <v>201</v>
      </c>
      <c r="E41" s="33" t="s">
        <v>75</v>
      </c>
      <c r="F41" s="33" t="s">
        <v>75</v>
      </c>
      <c r="G41" s="23" t="s">
        <v>258</v>
      </c>
      <c r="H41" s="24" t="n">
        <v>0</v>
      </c>
      <c r="I41" s="34" t="s">
        <v>259</v>
      </c>
      <c r="J41" s="34" t="s">
        <v>260</v>
      </c>
    </row>
    <row r="42" customFormat="false" ht="15" hidden="false" customHeight="false" outlineLevel="0" collapsed="false">
      <c r="A42" s="22" t="s">
        <v>261</v>
      </c>
      <c r="B42" s="22" t="s">
        <v>78</v>
      </c>
      <c r="C42" s="22" t="s">
        <v>72</v>
      </c>
      <c r="D42" s="22" t="s">
        <v>201</v>
      </c>
      <c r="E42" s="33" t="s">
        <v>75</v>
      </c>
      <c r="F42" s="33" t="s">
        <v>75</v>
      </c>
      <c r="G42" s="23" t="s">
        <v>262</v>
      </c>
      <c r="H42" s="24" t="n">
        <v>0</v>
      </c>
      <c r="I42" s="34" t="s">
        <v>263</v>
      </c>
      <c r="J42" s="34" t="s">
        <v>264</v>
      </c>
    </row>
    <row r="43" customFormat="false" ht="15" hidden="false" customHeight="false" outlineLevel="0" collapsed="false">
      <c r="A43" s="22" t="s">
        <v>265</v>
      </c>
      <c r="B43" s="22" t="s">
        <v>78</v>
      </c>
      <c r="C43" s="22" t="s">
        <v>72</v>
      </c>
      <c r="D43" s="22" t="s">
        <v>266</v>
      </c>
      <c r="E43" s="33" t="s">
        <v>75</v>
      </c>
      <c r="F43" s="33" t="s">
        <v>75</v>
      </c>
      <c r="G43" s="23" t="s">
        <v>267</v>
      </c>
      <c r="H43" s="24" t="n">
        <v>0</v>
      </c>
      <c r="I43" s="34" t="s">
        <v>268</v>
      </c>
      <c r="J43" s="34" t="s">
        <v>269</v>
      </c>
    </row>
    <row r="44" customFormat="false" ht="15" hidden="false" customHeight="false" outlineLevel="0" collapsed="false">
      <c r="A44" s="22" t="s">
        <v>270</v>
      </c>
      <c r="B44" s="22" t="s">
        <v>78</v>
      </c>
      <c r="C44" s="22" t="s">
        <v>164</v>
      </c>
      <c r="D44" s="22" t="s">
        <v>266</v>
      </c>
      <c r="E44" s="33" t="s">
        <v>75</v>
      </c>
      <c r="F44" s="33" t="s">
        <v>75</v>
      </c>
      <c r="G44" s="23" t="s">
        <v>271</v>
      </c>
      <c r="H44" s="24" t="n">
        <v>0</v>
      </c>
      <c r="I44" s="34" t="s">
        <v>272</v>
      </c>
      <c r="J44" s="34" t="s">
        <v>273</v>
      </c>
    </row>
    <row r="45" customFormat="false" ht="15" hidden="false" customHeight="false" outlineLevel="0" collapsed="false">
      <c r="A45" s="22" t="s">
        <v>274</v>
      </c>
      <c r="B45" s="22" t="s">
        <v>73</v>
      </c>
      <c r="C45" s="22" t="s">
        <v>72</v>
      </c>
      <c r="D45" s="22" t="s">
        <v>266</v>
      </c>
      <c r="E45" s="33" t="s">
        <v>75</v>
      </c>
      <c r="F45" s="33" t="s">
        <v>75</v>
      </c>
      <c r="G45" s="23" t="s">
        <v>275</v>
      </c>
      <c r="H45" s="24" t="n">
        <v>0</v>
      </c>
      <c r="I45" s="34" t="s">
        <v>276</v>
      </c>
      <c r="J45" s="34" t="s">
        <v>277</v>
      </c>
    </row>
    <row r="46" customFormat="false" ht="15" hidden="false" customHeight="false" outlineLevel="0" collapsed="false">
      <c r="A46" s="22" t="s">
        <v>278</v>
      </c>
      <c r="B46" s="22" t="s">
        <v>73</v>
      </c>
      <c r="C46" s="22" t="s">
        <v>72</v>
      </c>
      <c r="D46" s="22" t="s">
        <v>266</v>
      </c>
      <c r="E46" s="33" t="s">
        <v>75</v>
      </c>
      <c r="F46" s="33" t="s">
        <v>75</v>
      </c>
      <c r="G46" s="23" t="s">
        <v>279</v>
      </c>
      <c r="H46" s="24" t="n">
        <v>0</v>
      </c>
      <c r="I46" s="34" t="s">
        <v>280</v>
      </c>
      <c r="J46" s="34" t="s">
        <v>281</v>
      </c>
    </row>
    <row r="47" customFormat="false" ht="15" hidden="false" customHeight="false" outlineLevel="0" collapsed="false">
      <c r="A47" s="22" t="s">
        <v>282</v>
      </c>
      <c r="B47" s="22" t="s">
        <v>73</v>
      </c>
      <c r="C47" s="22" t="s">
        <v>72</v>
      </c>
      <c r="D47" s="22" t="s">
        <v>266</v>
      </c>
      <c r="E47" s="33" t="s">
        <v>75</v>
      </c>
      <c r="F47" s="33" t="s">
        <v>75</v>
      </c>
      <c r="G47" s="23" t="s">
        <v>283</v>
      </c>
      <c r="H47" s="24" t="n">
        <v>0</v>
      </c>
      <c r="I47" s="34" t="s">
        <v>284</v>
      </c>
      <c r="J47" s="34" t="s">
        <v>285</v>
      </c>
    </row>
    <row r="48" customFormat="false" ht="15" hidden="false" customHeight="false" outlineLevel="0" collapsed="false">
      <c r="A48" s="22" t="s">
        <v>172</v>
      </c>
      <c r="B48" s="22" t="s">
        <v>78</v>
      </c>
      <c r="C48" s="22" t="s">
        <v>81</v>
      </c>
      <c r="D48" s="22" t="s">
        <v>266</v>
      </c>
      <c r="E48" s="33" t="s">
        <v>75</v>
      </c>
      <c r="F48" s="33" t="s">
        <v>75</v>
      </c>
      <c r="G48" s="23" t="s">
        <v>286</v>
      </c>
      <c r="H48" s="24" t="n">
        <v>0</v>
      </c>
      <c r="I48" s="34" t="s">
        <v>287</v>
      </c>
      <c r="J48" s="34" t="s">
        <v>288</v>
      </c>
    </row>
    <row r="49" customFormat="false" ht="15" hidden="false" customHeight="false" outlineLevel="0" collapsed="false">
      <c r="A49" s="22" t="s">
        <v>289</v>
      </c>
      <c r="B49" s="22" t="s">
        <v>78</v>
      </c>
      <c r="C49" s="22" t="s">
        <v>72</v>
      </c>
      <c r="D49" s="22" t="s">
        <v>266</v>
      </c>
      <c r="E49" s="33" t="s">
        <v>75</v>
      </c>
      <c r="F49" s="33" t="s">
        <v>75</v>
      </c>
      <c r="G49" s="23" t="s">
        <v>290</v>
      </c>
      <c r="H49" s="24" t="n">
        <v>0</v>
      </c>
      <c r="I49" s="34" t="s">
        <v>291</v>
      </c>
      <c r="J49" s="34" t="s">
        <v>292</v>
      </c>
    </row>
    <row r="50" customFormat="false" ht="15" hidden="false" customHeight="false" outlineLevel="0" collapsed="false">
      <c r="A50" s="22" t="s">
        <v>293</v>
      </c>
      <c r="B50" s="22" t="s">
        <v>73</v>
      </c>
      <c r="C50" s="22" t="s">
        <v>72</v>
      </c>
      <c r="D50" s="22" t="s">
        <v>266</v>
      </c>
      <c r="E50" s="33" t="s">
        <v>75</v>
      </c>
      <c r="F50" s="33" t="s">
        <v>75</v>
      </c>
      <c r="G50" s="23" t="s">
        <v>294</v>
      </c>
      <c r="H50" s="24" t="n">
        <v>0</v>
      </c>
      <c r="I50" s="34" t="s">
        <v>295</v>
      </c>
      <c r="J50" s="34" t="s">
        <v>296</v>
      </c>
    </row>
    <row r="51" customFormat="false" ht="15" hidden="false" customHeight="false" outlineLevel="0" collapsed="false">
      <c r="A51" s="22" t="s">
        <v>297</v>
      </c>
      <c r="B51" s="22" t="s">
        <v>78</v>
      </c>
      <c r="C51" s="22" t="s">
        <v>72</v>
      </c>
      <c r="D51" s="22" t="s">
        <v>266</v>
      </c>
      <c r="E51" s="33" t="s">
        <v>75</v>
      </c>
      <c r="F51" s="33" t="s">
        <v>75</v>
      </c>
      <c r="G51" s="23" t="s">
        <v>298</v>
      </c>
      <c r="H51" s="24" t="n">
        <v>0</v>
      </c>
      <c r="I51" s="34" t="s">
        <v>299</v>
      </c>
      <c r="J51" s="34" t="s">
        <v>300</v>
      </c>
    </row>
    <row r="52" customFormat="false" ht="15" hidden="false" customHeight="false" outlineLevel="0" collapsed="false">
      <c r="A52" s="22" t="s">
        <v>121</v>
      </c>
      <c r="B52" s="22" t="s">
        <v>73</v>
      </c>
      <c r="C52" s="22" t="s">
        <v>107</v>
      </c>
      <c r="D52" s="22" t="s">
        <v>266</v>
      </c>
      <c r="E52" s="33" t="s">
        <v>75</v>
      </c>
      <c r="F52" s="33" t="s">
        <v>75</v>
      </c>
      <c r="G52" s="23" t="s">
        <v>301</v>
      </c>
      <c r="H52" s="24" t="n">
        <v>0</v>
      </c>
      <c r="I52" s="34" t="s">
        <v>302</v>
      </c>
      <c r="J52" s="34" t="s">
        <v>303</v>
      </c>
    </row>
    <row r="53" customFormat="false" ht="15" hidden="false" customHeight="false" outlineLevel="0" collapsed="false">
      <c r="A53" s="22" t="s">
        <v>304</v>
      </c>
      <c r="B53" s="22" t="s">
        <v>78</v>
      </c>
      <c r="C53" s="22" t="s">
        <v>72</v>
      </c>
      <c r="D53" s="22" t="s">
        <v>266</v>
      </c>
      <c r="E53" s="33" t="s">
        <v>75</v>
      </c>
      <c r="F53" s="33" t="s">
        <v>75</v>
      </c>
      <c r="G53" s="23" t="s">
        <v>305</v>
      </c>
      <c r="H53" s="24" t="n">
        <v>0</v>
      </c>
      <c r="I53" s="34" t="s">
        <v>306</v>
      </c>
      <c r="J53" s="34" t="s">
        <v>307</v>
      </c>
    </row>
    <row r="54" customFormat="false" ht="15" hidden="false" customHeight="false" outlineLevel="0" collapsed="false">
      <c r="A54" s="22" t="s">
        <v>308</v>
      </c>
      <c r="B54" s="22" t="s">
        <v>78</v>
      </c>
      <c r="C54" s="22" t="s">
        <v>164</v>
      </c>
      <c r="D54" s="22" t="s">
        <v>266</v>
      </c>
      <c r="E54" s="33" t="s">
        <v>75</v>
      </c>
      <c r="F54" s="33" t="s">
        <v>75</v>
      </c>
      <c r="G54" s="23" t="s">
        <v>309</v>
      </c>
      <c r="H54" s="24" t="n">
        <v>0</v>
      </c>
      <c r="I54" s="34" t="s">
        <v>310</v>
      </c>
      <c r="J54" s="34" t="s">
        <v>311</v>
      </c>
    </row>
    <row r="55" customFormat="false" ht="15" hidden="false" customHeight="false" outlineLevel="0" collapsed="false">
      <c r="A55" s="22" t="s">
        <v>312</v>
      </c>
      <c r="B55" s="22" t="s">
        <v>73</v>
      </c>
      <c r="C55" s="22" t="s">
        <v>81</v>
      </c>
      <c r="D55" s="22" t="s">
        <v>266</v>
      </c>
      <c r="E55" s="33" t="s">
        <v>75</v>
      </c>
      <c r="F55" s="33" t="s">
        <v>75</v>
      </c>
      <c r="G55" s="23" t="s">
        <v>313</v>
      </c>
      <c r="H55" s="24" t="n">
        <v>0</v>
      </c>
      <c r="I55" s="34" t="s">
        <v>314</v>
      </c>
      <c r="J55" s="34" t="s">
        <v>315</v>
      </c>
    </row>
    <row r="56" customFormat="false" ht="15" hidden="false" customHeight="false" outlineLevel="0" collapsed="false">
      <c r="A56" s="22" t="s">
        <v>316</v>
      </c>
      <c r="B56" s="22" t="s">
        <v>78</v>
      </c>
      <c r="C56" s="22" t="s">
        <v>107</v>
      </c>
      <c r="D56" s="22" t="s">
        <v>266</v>
      </c>
      <c r="E56" s="33" t="s">
        <v>75</v>
      </c>
      <c r="F56" s="33" t="s">
        <v>75</v>
      </c>
      <c r="G56" s="23" t="s">
        <v>317</v>
      </c>
      <c r="H56" s="24" t="n">
        <v>0</v>
      </c>
      <c r="I56" s="34" t="s">
        <v>318</v>
      </c>
      <c r="J56" s="34" t="s">
        <v>319</v>
      </c>
    </row>
    <row r="57" customFormat="false" ht="15" hidden="false" customHeight="false" outlineLevel="0" collapsed="false">
      <c r="A57" s="22" t="s">
        <v>320</v>
      </c>
      <c r="B57" s="22" t="s">
        <v>73</v>
      </c>
      <c r="C57" s="22" t="s">
        <v>72</v>
      </c>
      <c r="D57" s="22" t="s">
        <v>266</v>
      </c>
      <c r="E57" s="33" t="s">
        <v>75</v>
      </c>
      <c r="F57" s="33" t="s">
        <v>75</v>
      </c>
      <c r="G57" s="23" t="s">
        <v>321</v>
      </c>
      <c r="H57" s="24" t="n">
        <v>0</v>
      </c>
      <c r="I57" s="34" t="s">
        <v>322</v>
      </c>
      <c r="J57" s="34" t="s">
        <v>323</v>
      </c>
    </row>
    <row r="58" customFormat="false" ht="15" hidden="false" customHeight="false" outlineLevel="0" collapsed="false">
      <c r="A58" s="22" t="s">
        <v>324</v>
      </c>
      <c r="B58" s="22" t="s">
        <v>73</v>
      </c>
      <c r="C58" s="22" t="s">
        <v>72</v>
      </c>
      <c r="D58" s="22" t="s">
        <v>266</v>
      </c>
      <c r="E58" s="33" t="s">
        <v>75</v>
      </c>
      <c r="F58" s="33" t="s">
        <v>75</v>
      </c>
      <c r="G58" s="23" t="s">
        <v>325</v>
      </c>
      <c r="H58" s="24" t="n">
        <v>0</v>
      </c>
      <c r="I58" s="34" t="s">
        <v>326</v>
      </c>
      <c r="J58" s="34" t="s">
        <v>327</v>
      </c>
    </row>
    <row r="59" customFormat="false" ht="15" hidden="false" customHeight="false" outlineLevel="0" collapsed="false">
      <c r="A59" s="22" t="s">
        <v>328</v>
      </c>
      <c r="B59" s="22" t="s">
        <v>78</v>
      </c>
      <c r="C59" s="22" t="s">
        <v>107</v>
      </c>
      <c r="D59" s="22" t="s">
        <v>266</v>
      </c>
      <c r="E59" s="33" t="s">
        <v>75</v>
      </c>
      <c r="F59" s="33" t="s">
        <v>75</v>
      </c>
      <c r="G59" s="23" t="s">
        <v>329</v>
      </c>
      <c r="H59" s="24" t="n">
        <v>0</v>
      </c>
      <c r="I59" s="34" t="s">
        <v>330</v>
      </c>
      <c r="J59" s="34" t="s">
        <v>331</v>
      </c>
    </row>
    <row r="60" customFormat="false" ht="15" hidden="false" customHeight="false" outlineLevel="0" collapsed="false">
      <c r="A60" s="22" t="s">
        <v>332</v>
      </c>
      <c r="B60" s="22" t="s">
        <v>73</v>
      </c>
      <c r="C60" s="22" t="s">
        <v>72</v>
      </c>
      <c r="D60" s="22" t="s">
        <v>266</v>
      </c>
      <c r="E60" s="33" t="s">
        <v>75</v>
      </c>
      <c r="F60" s="33" t="s">
        <v>75</v>
      </c>
      <c r="G60" s="23" t="s">
        <v>333</v>
      </c>
      <c r="H60" s="24" t="n">
        <v>0</v>
      </c>
      <c r="I60" s="34" t="s">
        <v>334</v>
      </c>
      <c r="J60" s="34" t="s">
        <v>335</v>
      </c>
    </row>
    <row r="61" customFormat="false" ht="15" hidden="false" customHeight="false" outlineLevel="0" collapsed="false">
      <c r="A61" s="22" t="s">
        <v>336</v>
      </c>
      <c r="B61" s="22" t="s">
        <v>78</v>
      </c>
      <c r="C61" s="22" t="s">
        <v>72</v>
      </c>
      <c r="D61" s="22" t="s">
        <v>337</v>
      </c>
      <c r="E61" s="33" t="s">
        <v>75</v>
      </c>
      <c r="F61" s="33" t="s">
        <v>75</v>
      </c>
      <c r="G61" s="23" t="s">
        <v>338</v>
      </c>
      <c r="H61" s="24" t="n">
        <v>0</v>
      </c>
      <c r="I61" s="34" t="s">
        <v>339</v>
      </c>
      <c r="J61" s="34" t="s">
        <v>340</v>
      </c>
    </row>
    <row r="62" customFormat="false" ht="15" hidden="false" customHeight="false" outlineLevel="0" collapsed="false">
      <c r="A62" s="22" t="s">
        <v>341</v>
      </c>
      <c r="B62" s="22" t="s">
        <v>78</v>
      </c>
      <c r="C62" s="22" t="s">
        <v>72</v>
      </c>
      <c r="D62" s="22" t="s">
        <v>337</v>
      </c>
      <c r="E62" s="33" t="s">
        <v>75</v>
      </c>
      <c r="F62" s="33" t="s">
        <v>75</v>
      </c>
      <c r="G62" s="23" t="s">
        <v>342</v>
      </c>
      <c r="H62" s="24" t="n">
        <v>0</v>
      </c>
      <c r="I62" s="34" t="s">
        <v>343</v>
      </c>
      <c r="J62" s="34" t="s">
        <v>344</v>
      </c>
    </row>
    <row r="63" customFormat="false" ht="15" hidden="false" customHeight="false" outlineLevel="0" collapsed="false">
      <c r="A63" s="22" t="s">
        <v>345</v>
      </c>
      <c r="B63" s="22" t="s">
        <v>78</v>
      </c>
      <c r="C63" s="22" t="s">
        <v>72</v>
      </c>
      <c r="D63" s="22" t="s">
        <v>337</v>
      </c>
      <c r="E63" s="33" t="s">
        <v>75</v>
      </c>
      <c r="F63" s="33" t="s">
        <v>75</v>
      </c>
      <c r="G63" s="23" t="s">
        <v>346</v>
      </c>
      <c r="H63" s="24" t="n">
        <v>0</v>
      </c>
      <c r="I63" s="34" t="s">
        <v>347</v>
      </c>
      <c r="J63" s="34" t="s">
        <v>348</v>
      </c>
    </row>
    <row r="64" customFormat="false" ht="15" hidden="false" customHeight="false" outlineLevel="0" collapsed="false">
      <c r="A64" s="22" t="s">
        <v>349</v>
      </c>
      <c r="B64" s="22" t="s">
        <v>78</v>
      </c>
      <c r="C64" s="22" t="s">
        <v>72</v>
      </c>
      <c r="D64" s="22" t="s">
        <v>337</v>
      </c>
      <c r="E64" s="33" t="s">
        <v>75</v>
      </c>
      <c r="F64" s="33" t="s">
        <v>75</v>
      </c>
      <c r="G64" s="23" t="s">
        <v>350</v>
      </c>
      <c r="H64" s="24" t="n">
        <v>0</v>
      </c>
      <c r="I64" s="34" t="s">
        <v>351</v>
      </c>
      <c r="J64" s="34" t="s">
        <v>352</v>
      </c>
    </row>
    <row r="65" customFormat="false" ht="15" hidden="false" customHeight="false" outlineLevel="0" collapsed="false">
      <c r="A65" s="22" t="s">
        <v>353</v>
      </c>
      <c r="B65" s="22" t="s">
        <v>73</v>
      </c>
      <c r="C65" s="22" t="s">
        <v>72</v>
      </c>
      <c r="D65" s="22" t="s">
        <v>337</v>
      </c>
      <c r="E65" s="33" t="s">
        <v>75</v>
      </c>
      <c r="F65" s="33" t="s">
        <v>75</v>
      </c>
      <c r="G65" s="23" t="s">
        <v>354</v>
      </c>
      <c r="H65" s="24" t="n">
        <v>0</v>
      </c>
      <c r="I65" s="34" t="s">
        <v>355</v>
      </c>
      <c r="J65" s="34" t="s">
        <v>356</v>
      </c>
    </row>
    <row r="66" customFormat="false" ht="15" hidden="false" customHeight="false" outlineLevel="0" collapsed="false">
      <c r="A66" s="22" t="s">
        <v>357</v>
      </c>
      <c r="B66" s="22" t="s">
        <v>78</v>
      </c>
      <c r="C66" s="22" t="s">
        <v>81</v>
      </c>
      <c r="D66" s="22" t="s">
        <v>337</v>
      </c>
      <c r="E66" s="33" t="s">
        <v>75</v>
      </c>
      <c r="F66" s="33" t="s">
        <v>75</v>
      </c>
      <c r="G66" s="23" t="s">
        <v>358</v>
      </c>
      <c r="H66" s="24" t="n">
        <v>0</v>
      </c>
      <c r="I66" s="34" t="s">
        <v>359</v>
      </c>
      <c r="J66" s="34" t="s">
        <v>360</v>
      </c>
    </row>
    <row r="67" customFormat="false" ht="15" hidden="false" customHeight="false" outlineLevel="0" collapsed="false">
      <c r="A67" s="22" t="s">
        <v>361</v>
      </c>
      <c r="B67" s="22" t="s">
        <v>73</v>
      </c>
      <c r="C67" s="22" t="s">
        <v>107</v>
      </c>
      <c r="D67" s="22" t="s">
        <v>337</v>
      </c>
      <c r="E67" s="33" t="s">
        <v>75</v>
      </c>
      <c r="F67" s="33" t="s">
        <v>75</v>
      </c>
      <c r="G67" s="23" t="s">
        <v>362</v>
      </c>
      <c r="H67" s="24" t="n">
        <v>0</v>
      </c>
      <c r="I67" s="34" t="s">
        <v>363</v>
      </c>
      <c r="J67" s="34" t="s">
        <v>364</v>
      </c>
    </row>
    <row r="68" customFormat="false" ht="15" hidden="false" customHeight="false" outlineLevel="0" collapsed="false">
      <c r="A68" s="22" t="s">
        <v>365</v>
      </c>
      <c r="B68" s="22" t="s">
        <v>78</v>
      </c>
      <c r="C68" s="22" t="s">
        <v>72</v>
      </c>
      <c r="D68" s="22" t="s">
        <v>337</v>
      </c>
      <c r="E68" s="33" t="s">
        <v>75</v>
      </c>
      <c r="F68" s="33" t="s">
        <v>75</v>
      </c>
      <c r="G68" s="23" t="s">
        <v>366</v>
      </c>
      <c r="H68" s="24" t="n">
        <v>0</v>
      </c>
      <c r="I68" s="34" t="s">
        <v>367</v>
      </c>
      <c r="J68" s="34" t="s">
        <v>368</v>
      </c>
    </row>
    <row r="69" customFormat="false" ht="15" hidden="false" customHeight="false" outlineLevel="0" collapsed="false">
      <c r="A69" s="22" t="s">
        <v>369</v>
      </c>
      <c r="B69" s="22" t="s">
        <v>73</v>
      </c>
      <c r="C69" s="22" t="s">
        <v>72</v>
      </c>
      <c r="D69" s="22" t="s">
        <v>337</v>
      </c>
      <c r="E69" s="33" t="s">
        <v>75</v>
      </c>
      <c r="F69" s="33" t="s">
        <v>75</v>
      </c>
      <c r="G69" s="23" t="s">
        <v>370</v>
      </c>
      <c r="H69" s="24" t="n">
        <v>0</v>
      </c>
      <c r="I69" s="34" t="s">
        <v>371</v>
      </c>
      <c r="J69" s="34" t="s">
        <v>372</v>
      </c>
    </row>
    <row r="70" customFormat="false" ht="15" hidden="false" customHeight="false" outlineLevel="0" collapsed="false">
      <c r="A70" s="22" t="s">
        <v>373</v>
      </c>
      <c r="B70" s="22" t="s">
        <v>73</v>
      </c>
      <c r="C70" s="22" t="s">
        <v>72</v>
      </c>
      <c r="D70" s="22" t="s">
        <v>337</v>
      </c>
      <c r="E70" s="33" t="s">
        <v>75</v>
      </c>
      <c r="F70" s="33" t="s">
        <v>75</v>
      </c>
      <c r="G70" s="23" t="s">
        <v>374</v>
      </c>
      <c r="H70" s="24" t="n">
        <v>0</v>
      </c>
      <c r="I70" s="34" t="s">
        <v>375</v>
      </c>
      <c r="J70" s="34" t="s">
        <v>376</v>
      </c>
    </row>
    <row r="71" customFormat="false" ht="15" hidden="false" customHeight="false" outlineLevel="0" collapsed="false">
      <c r="A71" s="22" t="s">
        <v>377</v>
      </c>
      <c r="B71" s="22" t="s">
        <v>73</v>
      </c>
      <c r="C71" s="22" t="s">
        <v>72</v>
      </c>
      <c r="D71" s="22" t="s">
        <v>337</v>
      </c>
      <c r="E71" s="33" t="s">
        <v>75</v>
      </c>
      <c r="F71" s="33" t="s">
        <v>75</v>
      </c>
      <c r="G71" s="23" t="s">
        <v>378</v>
      </c>
      <c r="H71" s="24" t="n">
        <v>0</v>
      </c>
      <c r="I71" s="34" t="s">
        <v>379</v>
      </c>
      <c r="J71" s="34" t="s">
        <v>380</v>
      </c>
    </row>
    <row r="72" customFormat="false" ht="15" hidden="false" customHeight="false" outlineLevel="0" collapsed="false">
      <c r="A72" s="22" t="s">
        <v>381</v>
      </c>
      <c r="B72" s="22" t="s">
        <v>73</v>
      </c>
      <c r="C72" s="22" t="s">
        <v>72</v>
      </c>
      <c r="D72" s="22" t="s">
        <v>337</v>
      </c>
      <c r="E72" s="33" t="s">
        <v>75</v>
      </c>
      <c r="F72" s="33" t="s">
        <v>75</v>
      </c>
      <c r="G72" s="23" t="s">
        <v>382</v>
      </c>
      <c r="H72" s="24" t="n">
        <v>0</v>
      </c>
      <c r="I72" s="34" t="s">
        <v>383</v>
      </c>
      <c r="J72" s="34" t="s">
        <v>384</v>
      </c>
    </row>
    <row r="73" customFormat="false" ht="15" hidden="false" customHeight="false" outlineLevel="0" collapsed="false">
      <c r="E73" s="33"/>
      <c r="F73" s="33"/>
    </row>
    <row r="74" customFormat="false" ht="15" hidden="false" customHeight="false" outlineLevel="0" collapsed="false">
      <c r="E74" s="33"/>
      <c r="F74" s="33"/>
    </row>
    <row r="75" customFormat="false" ht="15" hidden="false" customHeight="false" outlineLevel="0" collapsed="false">
      <c r="E75" s="33"/>
      <c r="F75" s="33"/>
    </row>
    <row r="76" customFormat="false" ht="15" hidden="false" customHeight="false" outlineLevel="0" collapsed="false">
      <c r="E76" s="33"/>
      <c r="F76" s="33"/>
    </row>
    <row r="77" customFormat="false" ht="15" hidden="false" customHeight="false" outlineLevel="0" collapsed="false">
      <c r="E77" s="33"/>
      <c r="F77" s="33"/>
    </row>
    <row r="78" customFormat="false" ht="15" hidden="false" customHeight="false" outlineLevel="0" collapsed="false">
      <c r="E78" s="33"/>
      <c r="F78" s="33"/>
    </row>
    <row r="79" customFormat="false" ht="15" hidden="false" customHeight="false" outlineLevel="0" collapsed="false">
      <c r="E79" s="33"/>
      <c r="F79" s="33"/>
    </row>
    <row r="80" customFormat="false" ht="15" hidden="false" customHeight="false" outlineLevel="0" collapsed="false">
      <c r="E80" s="33"/>
      <c r="F80" s="33"/>
    </row>
    <row r="81" customFormat="false" ht="15" hidden="false" customHeight="false" outlineLevel="0" collapsed="false">
      <c r="E81" s="33"/>
      <c r="F81" s="33"/>
    </row>
    <row r="82" customFormat="false" ht="15" hidden="false" customHeight="false" outlineLevel="0" collapsed="false">
      <c r="E82" s="33"/>
      <c r="F82" s="33"/>
    </row>
    <row r="83" customFormat="false" ht="15" hidden="false" customHeight="false" outlineLevel="0" collapsed="false">
      <c r="E83" s="33"/>
      <c r="F83" s="33"/>
    </row>
    <row r="84" customFormat="false" ht="15" hidden="false" customHeight="false" outlineLevel="0" collapsed="false">
      <c r="E84" s="33"/>
      <c r="F84" s="33"/>
    </row>
    <row r="85" customFormat="false" ht="15" hidden="false" customHeight="false" outlineLevel="0" collapsed="false">
      <c r="E85" s="33"/>
      <c r="F85" s="33"/>
    </row>
    <row r="86" customFormat="false" ht="15" hidden="false" customHeight="false" outlineLevel="0" collapsed="false">
      <c r="E86" s="33"/>
      <c r="F86" s="33"/>
    </row>
    <row r="87" customFormat="false" ht="15" hidden="false" customHeight="false" outlineLevel="0" collapsed="false">
      <c r="E87" s="33"/>
      <c r="F87" s="33"/>
    </row>
    <row r="88" customFormat="false" ht="15" hidden="false" customHeight="false" outlineLevel="0" collapsed="false">
      <c r="E88" s="33"/>
      <c r="F88" s="33"/>
    </row>
    <row r="89" customFormat="false" ht="15" hidden="false" customHeight="false" outlineLevel="0" collapsed="false">
      <c r="E89" s="33"/>
      <c r="F89" s="33"/>
    </row>
    <row r="90" customFormat="false" ht="15" hidden="false" customHeight="false" outlineLevel="0" collapsed="false">
      <c r="E90" s="33"/>
      <c r="F90" s="33"/>
    </row>
    <row r="91" customFormat="false" ht="15" hidden="false" customHeight="false" outlineLevel="0" collapsed="false">
      <c r="E91" s="33"/>
      <c r="F91" s="33"/>
    </row>
    <row r="92" customFormat="false" ht="15" hidden="false" customHeight="false" outlineLevel="0" collapsed="false">
      <c r="E92" s="33"/>
      <c r="F92" s="33"/>
    </row>
    <row r="93" customFormat="false" ht="15" hidden="false" customHeight="false" outlineLevel="0" collapsed="false">
      <c r="E93" s="33"/>
      <c r="F93" s="33"/>
    </row>
    <row r="94" customFormat="false" ht="15" hidden="false" customHeight="false" outlineLevel="0" collapsed="false">
      <c r="E94" s="33"/>
      <c r="F94" s="33"/>
    </row>
    <row r="95" customFormat="false" ht="15" hidden="false" customHeight="false" outlineLevel="0" collapsed="false">
      <c r="E95" s="33"/>
      <c r="F95" s="33"/>
    </row>
    <row r="96" customFormat="false" ht="15" hidden="false" customHeight="false" outlineLevel="0" collapsed="false">
      <c r="E96" s="33"/>
      <c r="F96" s="33"/>
    </row>
    <row r="97" customFormat="false" ht="15" hidden="false" customHeight="false" outlineLevel="0" collapsed="false">
      <c r="E97" s="33"/>
      <c r="F97" s="33"/>
    </row>
    <row r="98" customFormat="false" ht="15" hidden="false" customHeight="false" outlineLevel="0" collapsed="false">
      <c r="E98" s="33"/>
      <c r="F98" s="33"/>
    </row>
    <row r="99" customFormat="false" ht="15" hidden="false" customHeight="false" outlineLevel="0" collapsed="false">
      <c r="E99" s="33"/>
      <c r="F99" s="33"/>
    </row>
    <row r="100" customFormat="false" ht="15" hidden="false" customHeight="false" outlineLevel="0" collapsed="false">
      <c r="E100" s="33"/>
      <c r="F100" s="33"/>
    </row>
    <row r="101" customFormat="false" ht="15" hidden="false" customHeight="false" outlineLevel="0" collapsed="false">
      <c r="E101" s="33"/>
      <c r="F101" s="33"/>
    </row>
    <row r="102" customFormat="false" ht="15" hidden="false" customHeight="false" outlineLevel="0" collapsed="false">
      <c r="E102" s="33"/>
      <c r="F102" s="33"/>
    </row>
    <row r="103" customFormat="false" ht="15" hidden="false" customHeight="false" outlineLevel="0" collapsed="false">
      <c r="E103" s="33"/>
      <c r="F103" s="33"/>
    </row>
    <row r="104" customFormat="false" ht="15" hidden="false" customHeight="false" outlineLevel="0" collapsed="false">
      <c r="E104" s="33"/>
      <c r="F104" s="33"/>
    </row>
    <row r="105" customFormat="false" ht="15" hidden="false" customHeight="false" outlineLevel="0" collapsed="false">
      <c r="E105" s="33"/>
      <c r="F105" s="33"/>
    </row>
    <row r="106" customFormat="false" ht="15" hidden="false" customHeight="false" outlineLevel="0" collapsed="false">
      <c r="E106" s="33"/>
      <c r="F106" s="33"/>
    </row>
    <row r="107" customFormat="false" ht="15" hidden="false" customHeight="false" outlineLevel="0" collapsed="false">
      <c r="E107" s="33"/>
      <c r="F107" s="33"/>
    </row>
    <row r="108" customFormat="false" ht="15" hidden="false" customHeight="false" outlineLevel="0" collapsed="false">
      <c r="E108" s="33"/>
      <c r="F108" s="33"/>
    </row>
    <row r="109" customFormat="false" ht="15" hidden="false" customHeight="false" outlineLevel="0" collapsed="false">
      <c r="E109" s="33"/>
      <c r="F109" s="33"/>
    </row>
    <row r="110" customFormat="false" ht="15" hidden="false" customHeight="false" outlineLevel="0" collapsed="false">
      <c r="E110" s="33"/>
      <c r="F110" s="33"/>
    </row>
    <row r="111" customFormat="false" ht="15" hidden="false" customHeight="false" outlineLevel="0" collapsed="false">
      <c r="E111" s="33"/>
      <c r="F111" s="33"/>
    </row>
    <row r="112" customFormat="false" ht="15" hidden="false" customHeight="false" outlineLevel="0" collapsed="false">
      <c r="E112" s="33"/>
      <c r="F112" s="33"/>
    </row>
    <row r="113" customFormat="false" ht="15" hidden="false" customHeight="false" outlineLevel="0" collapsed="false">
      <c r="E113" s="33"/>
      <c r="F113" s="33"/>
    </row>
    <row r="114" customFormat="false" ht="15" hidden="false" customHeight="false" outlineLevel="0" collapsed="false">
      <c r="E114" s="33"/>
      <c r="F114" s="33"/>
    </row>
    <row r="115" customFormat="false" ht="15" hidden="false" customHeight="false" outlineLevel="0" collapsed="false">
      <c r="E115" s="33"/>
      <c r="F115" s="33"/>
    </row>
    <row r="116" customFormat="false" ht="15" hidden="false" customHeight="false" outlineLevel="0" collapsed="false">
      <c r="E116" s="33"/>
      <c r="F116" s="33"/>
    </row>
    <row r="117" customFormat="false" ht="15" hidden="false" customHeight="false" outlineLevel="0" collapsed="false">
      <c r="E117" s="33"/>
      <c r="F117" s="33"/>
    </row>
    <row r="118" customFormat="false" ht="15" hidden="false" customHeight="false" outlineLevel="0" collapsed="false">
      <c r="E118" s="33"/>
      <c r="F118" s="33"/>
    </row>
    <row r="119" customFormat="false" ht="15" hidden="false" customHeight="false" outlineLevel="0" collapsed="false">
      <c r="E119" s="33"/>
      <c r="F119" s="33"/>
    </row>
    <row r="120" customFormat="false" ht="15" hidden="false" customHeight="false" outlineLevel="0" collapsed="false">
      <c r="E120" s="33"/>
      <c r="F120" s="33"/>
    </row>
    <row r="121" customFormat="false" ht="15" hidden="false" customHeight="false" outlineLevel="0" collapsed="false">
      <c r="E121" s="33"/>
      <c r="F121" s="33"/>
    </row>
    <row r="122" customFormat="false" ht="15" hidden="false" customHeight="false" outlineLevel="0" collapsed="false">
      <c r="E122" s="33"/>
      <c r="F122" s="33"/>
    </row>
    <row r="123" customFormat="false" ht="15" hidden="false" customHeight="false" outlineLevel="0" collapsed="false">
      <c r="E123" s="33"/>
      <c r="F123" s="33"/>
    </row>
    <row r="124" customFormat="false" ht="15" hidden="false" customHeight="false" outlineLevel="0" collapsed="false">
      <c r="E124" s="33"/>
      <c r="F124" s="33"/>
    </row>
    <row r="125" customFormat="false" ht="15" hidden="false" customHeight="false" outlineLevel="0" collapsed="false">
      <c r="E125" s="33"/>
      <c r="F125" s="33"/>
    </row>
    <row r="126" customFormat="false" ht="15" hidden="false" customHeight="false" outlineLevel="0" collapsed="false">
      <c r="E126" s="33"/>
      <c r="F126" s="33"/>
    </row>
    <row r="127" customFormat="false" ht="15" hidden="false" customHeight="false" outlineLevel="0" collapsed="false">
      <c r="E127" s="33"/>
      <c r="F127" s="33"/>
    </row>
    <row r="128" customFormat="false" ht="15" hidden="false" customHeight="false" outlineLevel="0" collapsed="false">
      <c r="E128" s="33"/>
      <c r="F128" s="33"/>
    </row>
    <row r="129" customFormat="false" ht="15" hidden="false" customHeight="false" outlineLevel="0" collapsed="false">
      <c r="E129" s="33"/>
      <c r="F129" s="33"/>
    </row>
    <row r="130" customFormat="false" ht="15" hidden="false" customHeight="false" outlineLevel="0" collapsed="false">
      <c r="E130" s="33"/>
      <c r="F130" s="33"/>
    </row>
    <row r="131" customFormat="false" ht="15" hidden="false" customHeight="false" outlineLevel="0" collapsed="false">
      <c r="E131" s="33"/>
      <c r="F131" s="33"/>
    </row>
    <row r="132" customFormat="false" ht="15" hidden="false" customHeight="false" outlineLevel="0" collapsed="false">
      <c r="E132" s="33"/>
      <c r="F132" s="33"/>
    </row>
    <row r="133" customFormat="false" ht="15" hidden="false" customHeight="false" outlineLevel="0" collapsed="false">
      <c r="E133" s="33"/>
      <c r="F133" s="33"/>
    </row>
    <row r="134" customFormat="false" ht="15" hidden="false" customHeight="false" outlineLevel="0" collapsed="false">
      <c r="E134" s="33"/>
      <c r="F134" s="33"/>
    </row>
    <row r="135" customFormat="false" ht="15" hidden="false" customHeight="false" outlineLevel="0" collapsed="false">
      <c r="E135" s="33"/>
      <c r="F135" s="33"/>
    </row>
    <row r="136" customFormat="false" ht="15" hidden="false" customHeight="false" outlineLevel="0" collapsed="false">
      <c r="E136" s="33"/>
      <c r="F136" s="33"/>
    </row>
    <row r="137" customFormat="false" ht="15" hidden="false" customHeight="false" outlineLevel="0" collapsed="false">
      <c r="E137" s="33"/>
      <c r="F137" s="33"/>
    </row>
    <row r="138" customFormat="false" ht="15" hidden="false" customHeight="false" outlineLevel="0" collapsed="false">
      <c r="E138" s="33"/>
      <c r="F138" s="33"/>
    </row>
    <row r="139" customFormat="false" ht="15" hidden="false" customHeight="false" outlineLevel="0" collapsed="false">
      <c r="E139" s="33"/>
      <c r="F139" s="33"/>
    </row>
    <row r="140" customFormat="false" ht="15" hidden="false" customHeight="false" outlineLevel="0" collapsed="false">
      <c r="E140" s="33"/>
      <c r="F140" s="33"/>
    </row>
    <row r="141" customFormat="false" ht="15" hidden="false" customHeight="false" outlineLevel="0" collapsed="false">
      <c r="E141" s="33"/>
      <c r="F141" s="33"/>
    </row>
    <row r="142" customFormat="false" ht="15" hidden="false" customHeight="false" outlineLevel="0" collapsed="false">
      <c r="E142" s="33"/>
      <c r="F142" s="33"/>
    </row>
    <row r="143" customFormat="false" ht="15" hidden="false" customHeight="false" outlineLevel="0" collapsed="false">
      <c r="E143" s="33"/>
      <c r="F143" s="33"/>
    </row>
    <row r="144" customFormat="false" ht="15" hidden="false" customHeight="false" outlineLevel="0" collapsed="false">
      <c r="E144" s="33"/>
      <c r="F144" s="33"/>
    </row>
    <row r="145" customFormat="false" ht="15" hidden="false" customHeight="false" outlineLevel="0" collapsed="false">
      <c r="E145" s="33"/>
      <c r="F145" s="33"/>
    </row>
    <row r="146" customFormat="false" ht="15" hidden="false" customHeight="false" outlineLevel="0" collapsed="false">
      <c r="E146" s="33"/>
      <c r="F146" s="33"/>
    </row>
    <row r="147" customFormat="false" ht="15" hidden="false" customHeight="false" outlineLevel="0" collapsed="false">
      <c r="E147" s="33"/>
      <c r="F147" s="33"/>
    </row>
    <row r="148" customFormat="false" ht="15" hidden="false" customHeight="false" outlineLevel="0" collapsed="false">
      <c r="E148" s="33"/>
      <c r="F148" s="33"/>
    </row>
    <row r="149" customFormat="false" ht="15" hidden="false" customHeight="false" outlineLevel="0" collapsed="false">
      <c r="E149" s="33"/>
      <c r="F149" s="33"/>
    </row>
    <row r="150" customFormat="false" ht="15" hidden="false" customHeight="false" outlineLevel="0" collapsed="false">
      <c r="E150" s="33"/>
      <c r="F150" s="33"/>
    </row>
    <row r="151" customFormat="false" ht="15" hidden="false" customHeight="false" outlineLevel="0" collapsed="false">
      <c r="E151" s="33"/>
      <c r="F151" s="33"/>
    </row>
    <row r="152" customFormat="false" ht="15" hidden="false" customHeight="false" outlineLevel="0" collapsed="false">
      <c r="E152" s="33"/>
      <c r="F152" s="33"/>
    </row>
    <row r="153" customFormat="false" ht="15" hidden="false" customHeight="false" outlineLevel="0" collapsed="false">
      <c r="E153" s="33"/>
      <c r="F153" s="33"/>
    </row>
    <row r="154" customFormat="false" ht="15" hidden="false" customHeight="false" outlineLevel="0" collapsed="false">
      <c r="E154" s="33"/>
      <c r="F154" s="33"/>
    </row>
    <row r="155" customFormat="false" ht="15" hidden="false" customHeight="false" outlineLevel="0" collapsed="false">
      <c r="E155" s="33"/>
      <c r="F155" s="33"/>
    </row>
    <row r="156" customFormat="false" ht="15" hidden="false" customHeight="false" outlineLevel="0" collapsed="false">
      <c r="E156" s="33"/>
      <c r="F156" s="33"/>
    </row>
    <row r="157" customFormat="false" ht="15" hidden="false" customHeight="false" outlineLevel="0" collapsed="false">
      <c r="E157" s="33"/>
      <c r="F157" s="33"/>
    </row>
    <row r="158" customFormat="false" ht="15" hidden="false" customHeight="false" outlineLevel="0" collapsed="false">
      <c r="E158" s="33"/>
      <c r="F158" s="33"/>
    </row>
    <row r="159" customFormat="false" ht="15" hidden="false" customHeight="false" outlineLevel="0" collapsed="false">
      <c r="E159" s="33"/>
      <c r="F159" s="33"/>
    </row>
    <row r="160" customFormat="false" ht="15" hidden="false" customHeight="false" outlineLevel="0" collapsed="false">
      <c r="E160" s="33"/>
      <c r="F160" s="33"/>
    </row>
    <row r="161" customFormat="false" ht="15" hidden="false" customHeight="false" outlineLevel="0" collapsed="false">
      <c r="E161" s="33"/>
      <c r="F161" s="33"/>
    </row>
    <row r="162" customFormat="false" ht="15" hidden="false" customHeight="false" outlineLevel="0" collapsed="false">
      <c r="E162" s="33"/>
      <c r="F162" s="33"/>
    </row>
    <row r="163" customFormat="false" ht="15" hidden="false" customHeight="false" outlineLevel="0" collapsed="false">
      <c r="E163" s="33"/>
      <c r="F163" s="33"/>
    </row>
    <row r="164" customFormat="false" ht="15" hidden="false" customHeight="false" outlineLevel="0" collapsed="false">
      <c r="E164" s="33"/>
      <c r="F164" s="33"/>
    </row>
    <row r="165" customFormat="false" ht="15" hidden="false" customHeight="false" outlineLevel="0" collapsed="false">
      <c r="E165" s="33"/>
      <c r="F165" s="33"/>
    </row>
    <row r="166" customFormat="false" ht="15" hidden="false" customHeight="false" outlineLevel="0" collapsed="false">
      <c r="E166" s="33"/>
      <c r="F166" s="33"/>
    </row>
    <row r="167" customFormat="false" ht="15" hidden="false" customHeight="false" outlineLevel="0" collapsed="false">
      <c r="E167" s="33"/>
      <c r="F167" s="33"/>
    </row>
    <row r="168" customFormat="false" ht="15" hidden="false" customHeight="false" outlineLevel="0" collapsed="false">
      <c r="E168" s="33"/>
      <c r="F168" s="33"/>
    </row>
    <row r="169" customFormat="false" ht="15" hidden="false" customHeight="false" outlineLevel="0" collapsed="false">
      <c r="E169" s="33"/>
      <c r="F169" s="33"/>
    </row>
    <row r="170" customFormat="false" ht="15" hidden="false" customHeight="false" outlineLevel="0" collapsed="false">
      <c r="E170" s="33"/>
      <c r="F170" s="33"/>
    </row>
    <row r="171" customFormat="false" ht="15" hidden="false" customHeight="false" outlineLevel="0" collapsed="false">
      <c r="E171" s="33"/>
      <c r="F171" s="33"/>
    </row>
    <row r="172" customFormat="false" ht="15" hidden="false" customHeight="false" outlineLevel="0" collapsed="false">
      <c r="E172" s="33"/>
      <c r="F172" s="33"/>
    </row>
    <row r="173" customFormat="false" ht="15" hidden="false" customHeight="false" outlineLevel="0" collapsed="false">
      <c r="E173" s="33"/>
      <c r="F173" s="33"/>
    </row>
    <row r="174" customFormat="false" ht="15" hidden="false" customHeight="false" outlineLevel="0" collapsed="false">
      <c r="E174" s="33"/>
      <c r="F174" s="33"/>
    </row>
    <row r="175" customFormat="false" ht="15" hidden="false" customHeight="false" outlineLevel="0" collapsed="false">
      <c r="E175" s="33"/>
      <c r="F175" s="33"/>
    </row>
    <row r="176" customFormat="false" ht="15" hidden="false" customHeight="false" outlineLevel="0" collapsed="false">
      <c r="E176" s="33"/>
      <c r="F176" s="33"/>
    </row>
    <row r="177" customFormat="false" ht="15" hidden="false" customHeight="false" outlineLevel="0" collapsed="false">
      <c r="E177" s="33"/>
      <c r="F177" s="33"/>
    </row>
    <row r="178" customFormat="false" ht="15" hidden="false" customHeight="false" outlineLevel="0" collapsed="false">
      <c r="E178" s="33"/>
      <c r="F178" s="33"/>
    </row>
    <row r="179" customFormat="false" ht="15" hidden="false" customHeight="false" outlineLevel="0" collapsed="false">
      <c r="E179" s="33"/>
      <c r="F179" s="33"/>
    </row>
    <row r="180" customFormat="false" ht="15" hidden="false" customHeight="false" outlineLevel="0" collapsed="false">
      <c r="E180" s="33"/>
      <c r="F180" s="33"/>
    </row>
    <row r="181" customFormat="false" ht="15" hidden="false" customHeight="false" outlineLevel="0" collapsed="false">
      <c r="E181" s="33"/>
      <c r="F181" s="33"/>
    </row>
    <row r="182" customFormat="false" ht="15" hidden="false" customHeight="false" outlineLevel="0" collapsed="false">
      <c r="E182" s="33"/>
      <c r="F182" s="33"/>
    </row>
    <row r="183" customFormat="false" ht="15" hidden="false" customHeight="false" outlineLevel="0" collapsed="false">
      <c r="E183" s="33"/>
      <c r="F183" s="33"/>
    </row>
    <row r="184" customFormat="false" ht="15" hidden="false" customHeight="false" outlineLevel="0" collapsed="false">
      <c r="E184" s="33"/>
      <c r="F184" s="33"/>
    </row>
    <row r="185" customFormat="false" ht="15" hidden="false" customHeight="false" outlineLevel="0" collapsed="false">
      <c r="E185" s="33"/>
      <c r="F185" s="33"/>
    </row>
    <row r="186" customFormat="false" ht="15" hidden="false" customHeight="false" outlineLevel="0" collapsed="false">
      <c r="E186" s="33"/>
      <c r="F186" s="33"/>
    </row>
    <row r="187" customFormat="false" ht="15" hidden="false" customHeight="false" outlineLevel="0" collapsed="false">
      <c r="E187" s="33"/>
      <c r="F187" s="33"/>
    </row>
    <row r="188" customFormat="false" ht="15" hidden="false" customHeight="false" outlineLevel="0" collapsed="false">
      <c r="E188" s="33"/>
      <c r="F188" s="33"/>
    </row>
    <row r="189" customFormat="false" ht="15" hidden="false" customHeight="false" outlineLevel="0" collapsed="false">
      <c r="E189" s="33"/>
      <c r="F189" s="33"/>
    </row>
    <row r="190" customFormat="false" ht="15" hidden="false" customHeight="false" outlineLevel="0" collapsed="false">
      <c r="E190" s="33"/>
      <c r="F190" s="33"/>
    </row>
    <row r="191" customFormat="false" ht="15" hidden="false" customHeight="false" outlineLevel="0" collapsed="false">
      <c r="E191" s="33"/>
      <c r="F191" s="33"/>
    </row>
    <row r="192" customFormat="false" ht="15" hidden="false" customHeight="false" outlineLevel="0" collapsed="false">
      <c r="E192" s="33"/>
      <c r="F192" s="33"/>
    </row>
    <row r="193" customFormat="false" ht="15" hidden="false" customHeight="false" outlineLevel="0" collapsed="false">
      <c r="E193" s="33"/>
      <c r="F193" s="33"/>
    </row>
    <row r="194" customFormat="false" ht="15" hidden="false" customHeight="false" outlineLevel="0" collapsed="false">
      <c r="E194" s="33"/>
      <c r="F194" s="33"/>
    </row>
    <row r="195" customFormat="false" ht="15" hidden="false" customHeight="false" outlineLevel="0" collapsed="false">
      <c r="E195" s="33"/>
      <c r="F195" s="33"/>
    </row>
    <row r="196" customFormat="false" ht="15" hidden="false" customHeight="false" outlineLevel="0" collapsed="false">
      <c r="E196" s="33"/>
      <c r="F196" s="33"/>
    </row>
    <row r="197" customFormat="false" ht="15" hidden="false" customHeight="false" outlineLevel="0" collapsed="false">
      <c r="E197" s="33"/>
      <c r="F197" s="33"/>
    </row>
    <row r="198" customFormat="false" ht="15" hidden="false" customHeight="false" outlineLevel="0" collapsed="false">
      <c r="E198" s="33"/>
      <c r="F198" s="33"/>
    </row>
    <row r="199" customFormat="false" ht="15" hidden="false" customHeight="false" outlineLevel="0" collapsed="false">
      <c r="E199" s="33"/>
      <c r="F199" s="33"/>
    </row>
    <row r="200" customFormat="false" ht="15" hidden="false" customHeight="false" outlineLevel="0" collapsed="false">
      <c r="E200" s="33"/>
      <c r="F200" s="33"/>
    </row>
    <row r="201" customFormat="false" ht="15" hidden="false" customHeight="false" outlineLevel="0" collapsed="false">
      <c r="E201" s="33"/>
      <c r="F201" s="33"/>
    </row>
    <row r="202" customFormat="false" ht="15" hidden="false" customHeight="false" outlineLevel="0" collapsed="false">
      <c r="E202" s="33"/>
      <c r="F202" s="33"/>
    </row>
    <row r="203" customFormat="false" ht="15" hidden="false" customHeight="false" outlineLevel="0" collapsed="false">
      <c r="E203" s="33"/>
      <c r="F203" s="33"/>
    </row>
    <row r="204" customFormat="false" ht="15" hidden="false" customHeight="false" outlineLevel="0" collapsed="false">
      <c r="E204" s="33"/>
      <c r="F204" s="33"/>
    </row>
    <row r="205" customFormat="false" ht="15" hidden="false" customHeight="false" outlineLevel="0" collapsed="false">
      <c r="E205" s="33"/>
      <c r="F205" s="33"/>
    </row>
    <row r="206" customFormat="false" ht="15" hidden="false" customHeight="false" outlineLevel="0" collapsed="false">
      <c r="E206" s="33"/>
      <c r="F206" s="33"/>
    </row>
    <row r="207" customFormat="false" ht="15" hidden="false" customHeight="false" outlineLevel="0" collapsed="false">
      <c r="E207" s="33"/>
      <c r="F207" s="33"/>
    </row>
    <row r="208" customFormat="false" ht="15" hidden="false" customHeight="false" outlineLevel="0" collapsed="false">
      <c r="E208" s="33"/>
      <c r="F208" s="33"/>
    </row>
    <row r="209" customFormat="false" ht="15" hidden="false" customHeight="false" outlineLevel="0" collapsed="false">
      <c r="E209" s="33"/>
      <c r="F209" s="33"/>
    </row>
    <row r="210" customFormat="false" ht="15" hidden="false" customHeight="false" outlineLevel="0" collapsed="false">
      <c r="E210" s="33"/>
      <c r="F210" s="33"/>
    </row>
    <row r="211" customFormat="false" ht="15" hidden="false" customHeight="false" outlineLevel="0" collapsed="false">
      <c r="E211" s="33"/>
      <c r="F211" s="33"/>
    </row>
    <row r="212" customFormat="false" ht="15" hidden="false" customHeight="false" outlineLevel="0" collapsed="false">
      <c r="E212" s="33"/>
      <c r="F212" s="33"/>
    </row>
    <row r="213" customFormat="false" ht="15" hidden="false" customHeight="false" outlineLevel="0" collapsed="false">
      <c r="E213" s="33"/>
      <c r="F213" s="33"/>
    </row>
    <row r="214" customFormat="false" ht="15" hidden="false" customHeight="false" outlineLevel="0" collapsed="false">
      <c r="E214" s="33"/>
      <c r="F214" s="33"/>
    </row>
    <row r="215" customFormat="false" ht="15" hidden="false" customHeight="false" outlineLevel="0" collapsed="false">
      <c r="E215" s="33"/>
      <c r="F215" s="33"/>
    </row>
    <row r="216" customFormat="false" ht="15" hidden="false" customHeight="false" outlineLevel="0" collapsed="false">
      <c r="E216" s="33"/>
      <c r="F216" s="33"/>
    </row>
    <row r="217" customFormat="false" ht="15" hidden="false" customHeight="false" outlineLevel="0" collapsed="false">
      <c r="E217" s="33"/>
      <c r="F217" s="33"/>
    </row>
    <row r="218" customFormat="false" ht="15" hidden="false" customHeight="false" outlineLevel="0" collapsed="false">
      <c r="E218" s="33"/>
      <c r="F218" s="33"/>
    </row>
    <row r="219" customFormat="false" ht="15" hidden="false" customHeight="false" outlineLevel="0" collapsed="false">
      <c r="E219" s="33"/>
      <c r="F219" s="33"/>
    </row>
    <row r="220" customFormat="false" ht="15" hidden="false" customHeight="false" outlineLevel="0" collapsed="false">
      <c r="E220" s="33"/>
      <c r="F220" s="33"/>
    </row>
    <row r="221" customFormat="false" ht="15" hidden="false" customHeight="false" outlineLevel="0" collapsed="false">
      <c r="E221" s="33"/>
      <c r="F221" s="33"/>
    </row>
    <row r="222" customFormat="false" ht="15" hidden="false" customHeight="false" outlineLevel="0" collapsed="false">
      <c r="E222" s="33"/>
      <c r="F222" s="33"/>
    </row>
    <row r="223" customFormat="false" ht="15" hidden="false" customHeight="false" outlineLevel="0" collapsed="false">
      <c r="E223" s="33"/>
      <c r="F223" s="33"/>
    </row>
    <row r="224" customFormat="false" ht="15" hidden="false" customHeight="false" outlineLevel="0" collapsed="false">
      <c r="E224" s="33"/>
      <c r="F224" s="33"/>
    </row>
    <row r="225" customFormat="false" ht="15" hidden="false" customHeight="false" outlineLevel="0" collapsed="false">
      <c r="E225" s="33"/>
      <c r="F225" s="33"/>
    </row>
    <row r="226" customFormat="false" ht="15" hidden="false" customHeight="false" outlineLevel="0" collapsed="false">
      <c r="E226" s="33"/>
      <c r="F226" s="33"/>
    </row>
    <row r="227" customFormat="false" ht="15" hidden="false" customHeight="false" outlineLevel="0" collapsed="false">
      <c r="E227" s="33"/>
      <c r="F227" s="33"/>
    </row>
    <row r="228" customFormat="false" ht="15" hidden="false" customHeight="false" outlineLevel="0" collapsed="false">
      <c r="E228" s="33"/>
      <c r="F228" s="33"/>
    </row>
    <row r="229" customFormat="false" ht="15" hidden="false" customHeight="false" outlineLevel="0" collapsed="false">
      <c r="E229" s="33"/>
      <c r="F229" s="33"/>
    </row>
    <row r="230" customFormat="false" ht="15" hidden="false" customHeight="false" outlineLevel="0" collapsed="false">
      <c r="E230" s="33"/>
      <c r="F230" s="33"/>
    </row>
    <row r="231" customFormat="false" ht="15" hidden="false" customHeight="false" outlineLevel="0" collapsed="false">
      <c r="E231" s="33"/>
      <c r="F231" s="33"/>
    </row>
    <row r="232" customFormat="false" ht="15" hidden="false" customHeight="false" outlineLevel="0" collapsed="false">
      <c r="E232" s="33"/>
      <c r="F232" s="33"/>
    </row>
    <row r="233" customFormat="false" ht="15" hidden="false" customHeight="false" outlineLevel="0" collapsed="false">
      <c r="E233" s="33"/>
      <c r="F233" s="33"/>
    </row>
    <row r="234" customFormat="false" ht="15" hidden="false" customHeight="false" outlineLevel="0" collapsed="false">
      <c r="E234" s="33"/>
      <c r="F234" s="33"/>
    </row>
    <row r="235" customFormat="false" ht="15" hidden="false" customHeight="false" outlineLevel="0" collapsed="false">
      <c r="E235" s="33"/>
      <c r="F235" s="33"/>
    </row>
    <row r="236" customFormat="false" ht="15" hidden="false" customHeight="false" outlineLevel="0" collapsed="false">
      <c r="E236" s="33"/>
      <c r="F236" s="33"/>
    </row>
    <row r="237" customFormat="false" ht="15" hidden="false" customHeight="false" outlineLevel="0" collapsed="false">
      <c r="E237" s="33"/>
      <c r="F237" s="33"/>
    </row>
    <row r="238" customFormat="false" ht="15" hidden="false" customHeight="false" outlineLevel="0" collapsed="false">
      <c r="E238" s="33"/>
      <c r="F238" s="33"/>
    </row>
    <row r="239" customFormat="false" ht="15" hidden="false" customHeight="false" outlineLevel="0" collapsed="false">
      <c r="E239" s="33"/>
      <c r="F239" s="33"/>
    </row>
    <row r="240" customFormat="false" ht="15" hidden="false" customHeight="false" outlineLevel="0" collapsed="false">
      <c r="E240" s="33"/>
      <c r="F240" s="33"/>
    </row>
    <row r="241" customFormat="false" ht="15" hidden="false" customHeight="false" outlineLevel="0" collapsed="false">
      <c r="E241" s="33"/>
      <c r="F241" s="33"/>
    </row>
    <row r="242" customFormat="false" ht="15" hidden="false" customHeight="false" outlineLevel="0" collapsed="false">
      <c r="E242" s="33"/>
      <c r="F242" s="33"/>
    </row>
    <row r="243" customFormat="false" ht="15" hidden="false" customHeight="false" outlineLevel="0" collapsed="false">
      <c r="E243" s="33"/>
      <c r="F243" s="33"/>
    </row>
    <row r="244" customFormat="false" ht="15" hidden="false" customHeight="false" outlineLevel="0" collapsed="false">
      <c r="E244" s="33"/>
      <c r="F244" s="33"/>
    </row>
    <row r="245" customFormat="false" ht="15" hidden="false" customHeight="false" outlineLevel="0" collapsed="false">
      <c r="E245" s="33"/>
      <c r="F245" s="33"/>
    </row>
    <row r="246" customFormat="false" ht="15" hidden="false" customHeight="false" outlineLevel="0" collapsed="false">
      <c r="E246" s="33"/>
      <c r="F246" s="33"/>
    </row>
    <row r="247" customFormat="false" ht="15" hidden="false" customHeight="false" outlineLevel="0" collapsed="false">
      <c r="E247" s="33"/>
      <c r="F247" s="33"/>
    </row>
    <row r="248" customFormat="false" ht="15" hidden="false" customHeight="false" outlineLevel="0" collapsed="false">
      <c r="E248" s="33"/>
      <c r="F248" s="33"/>
    </row>
    <row r="249" customFormat="false" ht="15" hidden="false" customHeight="false" outlineLevel="0" collapsed="false">
      <c r="E249" s="33"/>
      <c r="F249" s="33"/>
    </row>
    <row r="250" customFormat="false" ht="15" hidden="false" customHeight="false" outlineLevel="0" collapsed="false">
      <c r="E250" s="33"/>
      <c r="F250" s="33"/>
    </row>
    <row r="251" customFormat="false" ht="15" hidden="false" customHeight="false" outlineLevel="0" collapsed="false">
      <c r="E251" s="33"/>
      <c r="F251" s="33"/>
    </row>
    <row r="252" customFormat="false" ht="15" hidden="false" customHeight="false" outlineLevel="0" collapsed="false">
      <c r="E252" s="33"/>
      <c r="F252" s="33"/>
    </row>
    <row r="253" customFormat="false" ht="15" hidden="false" customHeight="false" outlineLevel="0" collapsed="false">
      <c r="E253" s="33"/>
      <c r="F253" s="33"/>
    </row>
    <row r="254" customFormat="false" ht="15" hidden="false" customHeight="false" outlineLevel="0" collapsed="false">
      <c r="E254" s="33"/>
      <c r="F254" s="33"/>
    </row>
    <row r="255" customFormat="false" ht="15" hidden="false" customHeight="false" outlineLevel="0" collapsed="false">
      <c r="E255" s="33"/>
      <c r="F255" s="33"/>
    </row>
    <row r="256" customFormat="false" ht="15" hidden="false" customHeight="false" outlineLevel="0" collapsed="false">
      <c r="E256" s="33"/>
      <c r="F256" s="33"/>
    </row>
    <row r="257" customFormat="false" ht="15" hidden="false" customHeight="false" outlineLevel="0" collapsed="false">
      <c r="E257" s="33"/>
      <c r="F257" s="33"/>
    </row>
    <row r="258" customFormat="false" ht="15" hidden="false" customHeight="false" outlineLevel="0" collapsed="false">
      <c r="E258" s="33"/>
      <c r="F258" s="33"/>
    </row>
    <row r="259" customFormat="false" ht="15" hidden="false" customHeight="false" outlineLevel="0" collapsed="false">
      <c r="E259" s="33"/>
      <c r="F259" s="33"/>
    </row>
    <row r="260" customFormat="false" ht="15" hidden="false" customHeight="false" outlineLevel="0" collapsed="false">
      <c r="E260" s="33"/>
      <c r="F260" s="33"/>
    </row>
    <row r="261" customFormat="false" ht="15" hidden="false" customHeight="false" outlineLevel="0" collapsed="false">
      <c r="E261" s="33"/>
      <c r="F261" s="33"/>
    </row>
    <row r="262" customFormat="false" ht="15" hidden="false" customHeight="false" outlineLevel="0" collapsed="false">
      <c r="E262" s="33"/>
      <c r="F262" s="33"/>
    </row>
    <row r="263" customFormat="false" ht="15" hidden="false" customHeight="false" outlineLevel="0" collapsed="false">
      <c r="E263" s="33"/>
      <c r="F263" s="33"/>
    </row>
    <row r="264" customFormat="false" ht="15" hidden="false" customHeight="false" outlineLevel="0" collapsed="false">
      <c r="E264" s="33"/>
      <c r="F264" s="33"/>
    </row>
    <row r="265" customFormat="false" ht="15" hidden="false" customHeight="false" outlineLevel="0" collapsed="false">
      <c r="E265" s="33"/>
      <c r="F265" s="33"/>
    </row>
    <row r="266" customFormat="false" ht="15" hidden="false" customHeight="false" outlineLevel="0" collapsed="false">
      <c r="E266" s="33"/>
      <c r="F266" s="33"/>
    </row>
    <row r="267" customFormat="false" ht="15" hidden="false" customHeight="false" outlineLevel="0" collapsed="false">
      <c r="E267" s="33"/>
      <c r="F267" s="33"/>
    </row>
    <row r="268" customFormat="false" ht="15" hidden="false" customHeight="false" outlineLevel="0" collapsed="false">
      <c r="E268" s="33"/>
      <c r="F268" s="33"/>
    </row>
    <row r="269" customFormat="false" ht="15" hidden="false" customHeight="false" outlineLevel="0" collapsed="false">
      <c r="E269" s="33"/>
      <c r="F269" s="33"/>
    </row>
    <row r="270" customFormat="false" ht="15" hidden="false" customHeight="false" outlineLevel="0" collapsed="false">
      <c r="E270" s="33"/>
      <c r="F270" s="33"/>
    </row>
    <row r="271" customFormat="false" ht="15" hidden="false" customHeight="false" outlineLevel="0" collapsed="false">
      <c r="E271" s="33"/>
      <c r="F271" s="33"/>
    </row>
    <row r="272" customFormat="false" ht="15" hidden="false" customHeight="false" outlineLevel="0" collapsed="false">
      <c r="E272" s="33"/>
      <c r="F272" s="33"/>
    </row>
    <row r="273" customFormat="false" ht="15" hidden="false" customHeight="false" outlineLevel="0" collapsed="false">
      <c r="E273" s="33"/>
      <c r="F273" s="33"/>
    </row>
    <row r="274" customFormat="false" ht="15" hidden="false" customHeight="false" outlineLevel="0" collapsed="false">
      <c r="E274" s="33"/>
      <c r="F274" s="33"/>
    </row>
    <row r="275" customFormat="false" ht="15" hidden="false" customHeight="false" outlineLevel="0" collapsed="false">
      <c r="E275" s="33"/>
      <c r="F275" s="33"/>
    </row>
    <row r="276" customFormat="false" ht="15" hidden="false" customHeight="false" outlineLevel="0" collapsed="false">
      <c r="E276" s="33"/>
      <c r="F276" s="33"/>
    </row>
    <row r="277" customFormat="false" ht="15" hidden="false" customHeight="false" outlineLevel="0" collapsed="false">
      <c r="E277" s="33"/>
      <c r="F277" s="33"/>
    </row>
    <row r="278" customFormat="false" ht="15" hidden="false" customHeight="false" outlineLevel="0" collapsed="false">
      <c r="E278" s="33"/>
      <c r="F278" s="33"/>
    </row>
    <row r="279" customFormat="false" ht="15" hidden="false" customHeight="false" outlineLevel="0" collapsed="false">
      <c r="E279" s="33"/>
      <c r="F279" s="33"/>
    </row>
    <row r="280" customFormat="false" ht="15" hidden="false" customHeight="false" outlineLevel="0" collapsed="false">
      <c r="E280" s="33"/>
      <c r="F280" s="33"/>
    </row>
    <row r="281" customFormat="false" ht="15" hidden="false" customHeight="false" outlineLevel="0" collapsed="false">
      <c r="E281" s="33"/>
      <c r="F281" s="33"/>
    </row>
    <row r="282" customFormat="false" ht="15" hidden="false" customHeight="false" outlineLevel="0" collapsed="false">
      <c r="E282" s="33"/>
      <c r="F282" s="33"/>
    </row>
    <row r="283" customFormat="false" ht="15" hidden="false" customHeight="false" outlineLevel="0" collapsed="false">
      <c r="E283" s="33"/>
      <c r="F283" s="33"/>
    </row>
    <row r="284" customFormat="false" ht="15" hidden="false" customHeight="false" outlineLevel="0" collapsed="false">
      <c r="E284" s="33"/>
      <c r="F284" s="33"/>
    </row>
    <row r="285" customFormat="false" ht="15" hidden="false" customHeight="false" outlineLevel="0" collapsed="false">
      <c r="E285" s="33"/>
      <c r="F285" s="33"/>
    </row>
    <row r="286" customFormat="false" ht="15" hidden="false" customHeight="false" outlineLevel="0" collapsed="false">
      <c r="E286" s="33"/>
      <c r="F286" s="33"/>
    </row>
    <row r="287" customFormat="false" ht="15" hidden="false" customHeight="false" outlineLevel="0" collapsed="false">
      <c r="E287" s="33"/>
      <c r="F287" s="33"/>
    </row>
    <row r="288" customFormat="false" ht="15" hidden="false" customHeight="false" outlineLevel="0" collapsed="false">
      <c r="E288" s="33"/>
      <c r="F288" s="33"/>
    </row>
    <row r="289" customFormat="false" ht="15" hidden="false" customHeight="false" outlineLevel="0" collapsed="false">
      <c r="E289" s="33"/>
      <c r="F289" s="33"/>
    </row>
    <row r="290" customFormat="false" ht="15" hidden="false" customHeight="false" outlineLevel="0" collapsed="false">
      <c r="E290" s="33"/>
      <c r="F290" s="33"/>
    </row>
    <row r="291" customFormat="false" ht="15" hidden="false" customHeight="false" outlineLevel="0" collapsed="false">
      <c r="E291" s="33"/>
      <c r="F291" s="33"/>
    </row>
    <row r="292" customFormat="false" ht="15" hidden="false" customHeight="false" outlineLevel="0" collapsed="false">
      <c r="E292" s="33"/>
      <c r="F292" s="33"/>
    </row>
    <row r="293" customFormat="false" ht="15" hidden="false" customHeight="false" outlineLevel="0" collapsed="false">
      <c r="E293" s="33"/>
      <c r="F293" s="33"/>
    </row>
    <row r="294" customFormat="false" ht="15" hidden="false" customHeight="false" outlineLevel="0" collapsed="false">
      <c r="E294" s="33"/>
      <c r="F294" s="33"/>
    </row>
    <row r="295" customFormat="false" ht="15" hidden="false" customHeight="false" outlineLevel="0" collapsed="false">
      <c r="E295" s="33"/>
      <c r="F295" s="33"/>
    </row>
    <row r="296" customFormat="false" ht="15" hidden="false" customHeight="false" outlineLevel="0" collapsed="false">
      <c r="E296" s="33"/>
      <c r="F296" s="33"/>
    </row>
    <row r="297" customFormat="false" ht="15" hidden="false" customHeight="false" outlineLevel="0" collapsed="false">
      <c r="E297" s="33"/>
      <c r="F297" s="33"/>
    </row>
    <row r="298" customFormat="false" ht="15" hidden="false" customHeight="false" outlineLevel="0" collapsed="false">
      <c r="E298" s="33"/>
      <c r="F298" s="33"/>
    </row>
    <row r="299" customFormat="false" ht="15" hidden="false" customHeight="false" outlineLevel="0" collapsed="false">
      <c r="E299" s="33"/>
      <c r="F299" s="33"/>
    </row>
    <row r="300" customFormat="false" ht="15" hidden="false" customHeight="false" outlineLevel="0" collapsed="false">
      <c r="E300" s="33"/>
      <c r="F300" s="33"/>
    </row>
    <row r="301" customFormat="false" ht="15" hidden="false" customHeight="false" outlineLevel="0" collapsed="false">
      <c r="E301" s="33"/>
      <c r="F301" s="33"/>
    </row>
    <row r="302" customFormat="false" ht="15" hidden="false" customHeight="false" outlineLevel="0" collapsed="false">
      <c r="E302" s="33"/>
      <c r="F302" s="33"/>
    </row>
    <row r="303" customFormat="false" ht="15" hidden="false" customHeight="false" outlineLevel="0" collapsed="false">
      <c r="E303" s="33"/>
      <c r="F303" s="33"/>
    </row>
    <row r="304" customFormat="false" ht="15" hidden="false" customHeight="false" outlineLevel="0" collapsed="false">
      <c r="E304" s="33"/>
      <c r="F304" s="33"/>
    </row>
    <row r="305" customFormat="false" ht="15" hidden="false" customHeight="false" outlineLevel="0" collapsed="false">
      <c r="E305" s="33"/>
      <c r="F305" s="33"/>
    </row>
    <row r="306" customFormat="false" ht="15" hidden="false" customHeight="false" outlineLevel="0" collapsed="false">
      <c r="E306" s="33"/>
      <c r="F306" s="33"/>
    </row>
    <row r="307" customFormat="false" ht="15" hidden="false" customHeight="false" outlineLevel="0" collapsed="false">
      <c r="E307" s="33"/>
      <c r="F307" s="33"/>
    </row>
    <row r="308" customFormat="false" ht="15" hidden="false" customHeight="false" outlineLevel="0" collapsed="false">
      <c r="E308" s="33"/>
      <c r="F308" s="33"/>
    </row>
    <row r="309" customFormat="false" ht="15" hidden="false" customHeight="false" outlineLevel="0" collapsed="false">
      <c r="E309" s="33"/>
      <c r="F309" s="33"/>
    </row>
    <row r="310" customFormat="false" ht="15" hidden="false" customHeight="false" outlineLevel="0" collapsed="false">
      <c r="E310" s="33"/>
      <c r="F310" s="33"/>
    </row>
    <row r="311" customFormat="false" ht="15" hidden="false" customHeight="false" outlineLevel="0" collapsed="false">
      <c r="E311" s="33"/>
      <c r="F311" s="33"/>
    </row>
    <row r="312" customFormat="false" ht="15" hidden="false" customHeight="false" outlineLevel="0" collapsed="false">
      <c r="E312" s="33"/>
      <c r="F312" s="33"/>
    </row>
    <row r="313" customFormat="false" ht="15" hidden="false" customHeight="false" outlineLevel="0" collapsed="false">
      <c r="E313" s="33"/>
      <c r="F313" s="33"/>
    </row>
    <row r="314" customFormat="false" ht="15" hidden="false" customHeight="false" outlineLevel="0" collapsed="false">
      <c r="E314" s="33"/>
      <c r="F314" s="33"/>
    </row>
    <row r="315" customFormat="false" ht="15" hidden="false" customHeight="false" outlineLevel="0" collapsed="false">
      <c r="E315" s="33"/>
      <c r="F315" s="33"/>
    </row>
    <row r="316" customFormat="false" ht="15" hidden="false" customHeight="false" outlineLevel="0" collapsed="false">
      <c r="E316" s="33"/>
      <c r="F316" s="33"/>
    </row>
    <row r="317" customFormat="false" ht="15" hidden="false" customHeight="false" outlineLevel="0" collapsed="false">
      <c r="E317" s="33"/>
      <c r="F317" s="33"/>
    </row>
    <row r="318" customFormat="false" ht="15" hidden="false" customHeight="false" outlineLevel="0" collapsed="false">
      <c r="E318" s="33"/>
      <c r="F318" s="33"/>
    </row>
    <row r="319" customFormat="false" ht="15" hidden="false" customHeight="false" outlineLevel="0" collapsed="false">
      <c r="E319" s="33"/>
      <c r="F319" s="33"/>
    </row>
    <row r="320" customFormat="false" ht="15" hidden="false" customHeight="false" outlineLevel="0" collapsed="false">
      <c r="E320" s="33"/>
      <c r="F320" s="33"/>
    </row>
    <row r="321" customFormat="false" ht="15" hidden="false" customHeight="false" outlineLevel="0" collapsed="false">
      <c r="E321" s="33"/>
      <c r="F321" s="33"/>
    </row>
    <row r="322" customFormat="false" ht="15" hidden="false" customHeight="false" outlineLevel="0" collapsed="false">
      <c r="E322" s="33"/>
      <c r="F322" s="33"/>
    </row>
    <row r="323" customFormat="false" ht="15" hidden="false" customHeight="false" outlineLevel="0" collapsed="false">
      <c r="E323" s="33"/>
      <c r="F323" s="33"/>
    </row>
    <row r="324" customFormat="false" ht="15" hidden="false" customHeight="false" outlineLevel="0" collapsed="false">
      <c r="E324" s="33"/>
      <c r="F324" s="33"/>
    </row>
    <row r="325" customFormat="false" ht="15" hidden="false" customHeight="false" outlineLevel="0" collapsed="false">
      <c r="E325" s="33"/>
      <c r="F325" s="33"/>
    </row>
    <row r="326" customFormat="false" ht="15" hidden="false" customHeight="false" outlineLevel="0" collapsed="false">
      <c r="E326" s="33"/>
      <c r="F326" s="33"/>
    </row>
    <row r="327" customFormat="false" ht="15" hidden="false" customHeight="false" outlineLevel="0" collapsed="false">
      <c r="E327" s="33"/>
      <c r="F327" s="33"/>
    </row>
    <row r="328" customFormat="false" ht="15" hidden="false" customHeight="false" outlineLevel="0" collapsed="false">
      <c r="E328" s="33"/>
      <c r="F328" s="33"/>
    </row>
    <row r="329" customFormat="false" ht="15" hidden="false" customHeight="false" outlineLevel="0" collapsed="false">
      <c r="E329" s="33"/>
      <c r="F329" s="33"/>
    </row>
    <row r="330" customFormat="false" ht="15" hidden="false" customHeight="false" outlineLevel="0" collapsed="false">
      <c r="E330" s="33"/>
      <c r="F330" s="33"/>
    </row>
    <row r="331" customFormat="false" ht="15" hidden="false" customHeight="false" outlineLevel="0" collapsed="false">
      <c r="E331" s="33"/>
      <c r="F331" s="33"/>
    </row>
    <row r="332" customFormat="false" ht="15" hidden="false" customHeight="false" outlineLevel="0" collapsed="false">
      <c r="E332" s="33"/>
      <c r="F332" s="33"/>
    </row>
    <row r="333" customFormat="false" ht="15" hidden="false" customHeight="false" outlineLevel="0" collapsed="false">
      <c r="E333" s="33"/>
      <c r="F333" s="33"/>
    </row>
    <row r="334" customFormat="false" ht="15" hidden="false" customHeight="false" outlineLevel="0" collapsed="false">
      <c r="E334" s="33"/>
      <c r="F334" s="33"/>
    </row>
    <row r="335" customFormat="false" ht="15" hidden="false" customHeight="false" outlineLevel="0" collapsed="false">
      <c r="E335" s="33"/>
      <c r="F335" s="33"/>
    </row>
    <row r="336" customFormat="false" ht="15" hidden="false" customHeight="false" outlineLevel="0" collapsed="false">
      <c r="E336" s="33"/>
      <c r="F336" s="33"/>
    </row>
    <row r="337" customFormat="false" ht="15" hidden="false" customHeight="false" outlineLevel="0" collapsed="false">
      <c r="E337" s="33"/>
      <c r="F337" s="33"/>
    </row>
    <row r="338" customFormat="false" ht="15" hidden="false" customHeight="false" outlineLevel="0" collapsed="false">
      <c r="E338" s="33"/>
      <c r="F338" s="33"/>
    </row>
    <row r="339" customFormat="false" ht="15" hidden="false" customHeight="false" outlineLevel="0" collapsed="false">
      <c r="E339" s="33"/>
      <c r="F339" s="33"/>
    </row>
    <row r="340" customFormat="false" ht="15" hidden="false" customHeight="false" outlineLevel="0" collapsed="false">
      <c r="E340" s="33"/>
      <c r="F340" s="33"/>
    </row>
    <row r="341" customFormat="false" ht="15" hidden="false" customHeight="false" outlineLevel="0" collapsed="false">
      <c r="E341" s="33"/>
      <c r="F341" s="33"/>
    </row>
    <row r="342" customFormat="false" ht="15" hidden="false" customHeight="false" outlineLevel="0" collapsed="false">
      <c r="E342" s="33"/>
      <c r="F342" s="33"/>
    </row>
    <row r="343" customFormat="false" ht="15" hidden="false" customHeight="false" outlineLevel="0" collapsed="false">
      <c r="E343" s="33"/>
      <c r="F343" s="33"/>
    </row>
    <row r="344" customFormat="false" ht="15" hidden="false" customHeight="false" outlineLevel="0" collapsed="false">
      <c r="E344" s="33"/>
      <c r="F344" s="33"/>
    </row>
    <row r="345" customFormat="false" ht="15" hidden="false" customHeight="false" outlineLevel="0" collapsed="false">
      <c r="E345" s="33"/>
      <c r="F345" s="33"/>
    </row>
    <row r="346" customFormat="false" ht="15" hidden="false" customHeight="false" outlineLevel="0" collapsed="false">
      <c r="E346" s="33"/>
      <c r="F346" s="33"/>
    </row>
    <row r="347" customFormat="false" ht="15" hidden="false" customHeight="false" outlineLevel="0" collapsed="false">
      <c r="E347" s="33"/>
      <c r="F347" s="33"/>
    </row>
    <row r="348" customFormat="false" ht="15" hidden="false" customHeight="false" outlineLevel="0" collapsed="false">
      <c r="E348" s="33"/>
      <c r="F348" s="33"/>
    </row>
    <row r="349" customFormat="false" ht="15" hidden="false" customHeight="false" outlineLevel="0" collapsed="false">
      <c r="E349" s="33"/>
      <c r="F349" s="33"/>
    </row>
    <row r="350" customFormat="false" ht="15" hidden="false" customHeight="false" outlineLevel="0" collapsed="false">
      <c r="E350" s="33"/>
      <c r="F350" s="33"/>
    </row>
    <row r="351" customFormat="false" ht="15" hidden="false" customHeight="false" outlineLevel="0" collapsed="false">
      <c r="E351" s="33"/>
      <c r="F351" s="33"/>
    </row>
    <row r="352" customFormat="false" ht="15" hidden="false" customHeight="false" outlineLevel="0" collapsed="false">
      <c r="E352" s="33"/>
      <c r="F352" s="33"/>
    </row>
    <row r="353" customFormat="false" ht="15" hidden="false" customHeight="false" outlineLevel="0" collapsed="false">
      <c r="E353" s="33"/>
      <c r="F353" s="33"/>
    </row>
    <row r="354" customFormat="false" ht="15" hidden="false" customHeight="false" outlineLevel="0" collapsed="false">
      <c r="E354" s="33"/>
      <c r="F354" s="33"/>
    </row>
    <row r="355" customFormat="false" ht="15" hidden="false" customHeight="false" outlineLevel="0" collapsed="false">
      <c r="E355" s="33"/>
      <c r="F355" s="33"/>
    </row>
    <row r="356" customFormat="false" ht="15" hidden="false" customHeight="false" outlineLevel="0" collapsed="false">
      <c r="E356" s="33"/>
      <c r="F356" s="33"/>
    </row>
    <row r="357" customFormat="false" ht="15" hidden="false" customHeight="false" outlineLevel="0" collapsed="false">
      <c r="E357" s="33"/>
      <c r="F357" s="33"/>
    </row>
    <row r="358" customFormat="false" ht="15" hidden="false" customHeight="false" outlineLevel="0" collapsed="false">
      <c r="E358" s="33"/>
      <c r="F358" s="33"/>
    </row>
    <row r="359" customFormat="false" ht="15" hidden="false" customHeight="false" outlineLevel="0" collapsed="false">
      <c r="E359" s="33"/>
      <c r="F359" s="33"/>
    </row>
    <row r="360" customFormat="false" ht="15" hidden="false" customHeight="false" outlineLevel="0" collapsed="false">
      <c r="E360" s="33"/>
      <c r="F360" s="33"/>
    </row>
    <row r="361" customFormat="false" ht="15" hidden="false" customHeight="false" outlineLevel="0" collapsed="false">
      <c r="E361" s="33"/>
      <c r="F361" s="33"/>
    </row>
    <row r="362" customFormat="false" ht="15" hidden="false" customHeight="false" outlineLevel="0" collapsed="false">
      <c r="E362" s="33"/>
      <c r="F362" s="33"/>
    </row>
    <row r="363" customFormat="false" ht="15" hidden="false" customHeight="false" outlineLevel="0" collapsed="false">
      <c r="E363" s="33"/>
      <c r="F363" s="33"/>
    </row>
    <row r="364" customFormat="false" ht="15" hidden="false" customHeight="false" outlineLevel="0" collapsed="false">
      <c r="E364" s="33"/>
      <c r="F364" s="33"/>
    </row>
    <row r="365" customFormat="false" ht="15" hidden="false" customHeight="false" outlineLevel="0" collapsed="false">
      <c r="E365" s="33"/>
      <c r="F365" s="33"/>
    </row>
    <row r="366" customFormat="false" ht="15" hidden="false" customHeight="false" outlineLevel="0" collapsed="false">
      <c r="E366" s="33"/>
      <c r="F366" s="33"/>
    </row>
    <row r="367" customFormat="false" ht="15" hidden="false" customHeight="false" outlineLevel="0" collapsed="false">
      <c r="E367" s="33"/>
      <c r="F367" s="33"/>
    </row>
    <row r="368" customFormat="false" ht="15" hidden="false" customHeight="false" outlineLevel="0" collapsed="false">
      <c r="E368" s="33"/>
      <c r="F368" s="33"/>
    </row>
    <row r="369" customFormat="false" ht="15" hidden="false" customHeight="false" outlineLevel="0" collapsed="false">
      <c r="E369" s="33"/>
      <c r="F369" s="33"/>
    </row>
    <row r="370" customFormat="false" ht="15" hidden="false" customHeight="false" outlineLevel="0" collapsed="false">
      <c r="E370" s="33"/>
      <c r="F370" s="33"/>
    </row>
    <row r="371" customFormat="false" ht="15" hidden="false" customHeight="false" outlineLevel="0" collapsed="false">
      <c r="E371" s="33"/>
      <c r="F371" s="33"/>
    </row>
    <row r="372" customFormat="false" ht="15" hidden="false" customHeight="false" outlineLevel="0" collapsed="false">
      <c r="E372" s="33"/>
      <c r="F372" s="33"/>
    </row>
    <row r="373" customFormat="false" ht="15" hidden="false" customHeight="false" outlineLevel="0" collapsed="false">
      <c r="E373" s="33"/>
      <c r="F373" s="33"/>
    </row>
    <row r="374" customFormat="false" ht="15" hidden="false" customHeight="false" outlineLevel="0" collapsed="false">
      <c r="E374" s="33"/>
      <c r="F374" s="33"/>
    </row>
    <row r="375" customFormat="false" ht="15" hidden="false" customHeight="false" outlineLevel="0" collapsed="false">
      <c r="E375" s="33"/>
      <c r="F375" s="33"/>
    </row>
    <row r="376" customFormat="false" ht="15" hidden="false" customHeight="false" outlineLevel="0" collapsed="false">
      <c r="E376" s="33"/>
      <c r="F376" s="33"/>
    </row>
    <row r="377" customFormat="false" ht="15" hidden="false" customHeight="false" outlineLevel="0" collapsed="false">
      <c r="E377" s="33"/>
      <c r="F377" s="33"/>
    </row>
    <row r="378" customFormat="false" ht="15" hidden="false" customHeight="false" outlineLevel="0" collapsed="false">
      <c r="E378" s="33"/>
      <c r="F378" s="33"/>
    </row>
    <row r="379" customFormat="false" ht="15" hidden="false" customHeight="false" outlineLevel="0" collapsed="false">
      <c r="E379" s="33"/>
      <c r="F379" s="33"/>
    </row>
    <row r="380" customFormat="false" ht="15" hidden="false" customHeight="false" outlineLevel="0" collapsed="false">
      <c r="E380" s="33"/>
      <c r="F380" s="33"/>
    </row>
    <row r="381" customFormat="false" ht="15" hidden="false" customHeight="false" outlineLevel="0" collapsed="false">
      <c r="E381" s="33"/>
      <c r="F381" s="33"/>
    </row>
    <row r="382" customFormat="false" ht="15" hidden="false" customHeight="false" outlineLevel="0" collapsed="false">
      <c r="E382" s="33"/>
      <c r="F382" s="33"/>
    </row>
    <row r="383" customFormat="false" ht="15" hidden="false" customHeight="false" outlineLevel="0" collapsed="false">
      <c r="E383" s="33"/>
      <c r="F383" s="33"/>
    </row>
    <row r="384" customFormat="false" ht="15" hidden="false" customHeight="false" outlineLevel="0" collapsed="false">
      <c r="E384" s="33"/>
      <c r="F384" s="33"/>
    </row>
    <row r="385" customFormat="false" ht="15" hidden="false" customHeight="false" outlineLevel="0" collapsed="false">
      <c r="E385" s="33"/>
      <c r="F385" s="33"/>
    </row>
    <row r="386" customFormat="false" ht="15" hidden="false" customHeight="false" outlineLevel="0" collapsed="false">
      <c r="E386" s="33"/>
      <c r="F386" s="33"/>
    </row>
    <row r="387" customFormat="false" ht="15" hidden="false" customHeight="false" outlineLevel="0" collapsed="false">
      <c r="E387" s="33"/>
      <c r="F387" s="33"/>
    </row>
    <row r="388" customFormat="false" ht="15" hidden="false" customHeight="false" outlineLevel="0" collapsed="false">
      <c r="E388" s="33"/>
      <c r="F388" s="33"/>
    </row>
    <row r="389" customFormat="false" ht="15" hidden="false" customHeight="false" outlineLevel="0" collapsed="false">
      <c r="E389" s="33"/>
      <c r="F389" s="33"/>
    </row>
    <row r="390" customFormat="false" ht="15" hidden="false" customHeight="false" outlineLevel="0" collapsed="false">
      <c r="E390" s="33"/>
      <c r="F390" s="33"/>
    </row>
    <row r="391" customFormat="false" ht="15" hidden="false" customHeight="false" outlineLevel="0" collapsed="false">
      <c r="E391" s="33"/>
      <c r="F391" s="33"/>
    </row>
    <row r="392" customFormat="false" ht="15" hidden="false" customHeight="false" outlineLevel="0" collapsed="false">
      <c r="E392" s="33"/>
      <c r="F392" s="33"/>
    </row>
    <row r="393" customFormat="false" ht="15" hidden="false" customHeight="false" outlineLevel="0" collapsed="false">
      <c r="E393" s="33"/>
      <c r="F393" s="33"/>
    </row>
    <row r="394" customFormat="false" ht="15" hidden="false" customHeight="false" outlineLevel="0" collapsed="false">
      <c r="E394" s="33"/>
      <c r="F394" s="33"/>
    </row>
    <row r="395" customFormat="false" ht="15" hidden="false" customHeight="false" outlineLevel="0" collapsed="false">
      <c r="E395" s="33"/>
      <c r="F395" s="33"/>
    </row>
    <row r="396" customFormat="false" ht="15" hidden="false" customHeight="false" outlineLevel="0" collapsed="false">
      <c r="E396" s="33"/>
      <c r="F396" s="33"/>
    </row>
    <row r="397" customFormat="false" ht="15" hidden="false" customHeight="false" outlineLevel="0" collapsed="false">
      <c r="E397" s="33"/>
      <c r="F397" s="33"/>
    </row>
    <row r="398" customFormat="false" ht="15" hidden="false" customHeight="false" outlineLevel="0" collapsed="false">
      <c r="E398" s="33"/>
      <c r="F398" s="33"/>
    </row>
    <row r="399" customFormat="false" ht="15" hidden="false" customHeight="false" outlineLevel="0" collapsed="false">
      <c r="E399" s="33"/>
      <c r="F399" s="33"/>
    </row>
    <row r="400" customFormat="false" ht="15" hidden="false" customHeight="false" outlineLevel="0" collapsed="false">
      <c r="E400" s="33"/>
      <c r="F400" s="33"/>
    </row>
    <row r="401" customFormat="false" ht="15" hidden="false" customHeight="false" outlineLevel="0" collapsed="false">
      <c r="E401" s="33"/>
      <c r="F401" s="33"/>
    </row>
    <row r="402" customFormat="false" ht="15" hidden="false" customHeight="false" outlineLevel="0" collapsed="false">
      <c r="E402" s="33"/>
      <c r="F402" s="33"/>
    </row>
    <row r="403" customFormat="false" ht="15" hidden="false" customHeight="false" outlineLevel="0" collapsed="false">
      <c r="E403" s="33"/>
      <c r="F403" s="33"/>
    </row>
    <row r="404" customFormat="false" ht="15" hidden="false" customHeight="false" outlineLevel="0" collapsed="false">
      <c r="E404" s="33"/>
      <c r="F404" s="33"/>
    </row>
    <row r="405" customFormat="false" ht="15" hidden="false" customHeight="false" outlineLevel="0" collapsed="false">
      <c r="E405" s="33"/>
      <c r="F405" s="33"/>
    </row>
    <row r="406" customFormat="false" ht="15" hidden="false" customHeight="false" outlineLevel="0" collapsed="false">
      <c r="E406" s="33"/>
      <c r="F406" s="33"/>
    </row>
    <row r="407" customFormat="false" ht="15" hidden="false" customHeight="false" outlineLevel="0" collapsed="false">
      <c r="E407" s="33"/>
      <c r="F407" s="33"/>
    </row>
    <row r="408" customFormat="false" ht="15" hidden="false" customHeight="false" outlineLevel="0" collapsed="false">
      <c r="E408" s="33"/>
      <c r="F408" s="33"/>
    </row>
    <row r="409" customFormat="false" ht="15" hidden="false" customHeight="false" outlineLevel="0" collapsed="false">
      <c r="E409" s="33"/>
      <c r="F409" s="33"/>
    </row>
    <row r="410" customFormat="false" ht="15" hidden="false" customHeight="false" outlineLevel="0" collapsed="false">
      <c r="E410" s="33"/>
      <c r="F410" s="33"/>
    </row>
    <row r="411" customFormat="false" ht="15" hidden="false" customHeight="false" outlineLevel="0" collapsed="false">
      <c r="E411" s="33"/>
      <c r="F411" s="33"/>
    </row>
    <row r="412" customFormat="false" ht="15" hidden="false" customHeight="false" outlineLevel="0" collapsed="false">
      <c r="E412" s="33"/>
      <c r="F412" s="33"/>
    </row>
    <row r="413" customFormat="false" ht="15" hidden="false" customHeight="false" outlineLevel="0" collapsed="false">
      <c r="E413" s="33"/>
      <c r="F413" s="33"/>
    </row>
    <row r="414" customFormat="false" ht="15" hidden="false" customHeight="false" outlineLevel="0" collapsed="false">
      <c r="E414" s="33"/>
      <c r="F414" s="33"/>
    </row>
    <row r="415" customFormat="false" ht="15" hidden="false" customHeight="false" outlineLevel="0" collapsed="false">
      <c r="E415" s="33"/>
      <c r="F415" s="33"/>
    </row>
    <row r="416" customFormat="false" ht="15" hidden="false" customHeight="false" outlineLevel="0" collapsed="false">
      <c r="E416" s="33"/>
      <c r="F416" s="33"/>
    </row>
    <row r="417" customFormat="false" ht="15" hidden="false" customHeight="false" outlineLevel="0" collapsed="false">
      <c r="E417" s="33"/>
      <c r="F417" s="33"/>
    </row>
    <row r="418" customFormat="false" ht="15" hidden="false" customHeight="false" outlineLevel="0" collapsed="false">
      <c r="E418" s="33"/>
      <c r="F418" s="33"/>
    </row>
    <row r="419" customFormat="false" ht="15" hidden="false" customHeight="false" outlineLevel="0" collapsed="false">
      <c r="E419" s="33"/>
      <c r="F419" s="33"/>
    </row>
    <row r="420" customFormat="false" ht="15" hidden="false" customHeight="false" outlineLevel="0" collapsed="false">
      <c r="E420" s="33"/>
      <c r="F420" s="33"/>
    </row>
    <row r="421" customFormat="false" ht="15" hidden="false" customHeight="false" outlineLevel="0" collapsed="false">
      <c r="E421" s="33"/>
      <c r="F421" s="33"/>
    </row>
    <row r="422" customFormat="false" ht="15" hidden="false" customHeight="false" outlineLevel="0" collapsed="false">
      <c r="E422" s="33"/>
      <c r="F422" s="33"/>
    </row>
    <row r="423" customFormat="false" ht="15" hidden="false" customHeight="false" outlineLevel="0" collapsed="false">
      <c r="E423" s="33"/>
      <c r="F423" s="33"/>
    </row>
    <row r="424" customFormat="false" ht="15" hidden="false" customHeight="false" outlineLevel="0" collapsed="false">
      <c r="E424" s="33"/>
      <c r="F424" s="33"/>
    </row>
    <row r="425" customFormat="false" ht="15" hidden="false" customHeight="false" outlineLevel="0" collapsed="false">
      <c r="E425" s="33"/>
      <c r="F425" s="33"/>
    </row>
    <row r="426" customFormat="false" ht="15" hidden="false" customHeight="false" outlineLevel="0" collapsed="false">
      <c r="E426" s="33"/>
      <c r="F426" s="33"/>
    </row>
    <row r="427" customFormat="false" ht="15" hidden="false" customHeight="false" outlineLevel="0" collapsed="false">
      <c r="E427" s="33"/>
      <c r="F427" s="33"/>
    </row>
    <row r="428" customFormat="false" ht="15" hidden="false" customHeight="false" outlineLevel="0" collapsed="false">
      <c r="E428" s="33"/>
      <c r="F428" s="33"/>
    </row>
    <row r="429" customFormat="false" ht="15" hidden="false" customHeight="false" outlineLevel="0" collapsed="false">
      <c r="E429" s="33"/>
      <c r="F429" s="33"/>
    </row>
    <row r="430" customFormat="false" ht="15" hidden="false" customHeight="false" outlineLevel="0" collapsed="false">
      <c r="E430" s="33"/>
      <c r="F430" s="33"/>
    </row>
    <row r="431" customFormat="false" ht="15" hidden="false" customHeight="false" outlineLevel="0" collapsed="false">
      <c r="E431" s="33"/>
      <c r="F431" s="33"/>
    </row>
    <row r="432" customFormat="false" ht="15" hidden="false" customHeight="false" outlineLevel="0" collapsed="false">
      <c r="E432" s="33"/>
      <c r="F432" s="33"/>
    </row>
    <row r="433" customFormat="false" ht="15" hidden="false" customHeight="false" outlineLevel="0" collapsed="false">
      <c r="E433" s="33"/>
      <c r="F433" s="33"/>
    </row>
    <row r="434" customFormat="false" ht="15" hidden="false" customHeight="false" outlineLevel="0" collapsed="false">
      <c r="E434" s="33"/>
      <c r="F434" s="33"/>
    </row>
    <row r="435" customFormat="false" ht="15" hidden="false" customHeight="false" outlineLevel="0" collapsed="false">
      <c r="E435" s="33"/>
      <c r="F435" s="33"/>
    </row>
    <row r="436" customFormat="false" ht="15" hidden="false" customHeight="false" outlineLevel="0" collapsed="false">
      <c r="E436" s="33"/>
      <c r="F436" s="33"/>
    </row>
    <row r="437" customFormat="false" ht="15" hidden="false" customHeight="false" outlineLevel="0" collapsed="false">
      <c r="E437" s="33"/>
      <c r="F437" s="33"/>
    </row>
    <row r="438" customFormat="false" ht="15" hidden="false" customHeight="false" outlineLevel="0" collapsed="false">
      <c r="E438" s="33"/>
      <c r="F438" s="33"/>
    </row>
    <row r="439" customFormat="false" ht="15" hidden="false" customHeight="false" outlineLevel="0" collapsed="false">
      <c r="E439" s="33"/>
      <c r="F439" s="33"/>
    </row>
    <row r="440" customFormat="false" ht="15" hidden="false" customHeight="false" outlineLevel="0" collapsed="false">
      <c r="E440" s="33"/>
      <c r="F440" s="33"/>
    </row>
    <row r="441" customFormat="false" ht="15" hidden="false" customHeight="false" outlineLevel="0" collapsed="false">
      <c r="E441" s="33"/>
      <c r="F441" s="33"/>
    </row>
    <row r="442" customFormat="false" ht="15" hidden="false" customHeight="false" outlineLevel="0" collapsed="false">
      <c r="E442" s="33"/>
      <c r="F442" s="33"/>
    </row>
    <row r="443" customFormat="false" ht="15" hidden="false" customHeight="false" outlineLevel="0" collapsed="false">
      <c r="E443" s="33"/>
      <c r="F443" s="33"/>
    </row>
    <row r="444" customFormat="false" ht="15" hidden="false" customHeight="false" outlineLevel="0" collapsed="false">
      <c r="E444" s="33"/>
      <c r="F444" s="33"/>
    </row>
    <row r="445" customFormat="false" ht="15" hidden="false" customHeight="false" outlineLevel="0" collapsed="false">
      <c r="E445" s="33"/>
      <c r="F445" s="33"/>
    </row>
    <row r="446" customFormat="false" ht="15" hidden="false" customHeight="false" outlineLevel="0" collapsed="false">
      <c r="E446" s="33"/>
      <c r="F446" s="33"/>
    </row>
    <row r="447" customFormat="false" ht="15" hidden="false" customHeight="false" outlineLevel="0" collapsed="false">
      <c r="E447" s="33"/>
      <c r="F447" s="33"/>
    </row>
    <row r="448" customFormat="false" ht="15" hidden="false" customHeight="false" outlineLevel="0" collapsed="false">
      <c r="E448" s="33"/>
      <c r="F448" s="33"/>
    </row>
    <row r="449" customFormat="false" ht="15" hidden="false" customHeight="false" outlineLevel="0" collapsed="false">
      <c r="E449" s="33"/>
      <c r="F449" s="33"/>
    </row>
    <row r="450" customFormat="false" ht="15" hidden="false" customHeight="false" outlineLevel="0" collapsed="false">
      <c r="E450" s="33"/>
      <c r="F450" s="33"/>
    </row>
    <row r="451" customFormat="false" ht="15" hidden="false" customHeight="false" outlineLevel="0" collapsed="false">
      <c r="E451" s="33"/>
      <c r="F451" s="33"/>
    </row>
    <row r="452" customFormat="false" ht="15" hidden="false" customHeight="false" outlineLevel="0" collapsed="false">
      <c r="E452" s="33"/>
      <c r="F452" s="33"/>
    </row>
    <row r="453" customFormat="false" ht="15" hidden="false" customHeight="false" outlineLevel="0" collapsed="false">
      <c r="E453" s="33"/>
      <c r="F453" s="33"/>
    </row>
    <row r="454" customFormat="false" ht="15" hidden="false" customHeight="false" outlineLevel="0" collapsed="false">
      <c r="E454" s="33"/>
      <c r="F454" s="33"/>
    </row>
    <row r="455" customFormat="false" ht="15" hidden="false" customHeight="false" outlineLevel="0" collapsed="false">
      <c r="E455" s="33"/>
      <c r="F455" s="33"/>
    </row>
    <row r="456" customFormat="false" ht="15" hidden="false" customHeight="false" outlineLevel="0" collapsed="false">
      <c r="E456" s="33"/>
      <c r="F456" s="33"/>
    </row>
    <row r="457" customFormat="false" ht="15" hidden="false" customHeight="false" outlineLevel="0" collapsed="false">
      <c r="E457" s="33"/>
      <c r="F457" s="33"/>
    </row>
    <row r="458" customFormat="false" ht="15" hidden="false" customHeight="false" outlineLevel="0" collapsed="false">
      <c r="E458" s="33"/>
      <c r="F458" s="33"/>
    </row>
    <row r="459" customFormat="false" ht="15" hidden="false" customHeight="false" outlineLevel="0" collapsed="false">
      <c r="E459" s="33"/>
      <c r="F459" s="33"/>
    </row>
    <row r="460" customFormat="false" ht="15" hidden="false" customHeight="false" outlineLevel="0" collapsed="false">
      <c r="E460" s="33"/>
      <c r="F460" s="33"/>
    </row>
    <row r="461" customFormat="false" ht="15" hidden="false" customHeight="false" outlineLevel="0" collapsed="false">
      <c r="E461" s="33"/>
      <c r="F461" s="33"/>
    </row>
    <row r="462" customFormat="false" ht="15" hidden="false" customHeight="false" outlineLevel="0" collapsed="false">
      <c r="E462" s="33"/>
      <c r="F462" s="33"/>
    </row>
    <row r="463" customFormat="false" ht="15" hidden="false" customHeight="false" outlineLevel="0" collapsed="false">
      <c r="E463" s="33"/>
      <c r="F463" s="33"/>
    </row>
    <row r="464" customFormat="false" ht="15" hidden="false" customHeight="false" outlineLevel="0" collapsed="false">
      <c r="E464" s="33"/>
      <c r="F464" s="33"/>
    </row>
    <row r="465" customFormat="false" ht="15" hidden="false" customHeight="false" outlineLevel="0" collapsed="false">
      <c r="E465" s="33"/>
      <c r="F465" s="33"/>
    </row>
    <row r="466" customFormat="false" ht="15" hidden="false" customHeight="false" outlineLevel="0" collapsed="false">
      <c r="E466" s="33"/>
      <c r="F466" s="33"/>
    </row>
    <row r="467" customFormat="false" ht="15" hidden="false" customHeight="false" outlineLevel="0" collapsed="false">
      <c r="E467" s="33"/>
      <c r="F467" s="33"/>
    </row>
    <row r="468" customFormat="false" ht="15" hidden="false" customHeight="false" outlineLevel="0" collapsed="false">
      <c r="E468" s="33"/>
      <c r="F468" s="33"/>
    </row>
    <row r="469" customFormat="false" ht="15" hidden="false" customHeight="false" outlineLevel="0" collapsed="false">
      <c r="E469" s="33"/>
      <c r="F469" s="33"/>
    </row>
    <row r="470" customFormat="false" ht="15" hidden="false" customHeight="false" outlineLevel="0" collapsed="false">
      <c r="E470" s="33"/>
      <c r="F470" s="33"/>
    </row>
    <row r="471" customFormat="false" ht="15" hidden="false" customHeight="false" outlineLevel="0" collapsed="false">
      <c r="E471" s="33"/>
      <c r="F471" s="33"/>
    </row>
    <row r="472" customFormat="false" ht="15" hidden="false" customHeight="false" outlineLevel="0" collapsed="false">
      <c r="E472" s="33"/>
      <c r="F472" s="33"/>
    </row>
    <row r="473" customFormat="false" ht="15" hidden="false" customHeight="false" outlineLevel="0" collapsed="false">
      <c r="E473" s="33"/>
      <c r="F473" s="33"/>
    </row>
    <row r="474" customFormat="false" ht="15" hidden="false" customHeight="false" outlineLevel="0" collapsed="false">
      <c r="E474" s="33"/>
      <c r="F474" s="33"/>
    </row>
    <row r="475" customFormat="false" ht="15" hidden="false" customHeight="false" outlineLevel="0" collapsed="false">
      <c r="E475" s="33"/>
      <c r="F475" s="33"/>
    </row>
    <row r="476" customFormat="false" ht="15" hidden="false" customHeight="false" outlineLevel="0" collapsed="false">
      <c r="E476" s="33"/>
      <c r="F476" s="33"/>
    </row>
    <row r="477" customFormat="false" ht="15" hidden="false" customHeight="false" outlineLevel="0" collapsed="false">
      <c r="E477" s="33"/>
      <c r="F477" s="33"/>
    </row>
    <row r="478" customFormat="false" ht="15" hidden="false" customHeight="false" outlineLevel="0" collapsed="false">
      <c r="E478" s="33"/>
      <c r="F478" s="33"/>
    </row>
    <row r="479" customFormat="false" ht="15" hidden="false" customHeight="false" outlineLevel="0" collapsed="false">
      <c r="E479" s="33"/>
      <c r="F479" s="33"/>
    </row>
    <row r="480" customFormat="false" ht="15" hidden="false" customHeight="false" outlineLevel="0" collapsed="false">
      <c r="E480" s="33"/>
      <c r="F480" s="33"/>
    </row>
    <row r="481" customFormat="false" ht="15" hidden="false" customHeight="false" outlineLevel="0" collapsed="false">
      <c r="E481" s="33"/>
      <c r="F481" s="33"/>
    </row>
    <row r="482" customFormat="false" ht="15" hidden="false" customHeight="false" outlineLevel="0" collapsed="false">
      <c r="E482" s="33"/>
      <c r="F482" s="33"/>
    </row>
    <row r="483" customFormat="false" ht="15" hidden="false" customHeight="false" outlineLevel="0" collapsed="false">
      <c r="E483" s="33"/>
      <c r="F483" s="33"/>
    </row>
    <row r="484" customFormat="false" ht="15" hidden="false" customHeight="false" outlineLevel="0" collapsed="false">
      <c r="E484" s="33"/>
      <c r="F484" s="33"/>
    </row>
    <row r="485" customFormat="false" ht="15" hidden="false" customHeight="false" outlineLevel="0" collapsed="false">
      <c r="E485" s="33"/>
      <c r="F485" s="33"/>
    </row>
    <row r="486" customFormat="false" ht="15" hidden="false" customHeight="false" outlineLevel="0" collapsed="false">
      <c r="E486" s="33"/>
      <c r="F486" s="33"/>
    </row>
    <row r="487" customFormat="false" ht="15" hidden="false" customHeight="false" outlineLevel="0" collapsed="false">
      <c r="E487" s="33"/>
      <c r="F487" s="33"/>
    </row>
    <row r="488" customFormat="false" ht="15" hidden="false" customHeight="false" outlineLevel="0" collapsed="false">
      <c r="E488" s="33"/>
      <c r="F488" s="33"/>
    </row>
    <row r="489" customFormat="false" ht="15" hidden="false" customHeight="false" outlineLevel="0" collapsed="false">
      <c r="E489" s="33"/>
      <c r="F489" s="33"/>
    </row>
    <row r="490" customFormat="false" ht="15" hidden="false" customHeight="false" outlineLevel="0" collapsed="false">
      <c r="E490" s="33"/>
      <c r="F490" s="33"/>
    </row>
    <row r="491" customFormat="false" ht="15" hidden="false" customHeight="false" outlineLevel="0" collapsed="false">
      <c r="E491" s="33"/>
      <c r="F491" s="33"/>
    </row>
    <row r="492" customFormat="false" ht="15" hidden="false" customHeight="false" outlineLevel="0" collapsed="false">
      <c r="E492" s="33"/>
      <c r="F492" s="33"/>
    </row>
    <row r="493" customFormat="false" ht="15" hidden="false" customHeight="false" outlineLevel="0" collapsed="false">
      <c r="E493" s="33"/>
      <c r="F493" s="33"/>
    </row>
    <row r="494" customFormat="false" ht="15" hidden="false" customHeight="false" outlineLevel="0" collapsed="false">
      <c r="E494" s="33"/>
      <c r="F494" s="33"/>
    </row>
    <row r="495" customFormat="false" ht="15" hidden="false" customHeight="false" outlineLevel="0" collapsed="false">
      <c r="E495" s="33"/>
      <c r="F495" s="33"/>
    </row>
    <row r="496" customFormat="false" ht="15" hidden="false" customHeight="false" outlineLevel="0" collapsed="false">
      <c r="E496" s="33"/>
      <c r="F496" s="33"/>
    </row>
    <row r="497" customFormat="false" ht="15" hidden="false" customHeight="false" outlineLevel="0" collapsed="false">
      <c r="E497" s="33"/>
      <c r="F497" s="33"/>
    </row>
    <row r="498" customFormat="false" ht="15" hidden="false" customHeight="false" outlineLevel="0" collapsed="false">
      <c r="E498" s="33"/>
      <c r="F498" s="33"/>
    </row>
    <row r="499" customFormat="false" ht="15" hidden="false" customHeight="false" outlineLevel="0" collapsed="false">
      <c r="E499" s="33"/>
      <c r="F499" s="33"/>
    </row>
    <row r="500" customFormat="false" ht="15" hidden="false" customHeight="false" outlineLevel="0" collapsed="false">
      <c r="E500" s="33"/>
      <c r="F500" s="33"/>
    </row>
    <row r="501" customFormat="false" ht="15" hidden="false" customHeight="false" outlineLevel="0" collapsed="false">
      <c r="E501" s="33"/>
      <c r="F501" s="33"/>
    </row>
    <row r="502" customFormat="false" ht="15" hidden="false" customHeight="false" outlineLevel="0" collapsed="false">
      <c r="E502" s="33"/>
      <c r="F502" s="33"/>
    </row>
    <row r="503" customFormat="false" ht="15" hidden="false" customHeight="false" outlineLevel="0" collapsed="false">
      <c r="E503" s="33"/>
      <c r="F503" s="33"/>
    </row>
    <row r="504" customFormat="false" ht="15" hidden="false" customHeight="false" outlineLevel="0" collapsed="false">
      <c r="E504" s="33"/>
      <c r="F504" s="33"/>
    </row>
    <row r="505" customFormat="false" ht="15" hidden="false" customHeight="false" outlineLevel="0" collapsed="false">
      <c r="E505" s="33"/>
      <c r="F505" s="33"/>
    </row>
    <row r="506" customFormat="false" ht="15" hidden="false" customHeight="false" outlineLevel="0" collapsed="false">
      <c r="E506" s="33"/>
      <c r="F506" s="33"/>
    </row>
    <row r="507" customFormat="false" ht="15" hidden="false" customHeight="false" outlineLevel="0" collapsed="false">
      <c r="E507" s="33"/>
      <c r="F507" s="33"/>
    </row>
    <row r="508" customFormat="false" ht="15" hidden="false" customHeight="false" outlineLevel="0" collapsed="false">
      <c r="E508" s="33"/>
      <c r="F508" s="33"/>
    </row>
    <row r="509" customFormat="false" ht="15" hidden="false" customHeight="false" outlineLevel="0" collapsed="false">
      <c r="E509" s="33"/>
      <c r="F509" s="33"/>
    </row>
    <row r="510" customFormat="false" ht="15" hidden="false" customHeight="false" outlineLevel="0" collapsed="false">
      <c r="E510" s="33"/>
      <c r="F510" s="33"/>
    </row>
    <row r="511" customFormat="false" ht="15" hidden="false" customHeight="false" outlineLevel="0" collapsed="false">
      <c r="E511" s="33"/>
      <c r="F511" s="33"/>
    </row>
    <row r="512" customFormat="false" ht="15" hidden="false" customHeight="false" outlineLevel="0" collapsed="false">
      <c r="E512" s="33"/>
      <c r="F512" s="33"/>
    </row>
    <row r="513" customFormat="false" ht="15" hidden="false" customHeight="false" outlineLevel="0" collapsed="false">
      <c r="E513" s="33"/>
      <c r="F513" s="33"/>
    </row>
    <row r="514" customFormat="false" ht="15" hidden="false" customHeight="false" outlineLevel="0" collapsed="false">
      <c r="E514" s="33"/>
      <c r="F514" s="33"/>
    </row>
    <row r="515" customFormat="false" ht="15" hidden="false" customHeight="false" outlineLevel="0" collapsed="false">
      <c r="E515" s="33"/>
      <c r="F515" s="33"/>
    </row>
    <row r="516" customFormat="false" ht="15" hidden="false" customHeight="false" outlineLevel="0" collapsed="false">
      <c r="E516" s="33"/>
      <c r="F516" s="33"/>
    </row>
    <row r="517" customFormat="false" ht="15" hidden="false" customHeight="false" outlineLevel="0" collapsed="false">
      <c r="E517" s="33"/>
      <c r="F517" s="33"/>
    </row>
    <row r="518" customFormat="false" ht="15" hidden="false" customHeight="false" outlineLevel="0" collapsed="false">
      <c r="E518" s="33"/>
      <c r="F518" s="33"/>
    </row>
    <row r="519" customFormat="false" ht="15" hidden="false" customHeight="false" outlineLevel="0" collapsed="false">
      <c r="E519" s="33"/>
      <c r="F519" s="33"/>
    </row>
    <row r="520" customFormat="false" ht="15" hidden="false" customHeight="false" outlineLevel="0" collapsed="false">
      <c r="E520" s="33"/>
      <c r="F520" s="33"/>
    </row>
    <row r="521" customFormat="false" ht="15" hidden="false" customHeight="false" outlineLevel="0" collapsed="false">
      <c r="E521" s="33"/>
      <c r="F521" s="33"/>
    </row>
    <row r="522" customFormat="false" ht="15" hidden="false" customHeight="false" outlineLevel="0" collapsed="false">
      <c r="E522" s="33"/>
      <c r="F522" s="33"/>
    </row>
    <row r="523" customFormat="false" ht="15" hidden="false" customHeight="false" outlineLevel="0" collapsed="false">
      <c r="E523" s="33"/>
      <c r="F523" s="33"/>
    </row>
    <row r="524" customFormat="false" ht="15" hidden="false" customHeight="false" outlineLevel="0" collapsed="false">
      <c r="E524" s="33"/>
      <c r="F524" s="33"/>
    </row>
    <row r="525" customFormat="false" ht="15" hidden="false" customHeight="false" outlineLevel="0" collapsed="false">
      <c r="E525" s="33"/>
      <c r="F525" s="33"/>
    </row>
    <row r="526" customFormat="false" ht="15" hidden="false" customHeight="false" outlineLevel="0" collapsed="false">
      <c r="E526" s="33"/>
      <c r="F526" s="33"/>
    </row>
    <row r="527" customFormat="false" ht="15" hidden="false" customHeight="false" outlineLevel="0" collapsed="false">
      <c r="E527" s="33"/>
      <c r="F527" s="33"/>
    </row>
    <row r="528" customFormat="false" ht="15" hidden="false" customHeight="false" outlineLevel="0" collapsed="false">
      <c r="E528" s="33"/>
      <c r="F528" s="33"/>
    </row>
    <row r="529" customFormat="false" ht="15" hidden="false" customHeight="false" outlineLevel="0" collapsed="false">
      <c r="E529" s="33"/>
      <c r="F529" s="33"/>
    </row>
    <row r="530" customFormat="false" ht="15" hidden="false" customHeight="false" outlineLevel="0" collapsed="false">
      <c r="E530" s="33"/>
      <c r="F530" s="33"/>
    </row>
    <row r="531" customFormat="false" ht="15" hidden="false" customHeight="false" outlineLevel="0" collapsed="false">
      <c r="E531" s="33"/>
      <c r="F531" s="33"/>
    </row>
    <row r="532" customFormat="false" ht="15" hidden="false" customHeight="false" outlineLevel="0" collapsed="false">
      <c r="E532" s="33"/>
      <c r="F532" s="33"/>
    </row>
    <row r="533" customFormat="false" ht="15" hidden="false" customHeight="false" outlineLevel="0" collapsed="false">
      <c r="E533" s="33"/>
      <c r="F533" s="33"/>
    </row>
    <row r="534" customFormat="false" ht="15" hidden="false" customHeight="false" outlineLevel="0" collapsed="false">
      <c r="E534" s="33"/>
      <c r="F534" s="33"/>
    </row>
    <row r="535" customFormat="false" ht="15" hidden="false" customHeight="false" outlineLevel="0" collapsed="false">
      <c r="E535" s="33"/>
      <c r="F535" s="33"/>
    </row>
    <row r="536" customFormat="false" ht="15" hidden="false" customHeight="false" outlineLevel="0" collapsed="false">
      <c r="E536" s="33"/>
      <c r="F536" s="33"/>
    </row>
    <row r="537" customFormat="false" ht="15" hidden="false" customHeight="false" outlineLevel="0" collapsed="false">
      <c r="E537" s="33"/>
      <c r="F537" s="33"/>
    </row>
    <row r="538" customFormat="false" ht="15" hidden="false" customHeight="false" outlineLevel="0" collapsed="false">
      <c r="E538" s="33"/>
      <c r="F538" s="33"/>
    </row>
    <row r="539" customFormat="false" ht="15" hidden="false" customHeight="false" outlineLevel="0" collapsed="false">
      <c r="E539" s="33"/>
      <c r="F539" s="33"/>
    </row>
    <row r="540" customFormat="false" ht="15" hidden="false" customHeight="false" outlineLevel="0" collapsed="false">
      <c r="E540" s="33"/>
      <c r="F540" s="33"/>
    </row>
    <row r="541" customFormat="false" ht="15" hidden="false" customHeight="false" outlineLevel="0" collapsed="false">
      <c r="E541" s="33"/>
      <c r="F541" s="33"/>
    </row>
    <row r="542" customFormat="false" ht="15" hidden="false" customHeight="false" outlineLevel="0" collapsed="false">
      <c r="E542" s="33"/>
      <c r="F542" s="33"/>
    </row>
    <row r="543" customFormat="false" ht="15" hidden="false" customHeight="false" outlineLevel="0" collapsed="false">
      <c r="E543" s="33"/>
      <c r="F543" s="33"/>
    </row>
    <row r="544" customFormat="false" ht="15" hidden="false" customHeight="false" outlineLevel="0" collapsed="false">
      <c r="E544" s="33"/>
      <c r="F544" s="33"/>
    </row>
    <row r="545" customFormat="false" ht="15" hidden="false" customHeight="false" outlineLevel="0" collapsed="false">
      <c r="E545" s="33"/>
      <c r="F545" s="33"/>
    </row>
    <row r="546" customFormat="false" ht="15" hidden="false" customHeight="false" outlineLevel="0" collapsed="false">
      <c r="E546" s="33"/>
      <c r="F546" s="33"/>
    </row>
    <row r="547" customFormat="false" ht="15" hidden="false" customHeight="false" outlineLevel="0" collapsed="false">
      <c r="E547" s="33"/>
      <c r="F547" s="33"/>
    </row>
    <row r="548" customFormat="false" ht="15" hidden="false" customHeight="false" outlineLevel="0" collapsed="false">
      <c r="E548" s="33"/>
      <c r="F548" s="33"/>
    </row>
    <row r="549" customFormat="false" ht="15" hidden="false" customHeight="false" outlineLevel="0" collapsed="false">
      <c r="E549" s="33"/>
      <c r="F549" s="33"/>
    </row>
    <row r="550" customFormat="false" ht="15" hidden="false" customHeight="false" outlineLevel="0" collapsed="false">
      <c r="E550" s="33"/>
      <c r="F550" s="33"/>
    </row>
    <row r="551" customFormat="false" ht="15" hidden="false" customHeight="false" outlineLevel="0" collapsed="false">
      <c r="E551" s="33"/>
      <c r="F551" s="33"/>
    </row>
    <row r="552" customFormat="false" ht="15" hidden="false" customHeight="false" outlineLevel="0" collapsed="false">
      <c r="E552" s="33"/>
      <c r="F552" s="33"/>
    </row>
    <row r="553" customFormat="false" ht="15" hidden="false" customHeight="false" outlineLevel="0" collapsed="false">
      <c r="E553" s="33"/>
      <c r="F553" s="33"/>
    </row>
    <row r="554" customFormat="false" ht="15" hidden="false" customHeight="false" outlineLevel="0" collapsed="false">
      <c r="E554" s="33"/>
      <c r="F554" s="33"/>
    </row>
    <row r="555" customFormat="false" ht="15" hidden="false" customHeight="false" outlineLevel="0" collapsed="false">
      <c r="E555" s="33"/>
      <c r="F555" s="33"/>
    </row>
    <row r="556" customFormat="false" ht="15" hidden="false" customHeight="false" outlineLevel="0" collapsed="false">
      <c r="E556" s="33"/>
      <c r="F556" s="33"/>
    </row>
    <row r="557" customFormat="false" ht="15" hidden="false" customHeight="false" outlineLevel="0" collapsed="false">
      <c r="E557" s="33"/>
      <c r="F557" s="33"/>
    </row>
    <row r="558" customFormat="false" ht="15" hidden="false" customHeight="false" outlineLevel="0" collapsed="false">
      <c r="E558" s="33"/>
      <c r="F558" s="33"/>
    </row>
    <row r="559" customFormat="false" ht="15" hidden="false" customHeight="false" outlineLevel="0" collapsed="false">
      <c r="E559" s="33"/>
      <c r="F559" s="33"/>
    </row>
    <row r="560" customFormat="false" ht="15" hidden="false" customHeight="false" outlineLevel="0" collapsed="false">
      <c r="E560" s="33"/>
      <c r="F560" s="33"/>
    </row>
    <row r="561" customFormat="false" ht="15" hidden="false" customHeight="false" outlineLevel="0" collapsed="false">
      <c r="E561" s="33"/>
      <c r="F561" s="33"/>
    </row>
    <row r="562" customFormat="false" ht="15" hidden="false" customHeight="false" outlineLevel="0" collapsed="false">
      <c r="E562" s="33"/>
      <c r="F562" s="33"/>
    </row>
    <row r="563" customFormat="false" ht="15" hidden="false" customHeight="false" outlineLevel="0" collapsed="false">
      <c r="E563" s="33"/>
      <c r="F563" s="33"/>
    </row>
    <row r="564" customFormat="false" ht="15" hidden="false" customHeight="false" outlineLevel="0" collapsed="false">
      <c r="E564" s="33"/>
      <c r="F564" s="33"/>
    </row>
    <row r="565" customFormat="false" ht="15" hidden="false" customHeight="false" outlineLevel="0" collapsed="false">
      <c r="E565" s="33"/>
      <c r="F565" s="33"/>
    </row>
    <row r="566" customFormat="false" ht="15" hidden="false" customHeight="false" outlineLevel="0" collapsed="false">
      <c r="E566" s="33"/>
      <c r="F566" s="33"/>
    </row>
    <row r="567" customFormat="false" ht="15" hidden="false" customHeight="false" outlineLevel="0" collapsed="false">
      <c r="E567" s="33"/>
      <c r="F567" s="33"/>
    </row>
    <row r="568" customFormat="false" ht="15" hidden="false" customHeight="false" outlineLevel="0" collapsed="false">
      <c r="E568" s="33"/>
      <c r="F568" s="33"/>
    </row>
    <row r="569" customFormat="false" ht="15" hidden="false" customHeight="false" outlineLevel="0" collapsed="false">
      <c r="E569" s="33"/>
      <c r="F569" s="33"/>
    </row>
    <row r="570" customFormat="false" ht="15" hidden="false" customHeight="false" outlineLevel="0" collapsed="false">
      <c r="E570" s="33"/>
      <c r="F570" s="33"/>
    </row>
    <row r="571" customFormat="false" ht="15" hidden="false" customHeight="false" outlineLevel="0" collapsed="false">
      <c r="E571" s="33"/>
      <c r="F571" s="33"/>
    </row>
    <row r="572" customFormat="false" ht="15" hidden="false" customHeight="false" outlineLevel="0" collapsed="false">
      <c r="E572" s="33"/>
      <c r="F572" s="33"/>
    </row>
    <row r="573" customFormat="false" ht="15" hidden="false" customHeight="false" outlineLevel="0" collapsed="false">
      <c r="E573" s="33"/>
      <c r="F573" s="33"/>
    </row>
    <row r="574" customFormat="false" ht="15" hidden="false" customHeight="false" outlineLevel="0" collapsed="false">
      <c r="E574" s="33"/>
      <c r="F574" s="33"/>
    </row>
    <row r="575" customFormat="false" ht="15" hidden="false" customHeight="false" outlineLevel="0" collapsed="false">
      <c r="E575" s="33"/>
      <c r="F575" s="33"/>
    </row>
    <row r="576" customFormat="false" ht="15" hidden="false" customHeight="false" outlineLevel="0" collapsed="false">
      <c r="E576" s="33"/>
      <c r="F576" s="33"/>
    </row>
    <row r="577" customFormat="false" ht="15" hidden="false" customHeight="false" outlineLevel="0" collapsed="false">
      <c r="E577" s="33"/>
      <c r="F577" s="33"/>
    </row>
    <row r="578" customFormat="false" ht="15" hidden="false" customHeight="false" outlineLevel="0" collapsed="false">
      <c r="E578" s="33"/>
      <c r="F578" s="33"/>
    </row>
    <row r="579" customFormat="false" ht="15" hidden="false" customHeight="false" outlineLevel="0" collapsed="false">
      <c r="E579" s="33"/>
      <c r="F579" s="33"/>
    </row>
    <row r="580" customFormat="false" ht="15" hidden="false" customHeight="false" outlineLevel="0" collapsed="false">
      <c r="E580" s="33"/>
      <c r="F580" s="33"/>
    </row>
    <row r="581" customFormat="false" ht="15" hidden="false" customHeight="false" outlineLevel="0" collapsed="false">
      <c r="E581" s="33"/>
      <c r="F581" s="33"/>
    </row>
    <row r="582" customFormat="false" ht="15" hidden="false" customHeight="false" outlineLevel="0" collapsed="false">
      <c r="E582" s="33"/>
      <c r="F582" s="33"/>
    </row>
    <row r="583" customFormat="false" ht="15" hidden="false" customHeight="false" outlineLevel="0" collapsed="false">
      <c r="E583" s="33"/>
      <c r="F583" s="33"/>
    </row>
    <row r="584" customFormat="false" ht="15" hidden="false" customHeight="false" outlineLevel="0" collapsed="false">
      <c r="E584" s="33"/>
      <c r="F584" s="33"/>
    </row>
    <row r="585" customFormat="false" ht="15" hidden="false" customHeight="false" outlineLevel="0" collapsed="false">
      <c r="E585" s="33"/>
      <c r="F585" s="33"/>
    </row>
    <row r="586" customFormat="false" ht="15" hidden="false" customHeight="false" outlineLevel="0" collapsed="false">
      <c r="E586" s="33"/>
      <c r="F586" s="33"/>
    </row>
    <row r="587" customFormat="false" ht="15" hidden="false" customHeight="false" outlineLevel="0" collapsed="false">
      <c r="E587" s="33"/>
      <c r="F587" s="33"/>
    </row>
    <row r="588" customFormat="false" ht="15" hidden="false" customHeight="false" outlineLevel="0" collapsed="false">
      <c r="E588" s="33"/>
      <c r="F588" s="33"/>
    </row>
    <row r="589" customFormat="false" ht="15" hidden="false" customHeight="false" outlineLevel="0" collapsed="false">
      <c r="E589" s="33"/>
      <c r="F589" s="33"/>
    </row>
    <row r="590" customFormat="false" ht="15" hidden="false" customHeight="false" outlineLevel="0" collapsed="false">
      <c r="E590" s="33"/>
      <c r="F590" s="33"/>
    </row>
    <row r="591" customFormat="false" ht="15" hidden="false" customHeight="false" outlineLevel="0" collapsed="false">
      <c r="E591" s="33"/>
      <c r="F591" s="33"/>
    </row>
    <row r="592" customFormat="false" ht="15" hidden="false" customHeight="false" outlineLevel="0" collapsed="false">
      <c r="E592" s="33"/>
      <c r="F592" s="33"/>
    </row>
    <row r="593" customFormat="false" ht="15" hidden="false" customHeight="false" outlineLevel="0" collapsed="false">
      <c r="E593" s="33"/>
      <c r="F593" s="33"/>
    </row>
    <row r="594" customFormat="false" ht="15" hidden="false" customHeight="false" outlineLevel="0" collapsed="false">
      <c r="E594" s="33"/>
      <c r="F594" s="33"/>
    </row>
    <row r="595" customFormat="false" ht="15" hidden="false" customHeight="false" outlineLevel="0" collapsed="false">
      <c r="E595" s="33"/>
      <c r="F595" s="33"/>
    </row>
    <row r="596" customFormat="false" ht="15" hidden="false" customHeight="false" outlineLevel="0" collapsed="false">
      <c r="E596" s="33"/>
      <c r="F596" s="33"/>
    </row>
    <row r="597" customFormat="false" ht="15" hidden="false" customHeight="false" outlineLevel="0" collapsed="false">
      <c r="E597" s="33"/>
      <c r="F597" s="33"/>
    </row>
    <row r="598" customFormat="false" ht="15" hidden="false" customHeight="false" outlineLevel="0" collapsed="false">
      <c r="E598" s="33"/>
      <c r="F598" s="33"/>
    </row>
    <row r="599" customFormat="false" ht="15" hidden="false" customHeight="false" outlineLevel="0" collapsed="false">
      <c r="E599" s="33"/>
      <c r="F599" s="33"/>
    </row>
    <row r="600" customFormat="false" ht="15" hidden="false" customHeight="false" outlineLevel="0" collapsed="false">
      <c r="E600" s="33"/>
      <c r="F600" s="33"/>
    </row>
    <row r="601" customFormat="false" ht="15" hidden="false" customHeight="false" outlineLevel="0" collapsed="false">
      <c r="E601" s="33"/>
      <c r="F601" s="33"/>
    </row>
    <row r="602" customFormat="false" ht="15" hidden="false" customHeight="false" outlineLevel="0" collapsed="false">
      <c r="E602" s="33"/>
      <c r="F602" s="33"/>
    </row>
    <row r="603" customFormat="false" ht="15" hidden="false" customHeight="false" outlineLevel="0" collapsed="false">
      <c r="E603" s="33"/>
      <c r="F603" s="33"/>
    </row>
    <row r="604" customFormat="false" ht="15" hidden="false" customHeight="false" outlineLevel="0" collapsed="false">
      <c r="E604" s="33"/>
      <c r="F604" s="33"/>
    </row>
    <row r="605" customFormat="false" ht="15" hidden="false" customHeight="false" outlineLevel="0" collapsed="false">
      <c r="E605" s="33"/>
      <c r="F605" s="33"/>
    </row>
    <row r="606" customFormat="false" ht="15" hidden="false" customHeight="false" outlineLevel="0" collapsed="false">
      <c r="E606" s="33"/>
      <c r="F606" s="33"/>
    </row>
    <row r="607" customFormat="false" ht="15" hidden="false" customHeight="false" outlineLevel="0" collapsed="false">
      <c r="E607" s="33"/>
      <c r="F607" s="33"/>
    </row>
    <row r="608" customFormat="false" ht="15" hidden="false" customHeight="false" outlineLevel="0" collapsed="false">
      <c r="E608" s="33"/>
      <c r="F608" s="33"/>
    </row>
    <row r="609" customFormat="false" ht="15" hidden="false" customHeight="false" outlineLevel="0" collapsed="false">
      <c r="E609" s="33"/>
      <c r="F609" s="33"/>
    </row>
    <row r="610" customFormat="false" ht="15" hidden="false" customHeight="false" outlineLevel="0" collapsed="false">
      <c r="E610" s="33"/>
      <c r="F610" s="33"/>
    </row>
    <row r="611" customFormat="false" ht="15" hidden="false" customHeight="false" outlineLevel="0" collapsed="false">
      <c r="E611" s="33"/>
      <c r="F611" s="33"/>
    </row>
    <row r="612" customFormat="false" ht="15" hidden="false" customHeight="false" outlineLevel="0" collapsed="false">
      <c r="E612" s="33"/>
      <c r="F612" s="33"/>
    </row>
    <row r="613" customFormat="false" ht="15" hidden="false" customHeight="false" outlineLevel="0" collapsed="false">
      <c r="E613" s="33"/>
      <c r="F613" s="33"/>
    </row>
    <row r="614" customFormat="false" ht="15" hidden="false" customHeight="false" outlineLevel="0" collapsed="false">
      <c r="E614" s="33"/>
      <c r="F614" s="33"/>
    </row>
    <row r="615" customFormat="false" ht="15" hidden="false" customHeight="false" outlineLevel="0" collapsed="false">
      <c r="E615" s="33"/>
      <c r="F615" s="33"/>
    </row>
    <row r="616" customFormat="false" ht="15" hidden="false" customHeight="false" outlineLevel="0" collapsed="false">
      <c r="E616" s="33"/>
      <c r="F616" s="33"/>
    </row>
    <row r="617" customFormat="false" ht="15" hidden="false" customHeight="false" outlineLevel="0" collapsed="false">
      <c r="E617" s="33"/>
      <c r="F617" s="33"/>
    </row>
    <row r="618" customFormat="false" ht="15" hidden="false" customHeight="false" outlineLevel="0" collapsed="false">
      <c r="E618" s="33"/>
      <c r="F618" s="33"/>
    </row>
    <row r="619" customFormat="false" ht="15" hidden="false" customHeight="false" outlineLevel="0" collapsed="false">
      <c r="E619" s="33"/>
      <c r="F619" s="33"/>
    </row>
    <row r="620" customFormat="false" ht="15" hidden="false" customHeight="false" outlineLevel="0" collapsed="false">
      <c r="E620" s="33"/>
      <c r="F620" s="33"/>
    </row>
    <row r="621" customFormat="false" ht="15" hidden="false" customHeight="false" outlineLevel="0" collapsed="false">
      <c r="E621" s="33"/>
      <c r="F621" s="33"/>
    </row>
    <row r="622" customFormat="false" ht="15" hidden="false" customHeight="false" outlineLevel="0" collapsed="false">
      <c r="E622" s="33"/>
      <c r="F622" s="33"/>
    </row>
    <row r="623" customFormat="false" ht="15" hidden="false" customHeight="false" outlineLevel="0" collapsed="false">
      <c r="E623" s="33"/>
      <c r="F623" s="33"/>
    </row>
    <row r="624" customFormat="false" ht="15" hidden="false" customHeight="false" outlineLevel="0" collapsed="false">
      <c r="E624" s="33"/>
      <c r="F624" s="33"/>
    </row>
    <row r="625" customFormat="false" ht="15" hidden="false" customHeight="false" outlineLevel="0" collapsed="false">
      <c r="E625" s="33"/>
      <c r="F625" s="33"/>
    </row>
    <row r="626" customFormat="false" ht="15" hidden="false" customHeight="false" outlineLevel="0" collapsed="false">
      <c r="E626" s="33"/>
      <c r="F626" s="33"/>
    </row>
    <row r="627" customFormat="false" ht="15" hidden="false" customHeight="false" outlineLevel="0" collapsed="false">
      <c r="E627" s="33"/>
      <c r="F627" s="33"/>
    </row>
    <row r="628" customFormat="false" ht="15" hidden="false" customHeight="false" outlineLevel="0" collapsed="false">
      <c r="E628" s="33"/>
      <c r="F628" s="33"/>
    </row>
    <row r="629" customFormat="false" ht="15" hidden="false" customHeight="false" outlineLevel="0" collapsed="false">
      <c r="E629" s="33"/>
      <c r="F629" s="33"/>
    </row>
    <row r="630" customFormat="false" ht="15" hidden="false" customHeight="false" outlineLevel="0" collapsed="false">
      <c r="E630" s="33"/>
      <c r="F630" s="33"/>
    </row>
    <row r="631" customFormat="false" ht="15" hidden="false" customHeight="false" outlineLevel="0" collapsed="false">
      <c r="E631" s="33"/>
      <c r="F631" s="33"/>
    </row>
    <row r="632" customFormat="false" ht="15" hidden="false" customHeight="false" outlineLevel="0" collapsed="false">
      <c r="E632" s="33"/>
      <c r="F632" s="33"/>
    </row>
    <row r="633" customFormat="false" ht="15" hidden="false" customHeight="false" outlineLevel="0" collapsed="false">
      <c r="E633" s="33"/>
      <c r="F633" s="33"/>
    </row>
    <row r="634" customFormat="false" ht="15" hidden="false" customHeight="false" outlineLevel="0" collapsed="false">
      <c r="E634" s="33"/>
      <c r="F634" s="33"/>
    </row>
    <row r="635" customFormat="false" ht="15" hidden="false" customHeight="false" outlineLevel="0" collapsed="false">
      <c r="E635" s="33"/>
      <c r="F635" s="33"/>
    </row>
    <row r="636" customFormat="false" ht="15" hidden="false" customHeight="false" outlineLevel="0" collapsed="false">
      <c r="E636" s="33"/>
      <c r="F636" s="33"/>
    </row>
    <row r="637" customFormat="false" ht="15" hidden="false" customHeight="false" outlineLevel="0" collapsed="false">
      <c r="E637" s="33"/>
      <c r="F637" s="33"/>
    </row>
    <row r="638" customFormat="false" ht="15" hidden="false" customHeight="false" outlineLevel="0" collapsed="false">
      <c r="E638" s="33"/>
      <c r="F638" s="33"/>
    </row>
    <row r="639" customFormat="false" ht="15" hidden="false" customHeight="false" outlineLevel="0" collapsed="false">
      <c r="E639" s="33"/>
      <c r="F639" s="33"/>
    </row>
    <row r="640" customFormat="false" ht="15" hidden="false" customHeight="false" outlineLevel="0" collapsed="false">
      <c r="E640" s="33"/>
      <c r="F640" s="33"/>
    </row>
    <row r="641" customFormat="false" ht="15" hidden="false" customHeight="false" outlineLevel="0" collapsed="false">
      <c r="E641" s="33"/>
      <c r="F641" s="33"/>
    </row>
    <row r="642" customFormat="false" ht="15" hidden="false" customHeight="false" outlineLevel="0" collapsed="false">
      <c r="E642" s="33"/>
      <c r="F642" s="33"/>
    </row>
    <row r="643" customFormat="false" ht="15" hidden="false" customHeight="false" outlineLevel="0" collapsed="false">
      <c r="E643" s="33"/>
      <c r="F643" s="33"/>
    </row>
    <row r="644" customFormat="false" ht="15" hidden="false" customHeight="false" outlineLevel="0" collapsed="false">
      <c r="E644" s="33"/>
      <c r="F644" s="33"/>
    </row>
    <row r="645" customFormat="false" ht="15" hidden="false" customHeight="false" outlineLevel="0" collapsed="false">
      <c r="E645" s="33"/>
      <c r="F645" s="33"/>
    </row>
    <row r="646" customFormat="false" ht="15" hidden="false" customHeight="false" outlineLevel="0" collapsed="false">
      <c r="E646" s="33"/>
      <c r="F646" s="33"/>
    </row>
    <row r="647" customFormat="false" ht="15" hidden="false" customHeight="false" outlineLevel="0" collapsed="false">
      <c r="E647" s="33"/>
      <c r="F647" s="33"/>
    </row>
    <row r="648" customFormat="false" ht="15" hidden="false" customHeight="false" outlineLevel="0" collapsed="false">
      <c r="E648" s="33"/>
      <c r="F648" s="33"/>
    </row>
    <row r="649" customFormat="false" ht="15" hidden="false" customHeight="false" outlineLevel="0" collapsed="false">
      <c r="E649" s="33"/>
      <c r="F649" s="33"/>
    </row>
    <row r="650" customFormat="false" ht="15" hidden="false" customHeight="false" outlineLevel="0" collapsed="false">
      <c r="E650" s="33"/>
      <c r="F650" s="33"/>
    </row>
    <row r="651" customFormat="false" ht="15" hidden="false" customHeight="false" outlineLevel="0" collapsed="false">
      <c r="E651" s="33"/>
      <c r="F651" s="33"/>
    </row>
    <row r="652" customFormat="false" ht="15" hidden="false" customHeight="false" outlineLevel="0" collapsed="false">
      <c r="E652" s="33"/>
      <c r="F652" s="33"/>
    </row>
    <row r="653" customFormat="false" ht="15" hidden="false" customHeight="false" outlineLevel="0" collapsed="false">
      <c r="E653" s="33"/>
      <c r="F653" s="33"/>
    </row>
    <row r="654" customFormat="false" ht="15" hidden="false" customHeight="false" outlineLevel="0" collapsed="false">
      <c r="E654" s="33"/>
      <c r="F654" s="33"/>
    </row>
    <row r="655" customFormat="false" ht="15" hidden="false" customHeight="false" outlineLevel="0" collapsed="false">
      <c r="E655" s="33"/>
      <c r="F655" s="33"/>
    </row>
    <row r="656" customFormat="false" ht="15" hidden="false" customHeight="false" outlineLevel="0" collapsed="false">
      <c r="E656" s="33"/>
      <c r="F656" s="33"/>
    </row>
    <row r="657" customFormat="false" ht="15" hidden="false" customHeight="false" outlineLevel="0" collapsed="false">
      <c r="E657" s="33"/>
      <c r="F657" s="33"/>
    </row>
    <row r="658" customFormat="false" ht="15" hidden="false" customHeight="false" outlineLevel="0" collapsed="false">
      <c r="E658" s="33"/>
      <c r="F658" s="33"/>
    </row>
    <row r="659" customFormat="false" ht="15" hidden="false" customHeight="false" outlineLevel="0" collapsed="false">
      <c r="E659" s="33"/>
      <c r="F659" s="33"/>
    </row>
    <row r="660" customFormat="false" ht="15" hidden="false" customHeight="false" outlineLevel="0" collapsed="false">
      <c r="E660" s="33"/>
      <c r="F660" s="33"/>
    </row>
    <row r="661" customFormat="false" ht="15" hidden="false" customHeight="false" outlineLevel="0" collapsed="false">
      <c r="E661" s="33"/>
      <c r="F661" s="33"/>
    </row>
    <row r="662" customFormat="false" ht="15" hidden="false" customHeight="false" outlineLevel="0" collapsed="false">
      <c r="E662" s="33"/>
      <c r="F662" s="33"/>
    </row>
    <row r="663" customFormat="false" ht="15" hidden="false" customHeight="false" outlineLevel="0" collapsed="false">
      <c r="E663" s="33"/>
      <c r="F663" s="33"/>
    </row>
    <row r="664" customFormat="false" ht="15" hidden="false" customHeight="false" outlineLevel="0" collapsed="false">
      <c r="E664" s="33"/>
      <c r="F664" s="33"/>
    </row>
    <row r="665" customFormat="false" ht="15" hidden="false" customHeight="false" outlineLevel="0" collapsed="false">
      <c r="E665" s="33"/>
      <c r="F665" s="33"/>
    </row>
    <row r="666" customFormat="false" ht="15" hidden="false" customHeight="false" outlineLevel="0" collapsed="false">
      <c r="E666" s="33"/>
      <c r="F666" s="33"/>
    </row>
    <row r="667" customFormat="false" ht="15" hidden="false" customHeight="false" outlineLevel="0" collapsed="false">
      <c r="E667" s="33"/>
      <c r="F667" s="33"/>
    </row>
    <row r="668" customFormat="false" ht="15" hidden="false" customHeight="false" outlineLevel="0" collapsed="false">
      <c r="E668" s="33"/>
      <c r="F668" s="33"/>
    </row>
    <row r="669" customFormat="false" ht="15" hidden="false" customHeight="false" outlineLevel="0" collapsed="false">
      <c r="E669" s="33"/>
      <c r="F669" s="33"/>
    </row>
    <row r="670" customFormat="false" ht="15" hidden="false" customHeight="false" outlineLevel="0" collapsed="false">
      <c r="E670" s="33"/>
      <c r="F670" s="33"/>
    </row>
    <row r="671" customFormat="false" ht="15" hidden="false" customHeight="false" outlineLevel="0" collapsed="false">
      <c r="E671" s="33"/>
      <c r="F671" s="33"/>
    </row>
    <row r="672" customFormat="false" ht="15" hidden="false" customHeight="false" outlineLevel="0" collapsed="false">
      <c r="E672" s="33"/>
      <c r="F672" s="33"/>
    </row>
    <row r="673" customFormat="false" ht="15" hidden="false" customHeight="false" outlineLevel="0" collapsed="false">
      <c r="E673" s="33"/>
      <c r="F673" s="33"/>
    </row>
    <row r="674" customFormat="false" ht="15" hidden="false" customHeight="false" outlineLevel="0" collapsed="false">
      <c r="E674" s="33"/>
      <c r="F674" s="33"/>
    </row>
    <row r="675" customFormat="false" ht="15" hidden="false" customHeight="false" outlineLevel="0" collapsed="false">
      <c r="E675" s="33"/>
      <c r="F675" s="33"/>
    </row>
    <row r="676" customFormat="false" ht="15" hidden="false" customHeight="false" outlineLevel="0" collapsed="false">
      <c r="E676" s="33"/>
      <c r="F676" s="33"/>
    </row>
    <row r="677" customFormat="false" ht="15" hidden="false" customHeight="false" outlineLevel="0" collapsed="false">
      <c r="E677" s="33"/>
      <c r="F677" s="33"/>
    </row>
    <row r="678" customFormat="false" ht="15" hidden="false" customHeight="false" outlineLevel="0" collapsed="false">
      <c r="E678" s="33"/>
      <c r="F678" s="33"/>
    </row>
    <row r="679" customFormat="false" ht="15" hidden="false" customHeight="false" outlineLevel="0" collapsed="false">
      <c r="E679" s="33"/>
      <c r="F679" s="33"/>
    </row>
    <row r="680" customFormat="false" ht="15" hidden="false" customHeight="false" outlineLevel="0" collapsed="false">
      <c r="E680" s="33"/>
      <c r="F680" s="33"/>
    </row>
    <row r="681" customFormat="false" ht="15" hidden="false" customHeight="false" outlineLevel="0" collapsed="false">
      <c r="E681" s="33"/>
      <c r="F681" s="33"/>
    </row>
    <row r="682" customFormat="false" ht="15" hidden="false" customHeight="false" outlineLevel="0" collapsed="false">
      <c r="E682" s="33"/>
      <c r="F682" s="33"/>
    </row>
    <row r="683" customFormat="false" ht="15" hidden="false" customHeight="false" outlineLevel="0" collapsed="false">
      <c r="E683" s="33"/>
      <c r="F683" s="33"/>
    </row>
    <row r="684" customFormat="false" ht="15" hidden="false" customHeight="false" outlineLevel="0" collapsed="false">
      <c r="E684" s="33"/>
      <c r="F684" s="33"/>
    </row>
    <row r="685" customFormat="false" ht="15" hidden="false" customHeight="false" outlineLevel="0" collapsed="false">
      <c r="E685" s="33"/>
      <c r="F685" s="33"/>
    </row>
    <row r="686" customFormat="false" ht="15" hidden="false" customHeight="false" outlineLevel="0" collapsed="false">
      <c r="E686" s="33"/>
      <c r="F686" s="33"/>
    </row>
    <row r="687" customFormat="false" ht="15" hidden="false" customHeight="false" outlineLevel="0" collapsed="false">
      <c r="E687" s="33"/>
      <c r="F687" s="33"/>
    </row>
    <row r="688" customFormat="false" ht="15" hidden="false" customHeight="false" outlineLevel="0" collapsed="false">
      <c r="E688" s="33"/>
      <c r="F688" s="33"/>
    </row>
    <row r="689" customFormat="false" ht="15" hidden="false" customHeight="false" outlineLevel="0" collapsed="false">
      <c r="E689" s="33"/>
      <c r="F689" s="33"/>
    </row>
    <row r="690" customFormat="false" ht="15" hidden="false" customHeight="false" outlineLevel="0" collapsed="false">
      <c r="E690" s="33"/>
      <c r="F690" s="33"/>
    </row>
    <row r="691" customFormat="false" ht="15" hidden="false" customHeight="false" outlineLevel="0" collapsed="false">
      <c r="E691" s="33"/>
      <c r="F691" s="33"/>
    </row>
    <row r="692" customFormat="false" ht="15" hidden="false" customHeight="false" outlineLevel="0" collapsed="false">
      <c r="E692" s="33"/>
      <c r="F692" s="33"/>
    </row>
    <row r="693" customFormat="false" ht="15" hidden="false" customHeight="false" outlineLevel="0" collapsed="false">
      <c r="E693" s="33"/>
      <c r="F693" s="33"/>
    </row>
    <row r="694" customFormat="false" ht="15" hidden="false" customHeight="false" outlineLevel="0" collapsed="false">
      <c r="E694" s="33"/>
      <c r="F694" s="33"/>
    </row>
    <row r="695" customFormat="false" ht="15" hidden="false" customHeight="false" outlineLevel="0" collapsed="false">
      <c r="E695" s="33"/>
      <c r="F695" s="33"/>
    </row>
    <row r="696" customFormat="false" ht="15" hidden="false" customHeight="false" outlineLevel="0" collapsed="false">
      <c r="E696" s="33"/>
      <c r="F696" s="33"/>
    </row>
    <row r="697" customFormat="false" ht="15" hidden="false" customHeight="false" outlineLevel="0" collapsed="false">
      <c r="E697" s="33"/>
      <c r="F697" s="33"/>
    </row>
    <row r="698" customFormat="false" ht="15" hidden="false" customHeight="false" outlineLevel="0" collapsed="false">
      <c r="E698" s="33"/>
      <c r="F698" s="33"/>
    </row>
    <row r="699" customFormat="false" ht="15" hidden="false" customHeight="false" outlineLevel="0" collapsed="false">
      <c r="E699" s="33"/>
      <c r="F699" s="33"/>
    </row>
    <row r="700" customFormat="false" ht="15" hidden="false" customHeight="false" outlineLevel="0" collapsed="false">
      <c r="E700" s="33"/>
      <c r="F700" s="33"/>
    </row>
    <row r="701" customFormat="false" ht="15" hidden="false" customHeight="false" outlineLevel="0" collapsed="false">
      <c r="E701" s="33"/>
      <c r="F701" s="33"/>
    </row>
    <row r="702" customFormat="false" ht="15" hidden="false" customHeight="false" outlineLevel="0" collapsed="false">
      <c r="E702" s="33"/>
      <c r="F702" s="33"/>
    </row>
    <row r="703" customFormat="false" ht="15" hidden="false" customHeight="false" outlineLevel="0" collapsed="false">
      <c r="E703" s="33"/>
      <c r="F703" s="33"/>
    </row>
    <row r="704" customFormat="false" ht="15" hidden="false" customHeight="false" outlineLevel="0" collapsed="false">
      <c r="E704" s="33"/>
      <c r="F704" s="33"/>
    </row>
    <row r="705" customFormat="false" ht="15" hidden="false" customHeight="false" outlineLevel="0" collapsed="false">
      <c r="E705" s="33"/>
      <c r="F705" s="33"/>
    </row>
    <row r="706" customFormat="false" ht="15" hidden="false" customHeight="false" outlineLevel="0" collapsed="false">
      <c r="E706" s="33"/>
      <c r="F706" s="33"/>
    </row>
    <row r="707" customFormat="false" ht="15" hidden="false" customHeight="false" outlineLevel="0" collapsed="false">
      <c r="E707" s="33"/>
      <c r="F707" s="33"/>
    </row>
    <row r="708" customFormat="false" ht="15" hidden="false" customHeight="false" outlineLevel="0" collapsed="false">
      <c r="E708" s="33"/>
      <c r="F708" s="33"/>
    </row>
    <row r="709" customFormat="false" ht="15" hidden="false" customHeight="false" outlineLevel="0" collapsed="false">
      <c r="E709" s="33"/>
      <c r="F709" s="33"/>
    </row>
    <row r="710" customFormat="false" ht="15" hidden="false" customHeight="false" outlineLevel="0" collapsed="false">
      <c r="E710" s="33"/>
      <c r="F710" s="33"/>
    </row>
    <row r="711" customFormat="false" ht="15" hidden="false" customHeight="false" outlineLevel="0" collapsed="false">
      <c r="E711" s="33"/>
      <c r="F711" s="33"/>
    </row>
    <row r="712" customFormat="false" ht="15" hidden="false" customHeight="false" outlineLevel="0" collapsed="false">
      <c r="E712" s="33"/>
      <c r="F712" s="33"/>
    </row>
    <row r="713" customFormat="false" ht="15" hidden="false" customHeight="false" outlineLevel="0" collapsed="false">
      <c r="E713" s="33"/>
      <c r="F713" s="33"/>
    </row>
    <row r="714" customFormat="false" ht="15" hidden="false" customHeight="false" outlineLevel="0" collapsed="false">
      <c r="E714" s="33"/>
      <c r="F714" s="33"/>
    </row>
    <row r="715" customFormat="false" ht="15" hidden="false" customHeight="false" outlineLevel="0" collapsed="false">
      <c r="E715" s="33"/>
      <c r="F715" s="33"/>
    </row>
    <row r="716" customFormat="false" ht="15" hidden="false" customHeight="false" outlineLevel="0" collapsed="false">
      <c r="E716" s="33"/>
      <c r="F716" s="33"/>
    </row>
    <row r="717" customFormat="false" ht="15" hidden="false" customHeight="false" outlineLevel="0" collapsed="false">
      <c r="E717" s="33"/>
      <c r="F717" s="33"/>
    </row>
    <row r="718" customFormat="false" ht="15" hidden="false" customHeight="false" outlineLevel="0" collapsed="false">
      <c r="E718" s="33"/>
      <c r="F718" s="33"/>
    </row>
    <row r="719" customFormat="false" ht="15" hidden="false" customHeight="false" outlineLevel="0" collapsed="false">
      <c r="E719" s="33"/>
      <c r="F719" s="33"/>
    </row>
    <row r="720" customFormat="false" ht="15" hidden="false" customHeight="false" outlineLevel="0" collapsed="false">
      <c r="E720" s="33"/>
      <c r="F720" s="33"/>
    </row>
    <row r="721" customFormat="false" ht="15" hidden="false" customHeight="false" outlineLevel="0" collapsed="false">
      <c r="E721" s="33"/>
      <c r="F721" s="33"/>
    </row>
    <row r="722" customFormat="false" ht="15" hidden="false" customHeight="false" outlineLevel="0" collapsed="false">
      <c r="E722" s="33"/>
      <c r="F722" s="33"/>
    </row>
    <row r="723" customFormat="false" ht="15" hidden="false" customHeight="false" outlineLevel="0" collapsed="false">
      <c r="E723" s="33"/>
      <c r="F723" s="33"/>
    </row>
    <row r="724" customFormat="false" ht="15" hidden="false" customHeight="false" outlineLevel="0" collapsed="false">
      <c r="E724" s="33"/>
      <c r="F724" s="33"/>
    </row>
    <row r="725" customFormat="false" ht="15" hidden="false" customHeight="false" outlineLevel="0" collapsed="false">
      <c r="E725" s="33"/>
      <c r="F725" s="33"/>
    </row>
    <row r="726" customFormat="false" ht="15" hidden="false" customHeight="false" outlineLevel="0" collapsed="false">
      <c r="E726" s="33"/>
      <c r="F726" s="33"/>
    </row>
    <row r="727" customFormat="false" ht="15" hidden="false" customHeight="false" outlineLevel="0" collapsed="false">
      <c r="E727" s="33"/>
      <c r="F727" s="33"/>
    </row>
    <row r="728" customFormat="false" ht="15" hidden="false" customHeight="false" outlineLevel="0" collapsed="false">
      <c r="E728" s="33"/>
      <c r="F728" s="33"/>
    </row>
    <row r="729" customFormat="false" ht="15" hidden="false" customHeight="false" outlineLevel="0" collapsed="false">
      <c r="E729" s="33"/>
      <c r="F729" s="33"/>
    </row>
    <row r="730" customFormat="false" ht="15" hidden="false" customHeight="false" outlineLevel="0" collapsed="false">
      <c r="E730" s="33"/>
      <c r="F730" s="33"/>
    </row>
    <row r="731" customFormat="false" ht="15" hidden="false" customHeight="false" outlineLevel="0" collapsed="false">
      <c r="E731" s="33"/>
      <c r="F731" s="33"/>
    </row>
    <row r="732" customFormat="false" ht="15" hidden="false" customHeight="false" outlineLevel="0" collapsed="false">
      <c r="E732" s="33"/>
      <c r="F732" s="33"/>
    </row>
    <row r="733" customFormat="false" ht="15" hidden="false" customHeight="false" outlineLevel="0" collapsed="false">
      <c r="E733" s="33"/>
      <c r="F733" s="33"/>
    </row>
    <row r="734" customFormat="false" ht="15" hidden="false" customHeight="false" outlineLevel="0" collapsed="false">
      <c r="E734" s="33"/>
      <c r="F734" s="33"/>
    </row>
    <row r="735" customFormat="false" ht="15" hidden="false" customHeight="false" outlineLevel="0" collapsed="false">
      <c r="E735" s="33"/>
      <c r="F735" s="33"/>
    </row>
    <row r="736" customFormat="false" ht="15" hidden="false" customHeight="false" outlineLevel="0" collapsed="false">
      <c r="E736" s="33"/>
      <c r="F736" s="33"/>
    </row>
    <row r="737" customFormat="false" ht="15" hidden="false" customHeight="false" outlineLevel="0" collapsed="false">
      <c r="E737" s="33"/>
      <c r="F737" s="33"/>
    </row>
    <row r="738" customFormat="false" ht="15" hidden="false" customHeight="false" outlineLevel="0" collapsed="false">
      <c r="E738" s="33"/>
      <c r="F738" s="33"/>
    </row>
    <row r="739" customFormat="false" ht="15" hidden="false" customHeight="false" outlineLevel="0" collapsed="false">
      <c r="E739" s="33"/>
      <c r="F739" s="33"/>
    </row>
    <row r="740" customFormat="false" ht="15" hidden="false" customHeight="false" outlineLevel="0" collapsed="false">
      <c r="E740" s="33"/>
      <c r="F740" s="33"/>
    </row>
    <row r="741" customFormat="false" ht="15" hidden="false" customHeight="false" outlineLevel="0" collapsed="false">
      <c r="E741" s="33"/>
      <c r="F741" s="33"/>
    </row>
    <row r="742" customFormat="false" ht="15" hidden="false" customHeight="false" outlineLevel="0" collapsed="false">
      <c r="E742" s="33"/>
      <c r="F742" s="33"/>
    </row>
    <row r="743" customFormat="false" ht="15" hidden="false" customHeight="false" outlineLevel="0" collapsed="false">
      <c r="E743" s="33"/>
      <c r="F743" s="33"/>
    </row>
    <row r="744" customFormat="false" ht="15" hidden="false" customHeight="false" outlineLevel="0" collapsed="false">
      <c r="E744" s="33"/>
      <c r="F744" s="33"/>
    </row>
    <row r="745" customFormat="false" ht="15" hidden="false" customHeight="false" outlineLevel="0" collapsed="false">
      <c r="E745" s="33"/>
      <c r="F745" s="33"/>
    </row>
    <row r="746" customFormat="false" ht="15" hidden="false" customHeight="false" outlineLevel="0" collapsed="false">
      <c r="E746" s="33"/>
      <c r="F746" s="33"/>
    </row>
    <row r="747" customFormat="false" ht="15" hidden="false" customHeight="false" outlineLevel="0" collapsed="false">
      <c r="E747" s="33"/>
      <c r="F747" s="33"/>
    </row>
    <row r="748" customFormat="false" ht="15" hidden="false" customHeight="false" outlineLevel="0" collapsed="false">
      <c r="E748" s="33"/>
      <c r="F748" s="33"/>
    </row>
    <row r="749" customFormat="false" ht="15" hidden="false" customHeight="false" outlineLevel="0" collapsed="false">
      <c r="E749" s="33"/>
      <c r="F749" s="33"/>
    </row>
    <row r="750" customFormat="false" ht="15" hidden="false" customHeight="false" outlineLevel="0" collapsed="false">
      <c r="E750" s="33"/>
      <c r="F750" s="33"/>
    </row>
    <row r="751" customFormat="false" ht="15" hidden="false" customHeight="false" outlineLevel="0" collapsed="false">
      <c r="E751" s="33"/>
      <c r="F751" s="33"/>
    </row>
    <row r="752" customFormat="false" ht="15" hidden="false" customHeight="false" outlineLevel="0" collapsed="false">
      <c r="E752" s="33"/>
      <c r="F752" s="33"/>
    </row>
    <row r="753" customFormat="false" ht="15" hidden="false" customHeight="false" outlineLevel="0" collapsed="false">
      <c r="E753" s="33"/>
      <c r="F753" s="33"/>
    </row>
    <row r="754" customFormat="false" ht="15" hidden="false" customHeight="false" outlineLevel="0" collapsed="false">
      <c r="E754" s="33"/>
      <c r="F754" s="33"/>
    </row>
    <row r="755" customFormat="false" ht="15" hidden="false" customHeight="false" outlineLevel="0" collapsed="false">
      <c r="E755" s="33"/>
      <c r="F755" s="33"/>
    </row>
    <row r="756" customFormat="false" ht="15" hidden="false" customHeight="false" outlineLevel="0" collapsed="false">
      <c r="E756" s="33"/>
      <c r="F756" s="33"/>
    </row>
    <row r="757" customFormat="false" ht="15" hidden="false" customHeight="false" outlineLevel="0" collapsed="false">
      <c r="E757" s="33"/>
      <c r="F757" s="33"/>
    </row>
    <row r="758" customFormat="false" ht="15" hidden="false" customHeight="false" outlineLevel="0" collapsed="false">
      <c r="E758" s="33"/>
      <c r="F758" s="33"/>
    </row>
    <row r="759" customFormat="false" ht="15" hidden="false" customHeight="false" outlineLevel="0" collapsed="false">
      <c r="E759" s="33"/>
      <c r="F759" s="33"/>
    </row>
    <row r="760" customFormat="false" ht="15" hidden="false" customHeight="false" outlineLevel="0" collapsed="false">
      <c r="E760" s="33"/>
      <c r="F760" s="33"/>
    </row>
    <row r="761" customFormat="false" ht="15" hidden="false" customHeight="false" outlineLevel="0" collapsed="false">
      <c r="E761" s="33"/>
      <c r="F761" s="33"/>
    </row>
    <row r="762" customFormat="false" ht="15" hidden="false" customHeight="false" outlineLevel="0" collapsed="false">
      <c r="E762" s="33"/>
      <c r="F762" s="33"/>
    </row>
    <row r="763" customFormat="false" ht="15" hidden="false" customHeight="false" outlineLevel="0" collapsed="false">
      <c r="E763" s="33"/>
      <c r="F763" s="33"/>
    </row>
    <row r="764" customFormat="false" ht="15" hidden="false" customHeight="false" outlineLevel="0" collapsed="false">
      <c r="E764" s="33"/>
      <c r="F764" s="33"/>
    </row>
    <row r="765" customFormat="false" ht="15" hidden="false" customHeight="false" outlineLevel="0" collapsed="false">
      <c r="E765" s="33"/>
      <c r="F765" s="33"/>
    </row>
    <row r="766" customFormat="false" ht="15" hidden="false" customHeight="false" outlineLevel="0" collapsed="false">
      <c r="E766" s="33"/>
      <c r="F766" s="33"/>
    </row>
    <row r="767" customFormat="false" ht="15" hidden="false" customHeight="false" outlineLevel="0" collapsed="false">
      <c r="E767" s="33"/>
      <c r="F767" s="33"/>
    </row>
    <row r="768" customFormat="false" ht="15" hidden="false" customHeight="false" outlineLevel="0" collapsed="false">
      <c r="E768" s="33"/>
      <c r="F768" s="33"/>
    </row>
    <row r="769" customFormat="false" ht="15" hidden="false" customHeight="false" outlineLevel="0" collapsed="false">
      <c r="E769" s="33"/>
      <c r="F769" s="33"/>
    </row>
    <row r="770" customFormat="false" ht="15" hidden="false" customHeight="false" outlineLevel="0" collapsed="false">
      <c r="E770" s="33"/>
      <c r="F770" s="33"/>
    </row>
    <row r="771" customFormat="false" ht="15" hidden="false" customHeight="false" outlineLevel="0" collapsed="false">
      <c r="E771" s="33"/>
      <c r="F771" s="33"/>
    </row>
    <row r="772" customFormat="false" ht="15" hidden="false" customHeight="false" outlineLevel="0" collapsed="false">
      <c r="E772" s="33"/>
      <c r="F772" s="33"/>
    </row>
    <row r="773" customFormat="false" ht="15" hidden="false" customHeight="false" outlineLevel="0" collapsed="false">
      <c r="E773" s="33"/>
      <c r="F773" s="33"/>
    </row>
    <row r="774" customFormat="false" ht="15" hidden="false" customHeight="false" outlineLevel="0" collapsed="false">
      <c r="E774" s="33"/>
      <c r="F774" s="33"/>
    </row>
    <row r="775" customFormat="false" ht="15" hidden="false" customHeight="false" outlineLevel="0" collapsed="false">
      <c r="E775" s="33"/>
      <c r="F775" s="33"/>
    </row>
    <row r="776" customFormat="false" ht="15" hidden="false" customHeight="false" outlineLevel="0" collapsed="false">
      <c r="E776" s="33"/>
      <c r="F776" s="33"/>
    </row>
    <row r="777" customFormat="false" ht="15" hidden="false" customHeight="false" outlineLevel="0" collapsed="false">
      <c r="E777" s="33"/>
      <c r="F777" s="33"/>
    </row>
    <row r="778" customFormat="false" ht="15" hidden="false" customHeight="false" outlineLevel="0" collapsed="false">
      <c r="E778" s="33"/>
      <c r="F778" s="33"/>
    </row>
    <row r="779" customFormat="false" ht="15" hidden="false" customHeight="false" outlineLevel="0" collapsed="false">
      <c r="E779" s="33"/>
      <c r="F779" s="33"/>
    </row>
    <row r="780" customFormat="false" ht="15" hidden="false" customHeight="false" outlineLevel="0" collapsed="false">
      <c r="E780" s="33"/>
      <c r="F780" s="33"/>
    </row>
    <row r="781" customFormat="false" ht="15" hidden="false" customHeight="false" outlineLevel="0" collapsed="false">
      <c r="E781" s="33"/>
      <c r="F781" s="33"/>
    </row>
    <row r="782" customFormat="false" ht="15" hidden="false" customHeight="false" outlineLevel="0" collapsed="false">
      <c r="E782" s="33"/>
      <c r="F782" s="33"/>
    </row>
    <row r="783" customFormat="false" ht="15" hidden="false" customHeight="false" outlineLevel="0" collapsed="false">
      <c r="E783" s="33"/>
      <c r="F783" s="33"/>
    </row>
    <row r="784" customFormat="false" ht="15" hidden="false" customHeight="false" outlineLevel="0" collapsed="false">
      <c r="E784" s="33"/>
      <c r="F784" s="33"/>
    </row>
    <row r="785" customFormat="false" ht="15" hidden="false" customHeight="false" outlineLevel="0" collapsed="false">
      <c r="E785" s="33"/>
      <c r="F785" s="33"/>
    </row>
    <row r="786" customFormat="false" ht="15" hidden="false" customHeight="false" outlineLevel="0" collapsed="false">
      <c r="E786" s="33"/>
      <c r="F786" s="33"/>
    </row>
    <row r="787" customFormat="false" ht="15" hidden="false" customHeight="false" outlineLevel="0" collapsed="false">
      <c r="E787" s="33"/>
      <c r="F787" s="33"/>
    </row>
    <row r="788" customFormat="false" ht="15" hidden="false" customHeight="false" outlineLevel="0" collapsed="false">
      <c r="E788" s="33"/>
      <c r="F788" s="33"/>
    </row>
    <row r="789" customFormat="false" ht="15" hidden="false" customHeight="false" outlineLevel="0" collapsed="false">
      <c r="E789" s="33"/>
      <c r="F789" s="33"/>
    </row>
    <row r="790" customFormat="false" ht="15" hidden="false" customHeight="false" outlineLevel="0" collapsed="false">
      <c r="E790" s="33"/>
      <c r="F790" s="33"/>
    </row>
    <row r="791" customFormat="false" ht="15" hidden="false" customHeight="false" outlineLevel="0" collapsed="false">
      <c r="E791" s="33"/>
      <c r="F791" s="33"/>
    </row>
    <row r="792" customFormat="false" ht="15" hidden="false" customHeight="false" outlineLevel="0" collapsed="false">
      <c r="E792" s="33"/>
      <c r="F792" s="33"/>
    </row>
    <row r="793" customFormat="false" ht="15" hidden="false" customHeight="false" outlineLevel="0" collapsed="false">
      <c r="E793" s="33"/>
      <c r="F793" s="33"/>
    </row>
    <row r="794" customFormat="false" ht="15" hidden="false" customHeight="false" outlineLevel="0" collapsed="false">
      <c r="E794" s="33"/>
      <c r="F794" s="33"/>
    </row>
    <row r="795" customFormat="false" ht="15" hidden="false" customHeight="false" outlineLevel="0" collapsed="false">
      <c r="E795" s="33"/>
      <c r="F795" s="33"/>
    </row>
    <row r="796" customFormat="false" ht="15" hidden="false" customHeight="false" outlineLevel="0" collapsed="false">
      <c r="E796" s="33"/>
      <c r="F796" s="33"/>
    </row>
    <row r="797" customFormat="false" ht="15" hidden="false" customHeight="false" outlineLevel="0" collapsed="false">
      <c r="E797" s="33"/>
      <c r="F797" s="33"/>
    </row>
    <row r="798" customFormat="false" ht="15" hidden="false" customHeight="false" outlineLevel="0" collapsed="false">
      <c r="E798" s="33"/>
      <c r="F798" s="33"/>
    </row>
    <row r="799" customFormat="false" ht="15" hidden="false" customHeight="false" outlineLevel="0" collapsed="false">
      <c r="E799" s="33"/>
      <c r="F799" s="33"/>
    </row>
    <row r="800" customFormat="false" ht="15" hidden="false" customHeight="false" outlineLevel="0" collapsed="false">
      <c r="E800" s="33"/>
      <c r="F800" s="33"/>
    </row>
    <row r="801" customFormat="false" ht="15" hidden="false" customHeight="false" outlineLevel="0" collapsed="false">
      <c r="E801" s="33"/>
      <c r="F801" s="33"/>
    </row>
    <row r="802" customFormat="false" ht="15" hidden="false" customHeight="false" outlineLevel="0" collapsed="false">
      <c r="E802" s="33"/>
      <c r="F802" s="33"/>
    </row>
    <row r="803" customFormat="false" ht="15" hidden="false" customHeight="false" outlineLevel="0" collapsed="false">
      <c r="E803" s="33"/>
      <c r="F803" s="33"/>
    </row>
    <row r="804" customFormat="false" ht="15" hidden="false" customHeight="false" outlineLevel="0" collapsed="false">
      <c r="E804" s="33"/>
      <c r="F804" s="33"/>
    </row>
    <row r="805" customFormat="false" ht="15" hidden="false" customHeight="false" outlineLevel="0" collapsed="false">
      <c r="E805" s="33"/>
      <c r="F805" s="33"/>
    </row>
    <row r="806" customFormat="false" ht="15" hidden="false" customHeight="false" outlineLevel="0" collapsed="false">
      <c r="E806" s="33"/>
      <c r="F806" s="33"/>
    </row>
    <row r="807" customFormat="false" ht="15" hidden="false" customHeight="false" outlineLevel="0" collapsed="false">
      <c r="E807" s="33"/>
      <c r="F807" s="33"/>
    </row>
    <row r="808" customFormat="false" ht="15" hidden="false" customHeight="false" outlineLevel="0" collapsed="false">
      <c r="E808" s="33"/>
      <c r="F808" s="33"/>
    </row>
    <row r="809" customFormat="false" ht="15" hidden="false" customHeight="false" outlineLevel="0" collapsed="false">
      <c r="E809" s="33"/>
      <c r="F809" s="33"/>
    </row>
    <row r="810" customFormat="false" ht="15" hidden="false" customHeight="false" outlineLevel="0" collapsed="false">
      <c r="E810" s="33"/>
      <c r="F810" s="33"/>
    </row>
    <row r="811" customFormat="false" ht="15" hidden="false" customHeight="false" outlineLevel="0" collapsed="false">
      <c r="E811" s="33"/>
      <c r="F811" s="33"/>
    </row>
    <row r="812" customFormat="false" ht="15" hidden="false" customHeight="false" outlineLevel="0" collapsed="false">
      <c r="E812" s="33"/>
      <c r="F812" s="33"/>
    </row>
    <row r="813" customFormat="false" ht="15" hidden="false" customHeight="false" outlineLevel="0" collapsed="false">
      <c r="E813" s="33"/>
      <c r="F813" s="33"/>
    </row>
    <row r="814" customFormat="false" ht="15" hidden="false" customHeight="false" outlineLevel="0" collapsed="false">
      <c r="E814" s="33"/>
      <c r="F814" s="33"/>
    </row>
    <row r="815" customFormat="false" ht="15" hidden="false" customHeight="false" outlineLevel="0" collapsed="false">
      <c r="E815" s="33"/>
      <c r="F815" s="33"/>
    </row>
    <row r="816" customFormat="false" ht="15" hidden="false" customHeight="false" outlineLevel="0" collapsed="false">
      <c r="E816" s="33"/>
      <c r="F816" s="33"/>
    </row>
    <row r="817" customFormat="false" ht="15" hidden="false" customHeight="false" outlineLevel="0" collapsed="false">
      <c r="E817" s="33"/>
      <c r="F817" s="33"/>
    </row>
    <row r="818" customFormat="false" ht="15" hidden="false" customHeight="false" outlineLevel="0" collapsed="false">
      <c r="E818" s="33"/>
      <c r="F818" s="33"/>
    </row>
    <row r="819" customFormat="false" ht="15" hidden="false" customHeight="false" outlineLevel="0" collapsed="false">
      <c r="E819" s="33"/>
      <c r="F819" s="33"/>
    </row>
    <row r="820" customFormat="false" ht="15" hidden="false" customHeight="false" outlineLevel="0" collapsed="false">
      <c r="E820" s="33"/>
      <c r="F820" s="33"/>
    </row>
    <row r="821" customFormat="false" ht="15" hidden="false" customHeight="false" outlineLevel="0" collapsed="false">
      <c r="E821" s="33"/>
      <c r="F821" s="33"/>
    </row>
    <row r="822" customFormat="false" ht="15" hidden="false" customHeight="false" outlineLevel="0" collapsed="false">
      <c r="E822" s="33"/>
      <c r="F822" s="33"/>
    </row>
    <row r="823" customFormat="false" ht="15" hidden="false" customHeight="false" outlineLevel="0" collapsed="false">
      <c r="E823" s="33"/>
      <c r="F823" s="33"/>
    </row>
    <row r="824" customFormat="false" ht="15" hidden="false" customHeight="false" outlineLevel="0" collapsed="false">
      <c r="E824" s="33"/>
      <c r="F824" s="33"/>
    </row>
    <row r="825" customFormat="false" ht="15" hidden="false" customHeight="false" outlineLevel="0" collapsed="false">
      <c r="E825" s="33"/>
      <c r="F825" s="33"/>
    </row>
    <row r="826" customFormat="false" ht="15" hidden="false" customHeight="false" outlineLevel="0" collapsed="false">
      <c r="E826" s="33"/>
      <c r="F826" s="33"/>
    </row>
    <row r="827" customFormat="false" ht="15" hidden="false" customHeight="false" outlineLevel="0" collapsed="false">
      <c r="E827" s="33"/>
      <c r="F827" s="33"/>
    </row>
    <row r="828" customFormat="false" ht="15" hidden="false" customHeight="false" outlineLevel="0" collapsed="false">
      <c r="E828" s="33"/>
      <c r="F828" s="33"/>
    </row>
    <row r="829" customFormat="false" ht="15" hidden="false" customHeight="false" outlineLevel="0" collapsed="false">
      <c r="E829" s="33"/>
      <c r="F829" s="33"/>
    </row>
    <row r="830" customFormat="false" ht="15" hidden="false" customHeight="false" outlineLevel="0" collapsed="false">
      <c r="E830" s="33"/>
      <c r="F830" s="33"/>
    </row>
    <row r="831" customFormat="false" ht="15" hidden="false" customHeight="false" outlineLevel="0" collapsed="false">
      <c r="E831" s="33"/>
      <c r="F831" s="33"/>
    </row>
    <row r="832" customFormat="false" ht="15" hidden="false" customHeight="false" outlineLevel="0" collapsed="false">
      <c r="E832" s="33"/>
      <c r="F832" s="33"/>
    </row>
    <row r="833" customFormat="false" ht="15" hidden="false" customHeight="false" outlineLevel="0" collapsed="false">
      <c r="E833" s="33"/>
      <c r="F833" s="33"/>
    </row>
    <row r="834" customFormat="false" ht="15" hidden="false" customHeight="false" outlineLevel="0" collapsed="false">
      <c r="E834" s="33"/>
      <c r="F834" s="33"/>
    </row>
    <row r="835" customFormat="false" ht="15" hidden="false" customHeight="false" outlineLevel="0" collapsed="false">
      <c r="E835" s="33"/>
      <c r="F835" s="33"/>
    </row>
    <row r="836" customFormat="false" ht="15" hidden="false" customHeight="false" outlineLevel="0" collapsed="false">
      <c r="E836" s="33"/>
      <c r="F836" s="33"/>
    </row>
    <row r="837" customFormat="false" ht="15" hidden="false" customHeight="false" outlineLevel="0" collapsed="false">
      <c r="E837" s="33"/>
      <c r="F837" s="33"/>
    </row>
    <row r="838" customFormat="false" ht="15" hidden="false" customHeight="false" outlineLevel="0" collapsed="false">
      <c r="E838" s="33"/>
      <c r="F838" s="33"/>
    </row>
    <row r="839" customFormat="false" ht="15" hidden="false" customHeight="false" outlineLevel="0" collapsed="false">
      <c r="E839" s="33"/>
      <c r="F839" s="33"/>
    </row>
    <row r="840" customFormat="false" ht="15" hidden="false" customHeight="false" outlineLevel="0" collapsed="false">
      <c r="E840" s="33"/>
      <c r="F840" s="33"/>
    </row>
    <row r="841" customFormat="false" ht="15" hidden="false" customHeight="false" outlineLevel="0" collapsed="false">
      <c r="E841" s="33"/>
      <c r="F841" s="33"/>
    </row>
    <row r="842" customFormat="false" ht="15" hidden="false" customHeight="false" outlineLevel="0" collapsed="false">
      <c r="E842" s="33"/>
      <c r="F842" s="33"/>
    </row>
    <row r="843" customFormat="false" ht="15" hidden="false" customHeight="false" outlineLevel="0" collapsed="false">
      <c r="E843" s="33"/>
      <c r="F843" s="33"/>
    </row>
    <row r="844" customFormat="false" ht="15" hidden="false" customHeight="false" outlineLevel="0" collapsed="false">
      <c r="E844" s="33"/>
      <c r="F844" s="33"/>
    </row>
    <row r="845" customFormat="false" ht="15" hidden="false" customHeight="false" outlineLevel="0" collapsed="false">
      <c r="E845" s="33"/>
      <c r="F845" s="33"/>
    </row>
    <row r="846" customFormat="false" ht="15" hidden="false" customHeight="false" outlineLevel="0" collapsed="false">
      <c r="E846" s="33"/>
      <c r="F846" s="33"/>
    </row>
    <row r="847" customFormat="false" ht="15" hidden="false" customHeight="false" outlineLevel="0" collapsed="false">
      <c r="E847" s="33"/>
      <c r="F847" s="33"/>
    </row>
    <row r="848" customFormat="false" ht="15" hidden="false" customHeight="false" outlineLevel="0" collapsed="false">
      <c r="E848" s="33"/>
      <c r="F848" s="33"/>
    </row>
    <row r="849" customFormat="false" ht="15" hidden="false" customHeight="false" outlineLevel="0" collapsed="false">
      <c r="E849" s="33"/>
      <c r="F849" s="33"/>
    </row>
    <row r="850" customFormat="false" ht="15" hidden="false" customHeight="false" outlineLevel="0" collapsed="false">
      <c r="E850" s="33"/>
      <c r="F850" s="33"/>
    </row>
    <row r="851" customFormat="false" ht="15" hidden="false" customHeight="false" outlineLevel="0" collapsed="false">
      <c r="E851" s="33"/>
      <c r="F851" s="33"/>
    </row>
    <row r="852" customFormat="false" ht="15" hidden="false" customHeight="false" outlineLevel="0" collapsed="false">
      <c r="E852" s="33"/>
      <c r="F852" s="33"/>
    </row>
    <row r="853" customFormat="false" ht="15" hidden="false" customHeight="false" outlineLevel="0" collapsed="false">
      <c r="E853" s="33"/>
      <c r="F853" s="33"/>
    </row>
    <row r="854" customFormat="false" ht="15" hidden="false" customHeight="false" outlineLevel="0" collapsed="false">
      <c r="E854" s="33"/>
      <c r="F854" s="33"/>
    </row>
    <row r="855" customFormat="false" ht="15" hidden="false" customHeight="false" outlineLevel="0" collapsed="false">
      <c r="E855" s="33"/>
      <c r="F855" s="33"/>
    </row>
    <row r="856" customFormat="false" ht="15" hidden="false" customHeight="false" outlineLevel="0" collapsed="false">
      <c r="E856" s="33"/>
      <c r="F856" s="33"/>
    </row>
    <row r="857" customFormat="false" ht="15" hidden="false" customHeight="false" outlineLevel="0" collapsed="false">
      <c r="E857" s="33"/>
      <c r="F857" s="33"/>
    </row>
    <row r="858" customFormat="false" ht="15" hidden="false" customHeight="false" outlineLevel="0" collapsed="false">
      <c r="E858" s="33"/>
      <c r="F858" s="33"/>
    </row>
    <row r="859" customFormat="false" ht="15" hidden="false" customHeight="false" outlineLevel="0" collapsed="false">
      <c r="E859" s="33"/>
      <c r="F859" s="33"/>
    </row>
    <row r="860" customFormat="false" ht="15" hidden="false" customHeight="false" outlineLevel="0" collapsed="false">
      <c r="E860" s="33"/>
      <c r="F860" s="33"/>
    </row>
    <row r="861" customFormat="false" ht="15" hidden="false" customHeight="false" outlineLevel="0" collapsed="false">
      <c r="E861" s="33"/>
      <c r="F861" s="33"/>
    </row>
    <row r="862" customFormat="false" ht="15" hidden="false" customHeight="false" outlineLevel="0" collapsed="false">
      <c r="E862" s="33"/>
      <c r="F862" s="33"/>
    </row>
    <row r="863" customFormat="false" ht="15" hidden="false" customHeight="false" outlineLevel="0" collapsed="false">
      <c r="E863" s="33"/>
      <c r="F863" s="33"/>
    </row>
    <row r="864" customFormat="false" ht="15" hidden="false" customHeight="false" outlineLevel="0" collapsed="false">
      <c r="E864" s="33"/>
      <c r="F864" s="33"/>
    </row>
    <row r="865" customFormat="false" ht="15" hidden="false" customHeight="false" outlineLevel="0" collapsed="false">
      <c r="E865" s="33"/>
      <c r="F865" s="33"/>
    </row>
    <row r="866" customFormat="false" ht="15" hidden="false" customHeight="false" outlineLevel="0" collapsed="false">
      <c r="E866" s="33"/>
      <c r="F866" s="33"/>
    </row>
    <row r="867" customFormat="false" ht="15" hidden="false" customHeight="false" outlineLevel="0" collapsed="false">
      <c r="E867" s="33"/>
      <c r="F867" s="33"/>
    </row>
    <row r="868" customFormat="false" ht="15" hidden="false" customHeight="false" outlineLevel="0" collapsed="false">
      <c r="E868" s="33"/>
      <c r="F868" s="33"/>
    </row>
    <row r="869" customFormat="false" ht="15" hidden="false" customHeight="false" outlineLevel="0" collapsed="false">
      <c r="E869" s="33"/>
      <c r="F869" s="33"/>
    </row>
    <row r="870" customFormat="false" ht="15" hidden="false" customHeight="false" outlineLevel="0" collapsed="false">
      <c r="E870" s="33"/>
      <c r="F870" s="33"/>
    </row>
    <row r="871" customFormat="false" ht="15" hidden="false" customHeight="false" outlineLevel="0" collapsed="false">
      <c r="E871" s="33"/>
      <c r="F871" s="33"/>
    </row>
    <row r="872" customFormat="false" ht="15" hidden="false" customHeight="false" outlineLevel="0" collapsed="false">
      <c r="E872" s="33"/>
      <c r="F872" s="33"/>
    </row>
    <row r="873" customFormat="false" ht="15" hidden="false" customHeight="false" outlineLevel="0" collapsed="false">
      <c r="E873" s="33"/>
      <c r="F873" s="33"/>
    </row>
    <row r="874" customFormat="false" ht="15" hidden="false" customHeight="false" outlineLevel="0" collapsed="false">
      <c r="E874" s="33"/>
      <c r="F874" s="33"/>
    </row>
    <row r="875" customFormat="false" ht="15" hidden="false" customHeight="false" outlineLevel="0" collapsed="false">
      <c r="E875" s="33"/>
      <c r="F875" s="33"/>
    </row>
    <row r="876" customFormat="false" ht="15" hidden="false" customHeight="false" outlineLevel="0" collapsed="false">
      <c r="E876" s="33"/>
      <c r="F876" s="33"/>
    </row>
    <row r="877" customFormat="false" ht="15" hidden="false" customHeight="false" outlineLevel="0" collapsed="false">
      <c r="E877" s="33"/>
      <c r="F877" s="33"/>
    </row>
    <row r="878" customFormat="false" ht="15" hidden="false" customHeight="false" outlineLevel="0" collapsed="false">
      <c r="E878" s="33"/>
      <c r="F878" s="33"/>
    </row>
    <row r="879" customFormat="false" ht="15" hidden="false" customHeight="false" outlineLevel="0" collapsed="false">
      <c r="E879" s="33"/>
      <c r="F879" s="33"/>
    </row>
    <row r="880" customFormat="false" ht="15" hidden="false" customHeight="false" outlineLevel="0" collapsed="false">
      <c r="E880" s="33"/>
      <c r="F880" s="33"/>
    </row>
    <row r="881" customFormat="false" ht="15" hidden="false" customHeight="false" outlineLevel="0" collapsed="false">
      <c r="E881" s="33"/>
      <c r="F881" s="33"/>
    </row>
    <row r="882" customFormat="false" ht="15" hidden="false" customHeight="false" outlineLevel="0" collapsed="false">
      <c r="E882" s="33"/>
      <c r="F882" s="33"/>
    </row>
    <row r="883" customFormat="false" ht="15" hidden="false" customHeight="false" outlineLevel="0" collapsed="false">
      <c r="E883" s="33"/>
      <c r="F883" s="33"/>
    </row>
    <row r="884" customFormat="false" ht="15" hidden="false" customHeight="false" outlineLevel="0" collapsed="false">
      <c r="E884" s="33"/>
      <c r="F884" s="33"/>
    </row>
    <row r="885" customFormat="false" ht="15" hidden="false" customHeight="false" outlineLevel="0" collapsed="false">
      <c r="E885" s="33"/>
      <c r="F885" s="33"/>
    </row>
    <row r="886" customFormat="false" ht="15" hidden="false" customHeight="false" outlineLevel="0" collapsed="false">
      <c r="E886" s="33"/>
      <c r="F886" s="33"/>
    </row>
    <row r="887" customFormat="false" ht="15" hidden="false" customHeight="false" outlineLevel="0" collapsed="false">
      <c r="E887" s="33"/>
      <c r="F887" s="33"/>
    </row>
    <row r="888" customFormat="false" ht="15" hidden="false" customHeight="false" outlineLevel="0" collapsed="false">
      <c r="E888" s="33"/>
      <c r="F888" s="33"/>
    </row>
    <row r="889" customFormat="false" ht="15" hidden="false" customHeight="false" outlineLevel="0" collapsed="false">
      <c r="E889" s="33"/>
      <c r="F889" s="33"/>
    </row>
    <row r="890" customFormat="false" ht="15" hidden="false" customHeight="false" outlineLevel="0" collapsed="false">
      <c r="E890" s="33"/>
      <c r="F890" s="33"/>
    </row>
    <row r="891" customFormat="false" ht="15" hidden="false" customHeight="false" outlineLevel="0" collapsed="false">
      <c r="E891" s="33"/>
      <c r="F891" s="33"/>
    </row>
    <row r="892" customFormat="false" ht="15" hidden="false" customHeight="false" outlineLevel="0" collapsed="false">
      <c r="E892" s="33"/>
      <c r="F892" s="33"/>
    </row>
    <row r="893" customFormat="false" ht="15" hidden="false" customHeight="false" outlineLevel="0" collapsed="false">
      <c r="E893" s="33"/>
      <c r="F893" s="33"/>
    </row>
    <row r="894" customFormat="false" ht="15" hidden="false" customHeight="false" outlineLevel="0" collapsed="false">
      <c r="E894" s="33"/>
      <c r="F894" s="33"/>
    </row>
    <row r="895" customFormat="false" ht="15" hidden="false" customHeight="false" outlineLevel="0" collapsed="false">
      <c r="E895" s="33"/>
      <c r="F895" s="33"/>
    </row>
    <row r="896" customFormat="false" ht="15" hidden="false" customHeight="false" outlineLevel="0" collapsed="false">
      <c r="E896" s="33"/>
      <c r="F896" s="33"/>
    </row>
    <row r="897" customFormat="false" ht="15" hidden="false" customHeight="false" outlineLevel="0" collapsed="false">
      <c r="E897" s="33"/>
      <c r="F897" s="33"/>
    </row>
    <row r="898" customFormat="false" ht="15" hidden="false" customHeight="false" outlineLevel="0" collapsed="false">
      <c r="E898" s="33"/>
      <c r="F898" s="33"/>
    </row>
    <row r="899" customFormat="false" ht="15" hidden="false" customHeight="false" outlineLevel="0" collapsed="false">
      <c r="E899" s="33"/>
      <c r="F899" s="33"/>
    </row>
    <row r="900" customFormat="false" ht="15" hidden="false" customHeight="false" outlineLevel="0" collapsed="false">
      <c r="E900" s="33"/>
      <c r="F900" s="33"/>
    </row>
    <row r="901" customFormat="false" ht="15" hidden="false" customHeight="false" outlineLevel="0" collapsed="false">
      <c r="E901" s="33"/>
      <c r="F901" s="33"/>
    </row>
    <row r="902" customFormat="false" ht="15" hidden="false" customHeight="false" outlineLevel="0" collapsed="false">
      <c r="E902" s="33"/>
      <c r="F902" s="33"/>
    </row>
    <row r="903" customFormat="false" ht="15" hidden="false" customHeight="false" outlineLevel="0" collapsed="false">
      <c r="E903" s="33"/>
      <c r="F903" s="33"/>
    </row>
    <row r="904" customFormat="false" ht="15" hidden="false" customHeight="false" outlineLevel="0" collapsed="false">
      <c r="E904" s="33"/>
      <c r="F904" s="33"/>
    </row>
    <row r="905" customFormat="false" ht="15" hidden="false" customHeight="false" outlineLevel="0" collapsed="false">
      <c r="E905" s="33"/>
      <c r="F905" s="33"/>
    </row>
    <row r="906" customFormat="false" ht="15" hidden="false" customHeight="false" outlineLevel="0" collapsed="false">
      <c r="E906" s="33"/>
      <c r="F906" s="33"/>
    </row>
    <row r="907" customFormat="false" ht="15" hidden="false" customHeight="false" outlineLevel="0" collapsed="false">
      <c r="E907" s="33"/>
      <c r="F907" s="33"/>
    </row>
    <row r="908" customFormat="false" ht="15" hidden="false" customHeight="false" outlineLevel="0" collapsed="false">
      <c r="E908" s="33"/>
      <c r="F908" s="33"/>
    </row>
    <row r="909" customFormat="false" ht="15" hidden="false" customHeight="false" outlineLevel="0" collapsed="false">
      <c r="E909" s="33"/>
      <c r="F909" s="33"/>
    </row>
    <row r="910" customFormat="false" ht="15" hidden="false" customHeight="false" outlineLevel="0" collapsed="false">
      <c r="E910" s="33"/>
      <c r="F910" s="33"/>
    </row>
    <row r="911" customFormat="false" ht="15" hidden="false" customHeight="false" outlineLevel="0" collapsed="false">
      <c r="E911" s="33"/>
      <c r="F911" s="33"/>
    </row>
    <row r="912" customFormat="false" ht="15" hidden="false" customHeight="false" outlineLevel="0" collapsed="false">
      <c r="E912" s="33"/>
      <c r="F912" s="33"/>
    </row>
    <row r="913" customFormat="false" ht="15" hidden="false" customHeight="false" outlineLevel="0" collapsed="false">
      <c r="E913" s="33"/>
      <c r="F913" s="33"/>
    </row>
    <row r="914" customFormat="false" ht="15" hidden="false" customHeight="false" outlineLevel="0" collapsed="false">
      <c r="E914" s="33"/>
      <c r="F914" s="33"/>
    </row>
    <row r="915" customFormat="false" ht="15" hidden="false" customHeight="false" outlineLevel="0" collapsed="false">
      <c r="E915" s="33"/>
      <c r="F915" s="33"/>
    </row>
    <row r="916" customFormat="false" ht="15" hidden="false" customHeight="false" outlineLevel="0" collapsed="false">
      <c r="E916" s="33"/>
      <c r="F916" s="33"/>
    </row>
    <row r="917" customFormat="false" ht="15" hidden="false" customHeight="false" outlineLevel="0" collapsed="false">
      <c r="E917" s="33"/>
      <c r="F917" s="33"/>
    </row>
    <row r="918" customFormat="false" ht="15" hidden="false" customHeight="false" outlineLevel="0" collapsed="false">
      <c r="E918" s="33"/>
      <c r="F918" s="33"/>
    </row>
    <row r="919" customFormat="false" ht="15" hidden="false" customHeight="false" outlineLevel="0" collapsed="false">
      <c r="E919" s="33"/>
      <c r="F919" s="33"/>
    </row>
    <row r="920" customFormat="false" ht="15" hidden="false" customHeight="false" outlineLevel="0" collapsed="false">
      <c r="E920" s="33"/>
      <c r="F920" s="33"/>
    </row>
    <row r="921" customFormat="false" ht="15" hidden="false" customHeight="false" outlineLevel="0" collapsed="false">
      <c r="E921" s="33"/>
      <c r="F921" s="33"/>
    </row>
    <row r="922" customFormat="false" ht="15" hidden="false" customHeight="false" outlineLevel="0" collapsed="false">
      <c r="E922" s="33"/>
      <c r="F922" s="33"/>
    </row>
    <row r="923" customFormat="false" ht="15" hidden="false" customHeight="false" outlineLevel="0" collapsed="false">
      <c r="E923" s="33"/>
      <c r="F923" s="33"/>
    </row>
    <row r="924" customFormat="false" ht="15" hidden="false" customHeight="false" outlineLevel="0" collapsed="false">
      <c r="E924" s="33"/>
      <c r="F924" s="33"/>
    </row>
    <row r="925" customFormat="false" ht="15" hidden="false" customHeight="false" outlineLevel="0" collapsed="false">
      <c r="E925" s="33"/>
      <c r="F925" s="33"/>
    </row>
    <row r="926" customFormat="false" ht="15" hidden="false" customHeight="false" outlineLevel="0" collapsed="false">
      <c r="E926" s="33"/>
      <c r="F926" s="33"/>
    </row>
    <row r="927" customFormat="false" ht="15" hidden="false" customHeight="false" outlineLevel="0" collapsed="false">
      <c r="E927" s="33"/>
      <c r="F927" s="33"/>
    </row>
    <row r="928" customFormat="false" ht="15" hidden="false" customHeight="false" outlineLevel="0" collapsed="false">
      <c r="E928" s="33"/>
      <c r="F928" s="33"/>
    </row>
    <row r="929" customFormat="false" ht="15" hidden="false" customHeight="false" outlineLevel="0" collapsed="false">
      <c r="E929" s="33"/>
      <c r="F929" s="33"/>
    </row>
    <row r="930" customFormat="false" ht="15" hidden="false" customHeight="false" outlineLevel="0" collapsed="false">
      <c r="E930" s="33"/>
      <c r="F930" s="33"/>
    </row>
    <row r="931" customFormat="false" ht="15" hidden="false" customHeight="false" outlineLevel="0" collapsed="false">
      <c r="E931" s="33"/>
      <c r="F931" s="33"/>
    </row>
    <row r="932" customFormat="false" ht="15" hidden="false" customHeight="false" outlineLevel="0" collapsed="false">
      <c r="E932" s="33"/>
      <c r="F932" s="33"/>
    </row>
    <row r="933" customFormat="false" ht="15" hidden="false" customHeight="false" outlineLevel="0" collapsed="false">
      <c r="E933" s="33"/>
      <c r="F933" s="33"/>
    </row>
    <row r="934" customFormat="false" ht="15" hidden="false" customHeight="false" outlineLevel="0" collapsed="false">
      <c r="E934" s="33"/>
      <c r="F934" s="33"/>
    </row>
    <row r="935" customFormat="false" ht="15" hidden="false" customHeight="false" outlineLevel="0" collapsed="false">
      <c r="E935" s="33"/>
      <c r="F935" s="33"/>
    </row>
    <row r="936" customFormat="false" ht="15" hidden="false" customHeight="false" outlineLevel="0" collapsed="false">
      <c r="E936" s="33"/>
      <c r="F936" s="33"/>
    </row>
    <row r="937" customFormat="false" ht="15" hidden="false" customHeight="false" outlineLevel="0" collapsed="false">
      <c r="E937" s="33"/>
      <c r="F937" s="33"/>
    </row>
    <row r="938" customFormat="false" ht="15" hidden="false" customHeight="false" outlineLevel="0" collapsed="false">
      <c r="E938" s="33"/>
      <c r="F938" s="33"/>
    </row>
    <row r="939" customFormat="false" ht="15" hidden="false" customHeight="false" outlineLevel="0" collapsed="false">
      <c r="E939" s="33"/>
      <c r="F939" s="33"/>
    </row>
    <row r="940" customFormat="false" ht="15" hidden="false" customHeight="false" outlineLevel="0" collapsed="false">
      <c r="E940" s="33"/>
      <c r="F940" s="33"/>
    </row>
    <row r="941" customFormat="false" ht="15" hidden="false" customHeight="false" outlineLevel="0" collapsed="false">
      <c r="E941" s="33"/>
      <c r="F941" s="33"/>
    </row>
    <row r="942" customFormat="false" ht="15" hidden="false" customHeight="false" outlineLevel="0" collapsed="false">
      <c r="E942" s="33"/>
      <c r="F942" s="33"/>
    </row>
    <row r="943" customFormat="false" ht="15" hidden="false" customHeight="false" outlineLevel="0" collapsed="false">
      <c r="E943" s="33"/>
      <c r="F943" s="33"/>
    </row>
    <row r="944" customFormat="false" ht="15" hidden="false" customHeight="false" outlineLevel="0" collapsed="false">
      <c r="E944" s="33"/>
      <c r="F944" s="33"/>
    </row>
    <row r="945" customFormat="false" ht="15" hidden="false" customHeight="false" outlineLevel="0" collapsed="false">
      <c r="E945" s="33"/>
      <c r="F945" s="33"/>
    </row>
    <row r="946" customFormat="false" ht="15" hidden="false" customHeight="false" outlineLevel="0" collapsed="false">
      <c r="E946" s="33"/>
      <c r="F946" s="33"/>
    </row>
    <row r="947" customFormat="false" ht="15" hidden="false" customHeight="false" outlineLevel="0" collapsed="false">
      <c r="E947" s="33"/>
      <c r="F947" s="33"/>
    </row>
    <row r="948" customFormat="false" ht="15" hidden="false" customHeight="false" outlineLevel="0" collapsed="false">
      <c r="E948" s="33"/>
      <c r="F948" s="33"/>
    </row>
    <row r="949" customFormat="false" ht="15" hidden="false" customHeight="false" outlineLevel="0" collapsed="false">
      <c r="E949" s="33"/>
      <c r="F949" s="33"/>
    </row>
    <row r="950" customFormat="false" ht="15" hidden="false" customHeight="false" outlineLevel="0" collapsed="false">
      <c r="E950" s="33"/>
      <c r="F950" s="33"/>
    </row>
    <row r="951" customFormat="false" ht="15" hidden="false" customHeight="false" outlineLevel="0" collapsed="false">
      <c r="E951" s="33"/>
      <c r="F951" s="33"/>
    </row>
    <row r="952" customFormat="false" ht="15" hidden="false" customHeight="false" outlineLevel="0" collapsed="false">
      <c r="E952" s="33"/>
      <c r="F952" s="33"/>
    </row>
    <row r="953" customFormat="false" ht="15" hidden="false" customHeight="false" outlineLevel="0" collapsed="false">
      <c r="E953" s="33"/>
      <c r="F953" s="33"/>
    </row>
    <row r="954" customFormat="false" ht="15" hidden="false" customHeight="false" outlineLevel="0" collapsed="false">
      <c r="E954" s="33"/>
      <c r="F954" s="33"/>
    </row>
    <row r="955" customFormat="false" ht="15" hidden="false" customHeight="false" outlineLevel="0" collapsed="false">
      <c r="E955" s="33"/>
      <c r="F955" s="33"/>
    </row>
    <row r="956" customFormat="false" ht="15" hidden="false" customHeight="false" outlineLevel="0" collapsed="false">
      <c r="E956" s="33"/>
      <c r="F956" s="33"/>
    </row>
    <row r="957" customFormat="false" ht="15" hidden="false" customHeight="false" outlineLevel="0" collapsed="false">
      <c r="E957" s="33"/>
      <c r="F957" s="33"/>
    </row>
    <row r="958" customFormat="false" ht="15" hidden="false" customHeight="false" outlineLevel="0" collapsed="false">
      <c r="E958" s="33"/>
      <c r="F958" s="33"/>
    </row>
    <row r="959" customFormat="false" ht="15" hidden="false" customHeight="false" outlineLevel="0" collapsed="false">
      <c r="E959" s="33"/>
      <c r="F959" s="33"/>
    </row>
    <row r="960" customFormat="false" ht="15" hidden="false" customHeight="false" outlineLevel="0" collapsed="false">
      <c r="E960" s="33"/>
      <c r="F960" s="33"/>
    </row>
    <row r="961" customFormat="false" ht="15" hidden="false" customHeight="false" outlineLevel="0" collapsed="false">
      <c r="E961" s="33"/>
      <c r="F961" s="33"/>
    </row>
    <row r="962" customFormat="false" ht="15" hidden="false" customHeight="false" outlineLevel="0" collapsed="false">
      <c r="E962" s="33"/>
      <c r="F962" s="33"/>
    </row>
    <row r="963" customFormat="false" ht="15" hidden="false" customHeight="false" outlineLevel="0" collapsed="false">
      <c r="E963" s="33"/>
      <c r="F963" s="33"/>
    </row>
    <row r="964" customFormat="false" ht="15" hidden="false" customHeight="false" outlineLevel="0" collapsed="false">
      <c r="E964" s="33"/>
      <c r="F964" s="33"/>
    </row>
    <row r="965" customFormat="false" ht="15" hidden="false" customHeight="false" outlineLevel="0" collapsed="false">
      <c r="E965" s="33"/>
      <c r="F965" s="33"/>
    </row>
    <row r="966" customFormat="false" ht="15" hidden="false" customHeight="false" outlineLevel="0" collapsed="false">
      <c r="E966" s="33"/>
      <c r="F966" s="33"/>
    </row>
    <row r="967" customFormat="false" ht="15" hidden="false" customHeight="false" outlineLevel="0" collapsed="false">
      <c r="E967" s="33"/>
      <c r="F967" s="33"/>
    </row>
    <row r="968" customFormat="false" ht="15" hidden="false" customHeight="false" outlineLevel="0" collapsed="false">
      <c r="E968" s="33"/>
      <c r="F968" s="33"/>
    </row>
    <row r="969" customFormat="false" ht="15" hidden="false" customHeight="false" outlineLevel="0" collapsed="false">
      <c r="E969" s="33"/>
      <c r="F969" s="33"/>
    </row>
    <row r="970" customFormat="false" ht="15" hidden="false" customHeight="false" outlineLevel="0" collapsed="false">
      <c r="E970" s="33"/>
      <c r="F970" s="33"/>
    </row>
    <row r="971" customFormat="false" ht="15" hidden="false" customHeight="false" outlineLevel="0" collapsed="false">
      <c r="E971" s="33"/>
      <c r="F971" s="33"/>
    </row>
    <row r="972" customFormat="false" ht="15" hidden="false" customHeight="false" outlineLevel="0" collapsed="false">
      <c r="E972" s="33"/>
      <c r="F972" s="33"/>
    </row>
    <row r="973" customFormat="false" ht="15" hidden="false" customHeight="false" outlineLevel="0" collapsed="false">
      <c r="E973" s="33"/>
      <c r="F973" s="33"/>
    </row>
    <row r="974" customFormat="false" ht="15" hidden="false" customHeight="false" outlineLevel="0" collapsed="false">
      <c r="E974" s="33"/>
      <c r="F974" s="33"/>
    </row>
    <row r="975" customFormat="false" ht="15" hidden="false" customHeight="false" outlineLevel="0" collapsed="false">
      <c r="E975" s="33"/>
      <c r="F975" s="33"/>
    </row>
    <row r="976" customFormat="false" ht="15" hidden="false" customHeight="false" outlineLevel="0" collapsed="false">
      <c r="E976" s="33"/>
      <c r="F976" s="33"/>
    </row>
    <row r="977" customFormat="false" ht="15" hidden="false" customHeight="false" outlineLevel="0" collapsed="false">
      <c r="E977" s="33"/>
      <c r="F977" s="33"/>
    </row>
    <row r="978" customFormat="false" ht="15" hidden="false" customHeight="false" outlineLevel="0" collapsed="false">
      <c r="E978" s="33"/>
      <c r="F978" s="33"/>
    </row>
    <row r="979" customFormat="false" ht="15" hidden="false" customHeight="false" outlineLevel="0" collapsed="false">
      <c r="E979" s="33"/>
      <c r="F979" s="33"/>
    </row>
    <row r="980" customFormat="false" ht="15" hidden="false" customHeight="false" outlineLevel="0" collapsed="false">
      <c r="E980" s="33"/>
      <c r="F980" s="33"/>
    </row>
    <row r="981" customFormat="false" ht="15" hidden="false" customHeight="false" outlineLevel="0" collapsed="false">
      <c r="E981" s="33"/>
      <c r="F981" s="33"/>
    </row>
    <row r="982" customFormat="false" ht="15" hidden="false" customHeight="false" outlineLevel="0" collapsed="false">
      <c r="E982" s="33"/>
      <c r="F982" s="33"/>
    </row>
    <row r="983" customFormat="false" ht="15" hidden="false" customHeight="false" outlineLevel="0" collapsed="false">
      <c r="E983" s="33"/>
      <c r="F983" s="33"/>
    </row>
    <row r="984" customFormat="false" ht="15" hidden="false" customHeight="false" outlineLevel="0" collapsed="false">
      <c r="E984" s="33"/>
      <c r="F984" s="33"/>
    </row>
    <row r="985" customFormat="false" ht="15" hidden="false" customHeight="false" outlineLevel="0" collapsed="false">
      <c r="E985" s="33"/>
      <c r="F985" s="33"/>
    </row>
    <row r="986" customFormat="false" ht="15" hidden="false" customHeight="false" outlineLevel="0" collapsed="false">
      <c r="E986" s="33"/>
      <c r="F986" s="33"/>
    </row>
    <row r="987" customFormat="false" ht="15" hidden="false" customHeight="false" outlineLevel="0" collapsed="false">
      <c r="E987" s="33"/>
      <c r="F987" s="33"/>
    </row>
    <row r="988" customFormat="false" ht="15" hidden="false" customHeight="false" outlineLevel="0" collapsed="false">
      <c r="E988" s="33"/>
      <c r="F988" s="33"/>
    </row>
    <row r="989" customFormat="false" ht="15" hidden="false" customHeight="false" outlineLevel="0" collapsed="false">
      <c r="E989" s="33"/>
      <c r="F989" s="33"/>
    </row>
    <row r="990" customFormat="false" ht="15" hidden="false" customHeight="false" outlineLevel="0" collapsed="false">
      <c r="E990" s="33"/>
      <c r="F990" s="33"/>
    </row>
    <row r="991" customFormat="false" ht="15" hidden="false" customHeight="false" outlineLevel="0" collapsed="false">
      <c r="E991" s="33"/>
      <c r="F991" s="33"/>
    </row>
    <row r="992" customFormat="false" ht="15" hidden="false" customHeight="false" outlineLevel="0" collapsed="false">
      <c r="E992" s="33"/>
      <c r="F992" s="33"/>
    </row>
    <row r="993" customFormat="false" ht="15" hidden="false" customHeight="false" outlineLevel="0" collapsed="false">
      <c r="E993" s="33"/>
      <c r="F993" s="33"/>
    </row>
    <row r="994" customFormat="false" ht="15" hidden="false" customHeight="false" outlineLevel="0" collapsed="false">
      <c r="E994" s="33"/>
      <c r="F994" s="33"/>
    </row>
    <row r="995" customFormat="false" ht="15" hidden="false" customHeight="false" outlineLevel="0" collapsed="false">
      <c r="E995" s="33"/>
      <c r="F995" s="33"/>
    </row>
    <row r="996" customFormat="false" ht="15" hidden="false" customHeight="false" outlineLevel="0" collapsed="false">
      <c r="E996" s="33"/>
      <c r="F996" s="33"/>
    </row>
    <row r="997" customFormat="false" ht="15" hidden="false" customHeight="false" outlineLevel="0" collapsed="false">
      <c r="E997" s="33"/>
      <c r="F997" s="33"/>
    </row>
    <row r="998" customFormat="false" ht="15" hidden="false" customHeight="false" outlineLevel="0" collapsed="false">
      <c r="E998" s="33"/>
      <c r="F998" s="33"/>
    </row>
    <row r="999" customFormat="false" ht="15" hidden="false" customHeight="false" outlineLevel="0" collapsed="false">
      <c r="E999" s="33"/>
      <c r="F999" s="33"/>
    </row>
    <row r="1000" customFormat="false" ht="15" hidden="false" customHeight="false" outlineLevel="0" collapsed="false">
      <c r="E1000" s="33"/>
      <c r="F1000" s="33"/>
    </row>
    <row r="1001" customFormat="false" ht="15" hidden="false" customHeight="false" outlineLevel="0" collapsed="false">
      <c r="E1001" s="33"/>
      <c r="F1001" s="33"/>
    </row>
    <row r="1002" customFormat="false" ht="15" hidden="false" customHeight="false" outlineLevel="0" collapsed="false">
      <c r="E1002" s="33"/>
      <c r="F1002" s="33"/>
    </row>
    <row r="1003" customFormat="false" ht="15" hidden="false" customHeight="false" outlineLevel="0" collapsed="false">
      <c r="E1003" s="33"/>
      <c r="F1003" s="33"/>
    </row>
    <row r="1004" customFormat="false" ht="15" hidden="false" customHeight="false" outlineLevel="0" collapsed="false">
      <c r="E1004" s="33"/>
      <c r="F1004" s="33"/>
    </row>
    <row r="1005" customFormat="false" ht="15" hidden="false" customHeight="false" outlineLevel="0" collapsed="false">
      <c r="E1005" s="33"/>
      <c r="F1005" s="33"/>
    </row>
    <row r="1006" customFormat="false" ht="15" hidden="false" customHeight="false" outlineLevel="0" collapsed="false">
      <c r="E1006" s="33"/>
      <c r="F1006" s="33"/>
    </row>
    <row r="1007" customFormat="false" ht="15" hidden="false" customHeight="false" outlineLevel="0" collapsed="false">
      <c r="E1007" s="33"/>
      <c r="F1007" s="33"/>
    </row>
    <row r="1008" customFormat="false" ht="15" hidden="false" customHeight="false" outlineLevel="0" collapsed="false">
      <c r="E1008" s="33"/>
      <c r="F1008" s="33"/>
    </row>
    <row r="1009" customFormat="false" ht="15" hidden="false" customHeight="false" outlineLevel="0" collapsed="false">
      <c r="E1009" s="33"/>
      <c r="F1009" s="33"/>
    </row>
    <row r="1010" customFormat="false" ht="15" hidden="false" customHeight="false" outlineLevel="0" collapsed="false">
      <c r="E1010" s="33"/>
      <c r="F1010" s="33"/>
    </row>
    <row r="1011" customFormat="false" ht="15" hidden="false" customHeight="false" outlineLevel="0" collapsed="false">
      <c r="E1011" s="33"/>
      <c r="F1011" s="33"/>
    </row>
    <row r="1012" customFormat="false" ht="15" hidden="false" customHeight="false" outlineLevel="0" collapsed="false">
      <c r="E1012" s="33"/>
      <c r="F1012" s="33"/>
    </row>
    <row r="1013" customFormat="false" ht="15" hidden="false" customHeight="false" outlineLevel="0" collapsed="false">
      <c r="E1013" s="33"/>
      <c r="F1013" s="33"/>
    </row>
    <row r="1014" customFormat="false" ht="15" hidden="false" customHeight="false" outlineLevel="0" collapsed="false">
      <c r="E1014" s="33"/>
      <c r="F1014" s="33"/>
    </row>
    <row r="1015" customFormat="false" ht="15" hidden="false" customHeight="false" outlineLevel="0" collapsed="false">
      <c r="E1015" s="33"/>
      <c r="F1015" s="33"/>
    </row>
    <row r="1016" customFormat="false" ht="15" hidden="false" customHeight="false" outlineLevel="0" collapsed="false">
      <c r="E1016" s="33"/>
      <c r="F1016" s="33"/>
    </row>
    <row r="1017" customFormat="false" ht="15" hidden="false" customHeight="false" outlineLevel="0" collapsed="false">
      <c r="E1017" s="33"/>
      <c r="F1017" s="33"/>
    </row>
    <row r="1018" customFormat="false" ht="15" hidden="false" customHeight="false" outlineLevel="0" collapsed="false">
      <c r="E1018" s="33"/>
      <c r="F1018" s="33"/>
    </row>
    <row r="1019" customFormat="false" ht="15" hidden="false" customHeight="false" outlineLevel="0" collapsed="false">
      <c r="E1019" s="33"/>
      <c r="F1019" s="33"/>
    </row>
    <row r="1020" customFormat="false" ht="15" hidden="false" customHeight="false" outlineLevel="0" collapsed="false">
      <c r="E1020" s="33"/>
      <c r="F1020" s="33"/>
    </row>
    <row r="1021" customFormat="false" ht="15" hidden="false" customHeight="false" outlineLevel="0" collapsed="false">
      <c r="E1021" s="33"/>
      <c r="F1021" s="33"/>
    </row>
    <row r="1022" customFormat="false" ht="15" hidden="false" customHeight="false" outlineLevel="0" collapsed="false">
      <c r="E1022" s="33"/>
      <c r="F1022" s="33"/>
    </row>
    <row r="1023" customFormat="false" ht="15" hidden="false" customHeight="false" outlineLevel="0" collapsed="false">
      <c r="E1023" s="33"/>
      <c r="F1023" s="33"/>
    </row>
    <row r="1024" customFormat="false" ht="15" hidden="false" customHeight="false" outlineLevel="0" collapsed="false">
      <c r="E1024" s="33"/>
      <c r="F1024" s="33"/>
    </row>
    <row r="1025" customFormat="false" ht="15" hidden="false" customHeight="false" outlineLevel="0" collapsed="false">
      <c r="E1025" s="33"/>
      <c r="F1025" s="33"/>
    </row>
    <row r="1026" customFormat="false" ht="15" hidden="false" customHeight="false" outlineLevel="0" collapsed="false">
      <c r="E1026" s="33"/>
      <c r="F1026" s="33"/>
    </row>
    <row r="1027" customFormat="false" ht="15" hidden="false" customHeight="false" outlineLevel="0" collapsed="false">
      <c r="E1027" s="33"/>
      <c r="F1027" s="33"/>
    </row>
    <row r="1028" customFormat="false" ht="15" hidden="false" customHeight="false" outlineLevel="0" collapsed="false">
      <c r="E1028" s="33"/>
      <c r="F1028" s="33"/>
    </row>
    <row r="1029" customFormat="false" ht="15" hidden="false" customHeight="false" outlineLevel="0" collapsed="false">
      <c r="E1029" s="33"/>
      <c r="F1029" s="33"/>
    </row>
    <row r="1030" customFormat="false" ht="15" hidden="false" customHeight="false" outlineLevel="0" collapsed="false">
      <c r="E1030" s="33"/>
      <c r="F1030" s="33"/>
    </row>
    <row r="1031" customFormat="false" ht="15" hidden="false" customHeight="false" outlineLevel="0" collapsed="false">
      <c r="E1031" s="33"/>
      <c r="F1031" s="33"/>
    </row>
    <row r="1032" customFormat="false" ht="15" hidden="false" customHeight="false" outlineLevel="0" collapsed="false">
      <c r="E1032" s="33"/>
      <c r="F1032" s="33"/>
    </row>
    <row r="1033" customFormat="false" ht="15" hidden="false" customHeight="false" outlineLevel="0" collapsed="false">
      <c r="E1033" s="33"/>
      <c r="F1033" s="33"/>
    </row>
    <row r="1034" customFormat="false" ht="15" hidden="false" customHeight="false" outlineLevel="0" collapsed="false">
      <c r="E1034" s="33"/>
      <c r="F1034" s="33"/>
    </row>
    <row r="1035" customFormat="false" ht="15" hidden="false" customHeight="false" outlineLevel="0" collapsed="false">
      <c r="E1035" s="33"/>
      <c r="F1035" s="33"/>
    </row>
    <row r="1036" customFormat="false" ht="15" hidden="false" customHeight="false" outlineLevel="0" collapsed="false">
      <c r="E1036" s="33"/>
      <c r="F1036" s="33"/>
    </row>
    <row r="1037" customFormat="false" ht="15" hidden="false" customHeight="false" outlineLevel="0" collapsed="false">
      <c r="E1037" s="33"/>
      <c r="F1037" s="33"/>
    </row>
    <row r="1038" customFormat="false" ht="15" hidden="false" customHeight="false" outlineLevel="0" collapsed="false">
      <c r="E1038" s="33"/>
      <c r="F1038" s="33"/>
    </row>
    <row r="1039" customFormat="false" ht="15" hidden="false" customHeight="false" outlineLevel="0" collapsed="false">
      <c r="E1039" s="33"/>
      <c r="F1039" s="33"/>
    </row>
    <row r="1040" customFormat="false" ht="15" hidden="false" customHeight="false" outlineLevel="0" collapsed="false">
      <c r="E1040" s="33"/>
      <c r="F1040" s="33"/>
    </row>
    <row r="1041" customFormat="false" ht="15" hidden="false" customHeight="false" outlineLevel="0" collapsed="false">
      <c r="E1041" s="33"/>
      <c r="F1041" s="33"/>
    </row>
    <row r="1042" customFormat="false" ht="15" hidden="false" customHeight="false" outlineLevel="0" collapsed="false">
      <c r="E1042" s="33"/>
      <c r="F1042" s="33"/>
    </row>
    <row r="1043" customFormat="false" ht="15" hidden="false" customHeight="false" outlineLevel="0" collapsed="false">
      <c r="E1043" s="33"/>
      <c r="F1043" s="33"/>
    </row>
    <row r="1044" customFormat="false" ht="15" hidden="false" customHeight="false" outlineLevel="0" collapsed="false">
      <c r="E1044" s="33"/>
      <c r="F1044" s="33"/>
    </row>
    <row r="1045" customFormat="false" ht="15" hidden="false" customHeight="false" outlineLevel="0" collapsed="false">
      <c r="E1045" s="33"/>
      <c r="F1045" s="33"/>
    </row>
    <row r="1046" customFormat="false" ht="15" hidden="false" customHeight="false" outlineLevel="0" collapsed="false">
      <c r="E1046" s="33"/>
      <c r="F1046" s="33"/>
    </row>
    <row r="1047" customFormat="false" ht="15" hidden="false" customHeight="false" outlineLevel="0" collapsed="false">
      <c r="E1047" s="33"/>
      <c r="F1047" s="33"/>
    </row>
    <row r="1048" customFormat="false" ht="15" hidden="false" customHeight="false" outlineLevel="0" collapsed="false">
      <c r="E1048" s="33"/>
      <c r="F1048" s="33"/>
    </row>
    <row r="1049" customFormat="false" ht="15" hidden="false" customHeight="false" outlineLevel="0" collapsed="false">
      <c r="E1049" s="33"/>
      <c r="F1049" s="33"/>
    </row>
    <row r="1050" customFormat="false" ht="15" hidden="false" customHeight="false" outlineLevel="0" collapsed="false">
      <c r="E1050" s="33"/>
      <c r="F1050" s="33"/>
    </row>
    <row r="1051" customFormat="false" ht="15" hidden="false" customHeight="false" outlineLevel="0" collapsed="false">
      <c r="E1051" s="33"/>
      <c r="F1051" s="33"/>
    </row>
    <row r="1052" customFormat="false" ht="15" hidden="false" customHeight="false" outlineLevel="0" collapsed="false">
      <c r="E1052" s="33"/>
      <c r="F1052" s="33"/>
    </row>
    <row r="1053" customFormat="false" ht="15" hidden="false" customHeight="false" outlineLevel="0" collapsed="false">
      <c r="E1053" s="33"/>
      <c r="F1053" s="33"/>
    </row>
    <row r="1054" customFormat="false" ht="15" hidden="false" customHeight="false" outlineLevel="0" collapsed="false">
      <c r="E1054" s="33"/>
      <c r="F1054" s="33"/>
    </row>
    <row r="1055" customFormat="false" ht="15" hidden="false" customHeight="false" outlineLevel="0" collapsed="false">
      <c r="E1055" s="33"/>
      <c r="F1055" s="33"/>
    </row>
    <row r="1056" customFormat="false" ht="15" hidden="false" customHeight="false" outlineLevel="0" collapsed="false">
      <c r="E1056" s="33"/>
      <c r="F1056" s="33"/>
    </row>
    <row r="1057" customFormat="false" ht="15" hidden="false" customHeight="false" outlineLevel="0" collapsed="false">
      <c r="E1057" s="33"/>
      <c r="F1057" s="33"/>
    </row>
    <row r="1058" customFormat="false" ht="15" hidden="false" customHeight="false" outlineLevel="0" collapsed="false">
      <c r="E1058" s="33"/>
      <c r="F1058" s="33"/>
    </row>
    <row r="1059" customFormat="false" ht="15" hidden="false" customHeight="false" outlineLevel="0" collapsed="false">
      <c r="E1059" s="33"/>
      <c r="F1059" s="33"/>
    </row>
    <row r="1060" customFormat="false" ht="15" hidden="false" customHeight="false" outlineLevel="0" collapsed="false">
      <c r="E1060" s="33"/>
      <c r="F1060" s="33"/>
    </row>
    <row r="1061" customFormat="false" ht="15" hidden="false" customHeight="false" outlineLevel="0" collapsed="false">
      <c r="E1061" s="33"/>
      <c r="F1061" s="33"/>
    </row>
    <row r="1062" customFormat="false" ht="15" hidden="false" customHeight="false" outlineLevel="0" collapsed="false">
      <c r="E1062" s="33"/>
      <c r="F1062" s="33"/>
    </row>
    <row r="1063" customFormat="false" ht="15" hidden="false" customHeight="false" outlineLevel="0" collapsed="false">
      <c r="E1063" s="33"/>
      <c r="F1063" s="33"/>
    </row>
    <row r="1064" customFormat="false" ht="15" hidden="false" customHeight="false" outlineLevel="0" collapsed="false">
      <c r="E1064" s="33"/>
      <c r="F1064" s="33"/>
    </row>
    <row r="1065" customFormat="false" ht="15" hidden="false" customHeight="false" outlineLevel="0" collapsed="false">
      <c r="E1065" s="33"/>
      <c r="F1065" s="33"/>
    </row>
    <row r="1066" customFormat="false" ht="15" hidden="false" customHeight="false" outlineLevel="0" collapsed="false">
      <c r="E1066" s="33"/>
      <c r="F1066" s="33"/>
    </row>
    <row r="1067" customFormat="false" ht="15" hidden="false" customHeight="false" outlineLevel="0" collapsed="false">
      <c r="E1067" s="33"/>
      <c r="F1067" s="33"/>
    </row>
    <row r="1068" customFormat="false" ht="15" hidden="false" customHeight="false" outlineLevel="0" collapsed="false">
      <c r="E1068" s="33"/>
      <c r="F1068" s="33"/>
    </row>
    <row r="1069" customFormat="false" ht="15" hidden="false" customHeight="false" outlineLevel="0" collapsed="false">
      <c r="E1069" s="33"/>
      <c r="F1069" s="33"/>
    </row>
    <row r="1070" customFormat="false" ht="15" hidden="false" customHeight="false" outlineLevel="0" collapsed="false">
      <c r="E1070" s="33"/>
      <c r="F1070" s="33"/>
    </row>
    <row r="1071" customFormat="false" ht="15" hidden="false" customHeight="false" outlineLevel="0" collapsed="false">
      <c r="E1071" s="33"/>
      <c r="F1071" s="33"/>
    </row>
    <row r="1072" customFormat="false" ht="15" hidden="false" customHeight="false" outlineLevel="0" collapsed="false">
      <c r="E1072" s="33"/>
      <c r="F1072" s="33"/>
    </row>
  </sheetData>
  <mergeCells count="1">
    <mergeCell ref="A1:J1"/>
  </mergeCells>
  <dataValidations count="4">
    <dataValidation allowBlank="true" errorStyle="stop" operator="between" showDropDown="false" showErrorMessage="true" showInputMessage="true" sqref="E3:F1072" type="list">
      <formula1>"Yes,No"</formula1>
      <formula2>0</formula2>
    </dataValidation>
    <dataValidation allowBlank="true" errorStyle="stop" operator="between" showDropDown="false" showErrorMessage="true" showInputMessage="true" sqref="B3:B1072" type="list">
      <formula1>"Male,Female"</formula1>
      <formula2>0</formula2>
    </dataValidation>
    <dataValidation allowBlank="true" errorStyle="stop" operator="between" showDropDown="false" showErrorMessage="true" showInputMessage="true" sqref="C3:C1072" type="list">
      <formula1>"African,Coloured,Indian,White"</formula1>
      <formula2>0</formula2>
    </dataValidation>
    <dataValidation allowBlank="true" errorStyle="stop" operator="between" showDropDown="false" showErrorMessage="true" showInputMessage="true" sqref="D3:D1072" type="list">
      <formula1>"Executive Director,Non-executive Director,Other Executive Manager,Senior Manager,Middle Manager,Junior Manager,Semi-skilled,Unskilled"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I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6" activeCellId="0" sqref="C26"/>
    </sheetView>
  </sheetViews>
  <sheetFormatPr defaultColWidth="9.859375" defaultRowHeight="12.75" zeroHeight="false" outlineLevelRow="0" outlineLevelCol="0"/>
  <cols>
    <col collapsed="false" customWidth="true" hidden="false" outlineLevel="0" max="1" min="1" style="35" width="16"/>
    <col collapsed="false" customWidth="false" hidden="false" outlineLevel="0" max="4" min="2" style="35" width="9.86"/>
    <col collapsed="false" customWidth="true" hidden="false" outlineLevel="0" max="5" min="5" style="35" width="13.86"/>
    <col collapsed="false" customWidth="true" hidden="false" outlineLevel="0" max="6" min="6" style="35" width="16.71"/>
    <col collapsed="false" customWidth="true" hidden="false" outlineLevel="0" max="7" min="7" style="36" width="13.29"/>
    <col collapsed="false" customWidth="false" hidden="false" outlineLevel="0" max="12" min="8" style="35" width="9.86"/>
    <col collapsed="false" customWidth="true" hidden="false" outlineLevel="0" max="13" min="13" style="35" width="11"/>
    <col collapsed="false" customWidth="true" hidden="false" outlineLevel="0" max="14" min="14" style="35" width="11.57"/>
    <col collapsed="false" customWidth="true" hidden="false" outlineLevel="0" max="15" min="15" style="35" width="10.71"/>
    <col collapsed="false" customWidth="false" hidden="false" outlineLevel="0" max="17" min="16" style="35" width="9.86"/>
    <col collapsed="false" customWidth="true" hidden="false" outlineLevel="0" max="18" min="18" style="35" width="15"/>
    <col collapsed="false" customWidth="false" hidden="false" outlineLevel="0" max="20" min="19" style="35" width="9.86"/>
    <col collapsed="false" customWidth="true" hidden="false" outlineLevel="0" max="21" min="21" style="35" width="11.85"/>
    <col collapsed="false" customWidth="true" hidden="false" outlineLevel="0" max="22" min="22" style="35" width="11"/>
    <col collapsed="false" customWidth="false" hidden="false" outlineLevel="0" max="28" min="23" style="35" width="9.86"/>
    <col collapsed="false" customWidth="true" hidden="false" outlineLevel="0" max="29" min="29" style="35" width="11.29"/>
    <col collapsed="false" customWidth="true" hidden="false" outlineLevel="0" max="30" min="30" style="35" width="12.57"/>
    <col collapsed="false" customWidth="false" hidden="false" outlineLevel="0" max="16384" min="31" style="35" width="9.86"/>
  </cols>
  <sheetData>
    <row r="1" s="38" customFormat="true" ht="18" hidden="false" customHeight="true" outlineLevel="0" collapsed="false">
      <c r="A1" s="37" t="s">
        <v>385</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MI1" s="35"/>
    </row>
    <row r="2" s="45" customFormat="true" ht="75" hidden="false" customHeight="true" outlineLevel="0" collapsed="false">
      <c r="A2" s="39" t="s">
        <v>386</v>
      </c>
      <c r="B2" s="39" t="s">
        <v>387</v>
      </c>
      <c r="C2" s="40" t="s">
        <v>388</v>
      </c>
      <c r="D2" s="40" t="s">
        <v>389</v>
      </c>
      <c r="E2" s="40" t="s">
        <v>390</v>
      </c>
      <c r="F2" s="39" t="s">
        <v>391</v>
      </c>
      <c r="G2" s="41" t="s">
        <v>93</v>
      </c>
      <c r="H2" s="39" t="s">
        <v>88</v>
      </c>
      <c r="I2" s="42" t="s">
        <v>89</v>
      </c>
      <c r="J2" s="43" t="s">
        <v>91</v>
      </c>
      <c r="K2" s="43" t="s">
        <v>92</v>
      </c>
      <c r="L2" s="40" t="s">
        <v>392</v>
      </c>
      <c r="M2" s="40" t="s">
        <v>393</v>
      </c>
      <c r="N2" s="40" t="s">
        <v>394</v>
      </c>
      <c r="O2" s="40" t="s">
        <v>395</v>
      </c>
      <c r="P2" s="43" t="s">
        <v>396</v>
      </c>
      <c r="Q2" s="40" t="s">
        <v>397</v>
      </c>
      <c r="R2" s="40" t="s">
        <v>398</v>
      </c>
      <c r="S2" s="40" t="s">
        <v>399</v>
      </c>
      <c r="T2" s="40" t="s">
        <v>400</v>
      </c>
      <c r="U2" s="40" t="s">
        <v>401</v>
      </c>
      <c r="V2" s="40" t="s">
        <v>402</v>
      </c>
      <c r="W2" s="40" t="s">
        <v>403</v>
      </c>
      <c r="X2" s="40" t="s">
        <v>404</v>
      </c>
      <c r="Y2" s="40" t="s">
        <v>405</v>
      </c>
      <c r="Z2" s="40" t="s">
        <v>406</v>
      </c>
      <c r="AA2" s="44" t="s">
        <v>407</v>
      </c>
      <c r="AB2" s="44" t="s">
        <v>408</v>
      </c>
      <c r="AC2" s="44" t="s">
        <v>409</v>
      </c>
      <c r="AD2" s="44" t="s">
        <v>95</v>
      </c>
      <c r="AMI2" s="35"/>
    </row>
    <row r="3" customFormat="false" ht="12.75" hidden="false" customHeight="false" outlineLevel="0" collapsed="false">
      <c r="A3" s="35" t="s">
        <v>410</v>
      </c>
      <c r="B3" s="35" t="s">
        <v>411</v>
      </c>
      <c r="C3" s="35" t="s">
        <v>412</v>
      </c>
      <c r="D3" s="35" t="s">
        <v>413</v>
      </c>
      <c r="E3" s="35" t="s">
        <v>414</v>
      </c>
      <c r="F3" s="35" t="s">
        <v>415</v>
      </c>
      <c r="G3" s="36" t="s">
        <v>416</v>
      </c>
      <c r="H3" s="35" t="s">
        <v>73</v>
      </c>
      <c r="I3" s="35" t="s">
        <v>72</v>
      </c>
      <c r="J3" s="35" t="s">
        <v>74</v>
      </c>
      <c r="K3" s="35" t="s">
        <v>75</v>
      </c>
      <c r="L3" s="35" t="n">
        <v>55</v>
      </c>
      <c r="M3" s="35" t="s">
        <v>74</v>
      </c>
      <c r="N3" s="35" t="s">
        <v>74</v>
      </c>
      <c r="O3" s="35" t="s">
        <v>75</v>
      </c>
      <c r="P3" s="35" t="n">
        <v>41961</v>
      </c>
      <c r="Q3" s="35" t="n">
        <v>1678</v>
      </c>
      <c r="R3" s="35" t="n">
        <v>0</v>
      </c>
      <c r="S3" s="35" t="n">
        <v>1259</v>
      </c>
      <c r="T3" s="35" t="n">
        <v>839</v>
      </c>
      <c r="U3" s="35" t="n">
        <v>2518</v>
      </c>
      <c r="V3" s="35" t="n">
        <v>10490</v>
      </c>
      <c r="W3" s="35" t="n">
        <v>0</v>
      </c>
      <c r="X3" s="35" t="s">
        <v>417</v>
      </c>
      <c r="Y3" s="35" t="s">
        <v>418</v>
      </c>
      <c r="AA3" s="35" t="n">
        <v>320</v>
      </c>
      <c r="AB3" s="35" t="s">
        <v>413</v>
      </c>
      <c r="AC3" s="35" t="s">
        <v>419</v>
      </c>
      <c r="AD3" s="35" t="s">
        <v>161</v>
      </c>
    </row>
    <row r="4" customFormat="false" ht="12.75" hidden="false" customHeight="false" outlineLevel="0" collapsed="false">
      <c r="A4" s="35" t="s">
        <v>410</v>
      </c>
      <c r="B4" s="35" t="s">
        <v>411</v>
      </c>
      <c r="C4" s="35" t="s">
        <v>412</v>
      </c>
      <c r="D4" s="35" t="s">
        <v>420</v>
      </c>
      <c r="E4" s="35" t="s">
        <v>421</v>
      </c>
      <c r="F4" s="35" t="s">
        <v>146</v>
      </c>
      <c r="G4" s="36" t="s">
        <v>422</v>
      </c>
      <c r="H4" s="35" t="s">
        <v>78</v>
      </c>
      <c r="I4" s="35" t="s">
        <v>107</v>
      </c>
      <c r="J4" s="35" t="s">
        <v>75</v>
      </c>
      <c r="K4" s="35" t="s">
        <v>75</v>
      </c>
      <c r="L4" s="35" t="n">
        <v>58</v>
      </c>
      <c r="M4" s="35" t="s">
        <v>74</v>
      </c>
      <c r="N4" s="35" t="s">
        <v>74</v>
      </c>
      <c r="O4" s="35" t="s">
        <v>75</v>
      </c>
      <c r="P4" s="35" t="n">
        <v>43117</v>
      </c>
      <c r="Q4" s="35" t="n">
        <v>1725</v>
      </c>
      <c r="R4" s="35" t="n">
        <v>0</v>
      </c>
      <c r="S4" s="35" t="n">
        <v>1294</v>
      </c>
      <c r="T4" s="35" t="n">
        <v>862</v>
      </c>
      <c r="U4" s="35" t="n">
        <v>2587</v>
      </c>
      <c r="V4" s="35" t="n">
        <v>10779</v>
      </c>
      <c r="W4" s="35" t="n">
        <v>0</v>
      </c>
      <c r="X4" s="35" t="s">
        <v>417</v>
      </c>
      <c r="Y4" s="35" t="s">
        <v>418</v>
      </c>
      <c r="AA4" s="35" t="n">
        <v>960</v>
      </c>
      <c r="AB4" s="35" t="s">
        <v>420</v>
      </c>
      <c r="AC4" s="35" t="s">
        <v>419</v>
      </c>
      <c r="AD4" s="35" t="s">
        <v>166</v>
      </c>
    </row>
    <row r="5" customFormat="false" ht="12.75" hidden="false" customHeight="false" outlineLevel="0" collapsed="false">
      <c r="A5" s="35" t="s">
        <v>423</v>
      </c>
      <c r="B5" s="35" t="s">
        <v>424</v>
      </c>
      <c r="C5" s="35" t="s">
        <v>412</v>
      </c>
      <c r="D5" s="35" t="s">
        <v>420</v>
      </c>
      <c r="E5" s="35" t="s">
        <v>421</v>
      </c>
      <c r="F5" s="35" t="s">
        <v>425</v>
      </c>
      <c r="G5" s="36" t="s">
        <v>426</v>
      </c>
      <c r="H5" s="35" t="s">
        <v>78</v>
      </c>
      <c r="I5" s="35" t="s">
        <v>81</v>
      </c>
      <c r="J5" s="35" t="s">
        <v>75</v>
      </c>
      <c r="K5" s="35" t="s">
        <v>75</v>
      </c>
      <c r="L5" s="35" t="n">
        <v>54</v>
      </c>
      <c r="M5" s="35" t="s">
        <v>74</v>
      </c>
      <c r="N5" s="35" t="s">
        <v>74</v>
      </c>
      <c r="O5" s="35" t="s">
        <v>75</v>
      </c>
      <c r="P5" s="35" t="n">
        <v>25745</v>
      </c>
      <c r="Q5" s="35" t="n">
        <v>1030</v>
      </c>
      <c r="R5" s="35" t="n">
        <v>0</v>
      </c>
      <c r="S5" s="35" t="n">
        <v>772</v>
      </c>
      <c r="T5" s="35" t="n">
        <v>515</v>
      </c>
      <c r="U5" s="35" t="n">
        <v>0</v>
      </c>
      <c r="V5" s="35" t="n">
        <v>0</v>
      </c>
      <c r="W5" s="35" t="n">
        <v>0</v>
      </c>
      <c r="X5" s="35" t="s">
        <v>417</v>
      </c>
      <c r="Y5" s="35" t="s">
        <v>418</v>
      </c>
      <c r="AA5" s="35" t="n">
        <v>0</v>
      </c>
      <c r="AB5" s="35" t="s">
        <v>420</v>
      </c>
      <c r="AC5" s="35" t="s">
        <v>419</v>
      </c>
    </row>
    <row r="6" customFormat="false" ht="12.75" hidden="false" customHeight="false" outlineLevel="0" collapsed="false">
      <c r="A6" s="35" t="s">
        <v>427</v>
      </c>
      <c r="B6" s="35" t="s">
        <v>428</v>
      </c>
      <c r="C6" s="35" t="s">
        <v>412</v>
      </c>
      <c r="D6" s="35" t="s">
        <v>429</v>
      </c>
      <c r="E6" s="35" t="s">
        <v>430</v>
      </c>
      <c r="F6" s="35" t="s">
        <v>431</v>
      </c>
      <c r="G6" s="36" t="s">
        <v>432</v>
      </c>
      <c r="H6" s="35" t="s">
        <v>78</v>
      </c>
      <c r="I6" s="35" t="s">
        <v>72</v>
      </c>
      <c r="J6" s="35" t="s">
        <v>75</v>
      </c>
      <c r="K6" s="35" t="s">
        <v>75</v>
      </c>
      <c r="L6" s="35" t="n">
        <v>31</v>
      </c>
      <c r="M6" s="35" t="s">
        <v>74</v>
      </c>
      <c r="N6" s="35" t="s">
        <v>74</v>
      </c>
      <c r="O6" s="35" t="s">
        <v>75</v>
      </c>
      <c r="P6" s="35" t="n">
        <v>51442</v>
      </c>
      <c r="Q6" s="35" t="n">
        <v>2058</v>
      </c>
      <c r="R6" s="35" t="n">
        <v>2572</v>
      </c>
      <c r="S6" s="35" t="n">
        <v>1543</v>
      </c>
      <c r="T6" s="35" t="n">
        <v>1029</v>
      </c>
      <c r="U6" s="35" t="n">
        <v>3087</v>
      </c>
      <c r="V6" s="35" t="n">
        <v>12860</v>
      </c>
      <c r="W6" s="35" t="n">
        <v>0</v>
      </c>
      <c r="X6" s="35" t="s">
        <v>417</v>
      </c>
      <c r="Y6" s="35" t="s">
        <v>418</v>
      </c>
      <c r="AA6" s="35" t="n">
        <v>640</v>
      </c>
      <c r="AB6" s="35" t="s">
        <v>429</v>
      </c>
      <c r="AC6" s="35" t="s">
        <v>419</v>
      </c>
      <c r="AD6" s="35" t="s">
        <v>375</v>
      </c>
    </row>
    <row r="7" customFormat="false" ht="12.75" hidden="false" customHeight="false" outlineLevel="0" collapsed="false">
      <c r="A7" s="35" t="s">
        <v>433</v>
      </c>
      <c r="B7" s="35" t="s">
        <v>434</v>
      </c>
      <c r="C7" s="35" t="s">
        <v>412</v>
      </c>
      <c r="D7" s="35" t="s">
        <v>435</v>
      </c>
      <c r="E7" s="35" t="s">
        <v>436</v>
      </c>
      <c r="F7" s="35" t="s">
        <v>437</v>
      </c>
      <c r="G7" s="36" t="s">
        <v>438</v>
      </c>
      <c r="H7" s="35" t="s">
        <v>78</v>
      </c>
      <c r="I7" s="35" t="s">
        <v>164</v>
      </c>
      <c r="J7" s="35" t="s">
        <v>75</v>
      </c>
      <c r="K7" s="35" t="s">
        <v>75</v>
      </c>
      <c r="L7" s="35" t="n">
        <v>26</v>
      </c>
      <c r="M7" s="35" t="s">
        <v>74</v>
      </c>
      <c r="N7" s="35" t="s">
        <v>74</v>
      </c>
      <c r="O7" s="35" t="s">
        <v>75</v>
      </c>
      <c r="P7" s="35" t="n">
        <v>53508</v>
      </c>
      <c r="Q7" s="35" t="n">
        <v>2140</v>
      </c>
      <c r="R7" s="35" t="n">
        <v>0</v>
      </c>
      <c r="S7" s="35" t="n">
        <v>1605</v>
      </c>
      <c r="T7" s="35" t="n">
        <v>1070</v>
      </c>
      <c r="U7" s="35" t="n">
        <v>0</v>
      </c>
      <c r="V7" s="35" t="n">
        <v>0</v>
      </c>
      <c r="W7" s="35" t="n">
        <v>0</v>
      </c>
      <c r="X7" s="35" t="s">
        <v>417</v>
      </c>
      <c r="Y7" s="35" t="s">
        <v>418</v>
      </c>
      <c r="AA7" s="35" t="n">
        <v>0</v>
      </c>
      <c r="AB7" s="35" t="s">
        <v>435</v>
      </c>
      <c r="AC7" s="35" t="s">
        <v>419</v>
      </c>
      <c r="AD7" s="35" t="s">
        <v>251</v>
      </c>
    </row>
    <row r="8" customFormat="false" ht="12.75" hidden="false" customHeight="false" outlineLevel="0" collapsed="false">
      <c r="A8" s="35" t="s">
        <v>427</v>
      </c>
      <c r="B8" s="35" t="s">
        <v>428</v>
      </c>
      <c r="C8" s="35" t="s">
        <v>412</v>
      </c>
      <c r="D8" s="35" t="s">
        <v>439</v>
      </c>
      <c r="E8" s="35" t="s">
        <v>440</v>
      </c>
      <c r="F8" s="35" t="s">
        <v>441</v>
      </c>
      <c r="G8" s="36" t="s">
        <v>442</v>
      </c>
      <c r="H8" s="35" t="s">
        <v>73</v>
      </c>
      <c r="I8" s="35" t="s">
        <v>72</v>
      </c>
      <c r="J8" s="35" t="s">
        <v>75</v>
      </c>
      <c r="K8" s="35" t="s">
        <v>75</v>
      </c>
      <c r="L8" s="35" t="n">
        <v>27</v>
      </c>
      <c r="M8" s="35" t="s">
        <v>74</v>
      </c>
      <c r="N8" s="35" t="s">
        <v>74</v>
      </c>
      <c r="O8" s="35" t="s">
        <v>75</v>
      </c>
      <c r="P8" s="35" t="n">
        <v>59447</v>
      </c>
      <c r="Q8" s="35" t="n">
        <v>2378</v>
      </c>
      <c r="R8" s="35" t="n">
        <v>2972</v>
      </c>
      <c r="S8" s="35" t="n">
        <v>1783</v>
      </c>
      <c r="T8" s="35" t="n">
        <v>1189</v>
      </c>
      <c r="U8" s="35" t="n">
        <v>3567</v>
      </c>
      <c r="V8" s="35" t="n">
        <v>14862</v>
      </c>
      <c r="W8" s="35" t="n">
        <v>0</v>
      </c>
      <c r="X8" s="35" t="s">
        <v>417</v>
      </c>
      <c r="Y8" s="35" t="s">
        <v>418</v>
      </c>
      <c r="AA8" s="35" t="n">
        <v>320</v>
      </c>
      <c r="AB8" s="35" t="s">
        <v>439</v>
      </c>
      <c r="AC8" s="35" t="s">
        <v>419</v>
      </c>
      <c r="AD8" s="35" t="s">
        <v>272</v>
      </c>
    </row>
    <row r="9" customFormat="false" ht="12.75" hidden="false" customHeight="false" outlineLevel="0" collapsed="false">
      <c r="A9" s="35" t="s">
        <v>410</v>
      </c>
      <c r="B9" s="35" t="s">
        <v>411</v>
      </c>
      <c r="C9" s="35" t="s">
        <v>412</v>
      </c>
      <c r="D9" s="35" t="s">
        <v>443</v>
      </c>
      <c r="E9" s="35" t="s">
        <v>444</v>
      </c>
      <c r="F9" s="35" t="s">
        <v>445</v>
      </c>
      <c r="G9" s="36" t="s">
        <v>446</v>
      </c>
      <c r="H9" s="35" t="s">
        <v>73</v>
      </c>
      <c r="I9" s="35" t="s">
        <v>72</v>
      </c>
      <c r="J9" s="35" t="s">
        <v>74</v>
      </c>
      <c r="K9" s="35" t="s">
        <v>75</v>
      </c>
      <c r="L9" s="35" t="n">
        <v>28</v>
      </c>
      <c r="M9" s="35" t="s">
        <v>74</v>
      </c>
      <c r="N9" s="35" t="s">
        <v>74</v>
      </c>
      <c r="O9" s="35" t="s">
        <v>75</v>
      </c>
      <c r="P9" s="35" t="n">
        <v>45456</v>
      </c>
      <c r="Q9" s="35" t="n">
        <v>1818</v>
      </c>
      <c r="R9" s="35" t="n">
        <v>0</v>
      </c>
      <c r="S9" s="35" t="n">
        <v>1364</v>
      </c>
      <c r="T9" s="35" t="n">
        <v>909</v>
      </c>
      <c r="U9" s="35" t="n">
        <v>2727</v>
      </c>
      <c r="V9" s="35" t="n">
        <v>11364</v>
      </c>
      <c r="W9" s="35" t="n">
        <v>0</v>
      </c>
      <c r="X9" s="35" t="s">
        <v>417</v>
      </c>
      <c r="Y9" s="35" t="s">
        <v>418</v>
      </c>
      <c r="AA9" s="35" t="n">
        <v>320</v>
      </c>
      <c r="AB9" s="35" t="s">
        <v>443</v>
      </c>
      <c r="AC9" s="35" t="s">
        <v>419</v>
      </c>
      <c r="AD9" s="35" t="s">
        <v>268</v>
      </c>
    </row>
    <row r="10" customFormat="false" ht="12.75" hidden="false" customHeight="false" outlineLevel="0" collapsed="false">
      <c r="A10" s="35" t="s">
        <v>447</v>
      </c>
      <c r="B10" s="35" t="s">
        <v>448</v>
      </c>
      <c r="C10" s="35" t="s">
        <v>412</v>
      </c>
      <c r="D10" s="35" t="s">
        <v>449</v>
      </c>
      <c r="E10" s="35" t="s">
        <v>450</v>
      </c>
      <c r="F10" s="35" t="s">
        <v>451</v>
      </c>
      <c r="G10" s="36" t="s">
        <v>452</v>
      </c>
      <c r="H10" s="35" t="s">
        <v>78</v>
      </c>
      <c r="I10" s="35" t="s">
        <v>72</v>
      </c>
      <c r="J10" s="35" t="s">
        <v>75</v>
      </c>
      <c r="K10" s="35" t="s">
        <v>75</v>
      </c>
      <c r="L10" s="35" t="n">
        <v>56</v>
      </c>
      <c r="M10" s="35" t="s">
        <v>74</v>
      </c>
      <c r="N10" s="35" t="s">
        <v>74</v>
      </c>
      <c r="O10" s="35" t="s">
        <v>75</v>
      </c>
      <c r="P10" s="35" t="n">
        <v>56549</v>
      </c>
      <c r="Q10" s="35" t="n">
        <v>2262</v>
      </c>
      <c r="R10" s="35" t="n">
        <v>2827</v>
      </c>
      <c r="S10" s="35" t="n">
        <v>1696</v>
      </c>
      <c r="T10" s="35" t="n">
        <v>1131</v>
      </c>
      <c r="U10" s="35" t="n">
        <v>3393</v>
      </c>
      <c r="V10" s="35" t="n">
        <v>14137</v>
      </c>
      <c r="W10" s="35" t="n">
        <v>0</v>
      </c>
      <c r="X10" s="35" t="s">
        <v>417</v>
      </c>
      <c r="Y10" s="35" t="s">
        <v>418</v>
      </c>
      <c r="AA10" s="35" t="n">
        <v>480</v>
      </c>
      <c r="AB10" s="35" t="s">
        <v>449</v>
      </c>
      <c r="AC10" s="35" t="s">
        <v>419</v>
      </c>
      <c r="AD10" s="35" t="s">
        <v>123</v>
      </c>
    </row>
    <row r="11" customFormat="false" ht="12.75" hidden="false" customHeight="false" outlineLevel="0" collapsed="false">
      <c r="A11" s="35" t="s">
        <v>423</v>
      </c>
      <c r="B11" s="35" t="s">
        <v>424</v>
      </c>
      <c r="C11" s="35" t="s">
        <v>412</v>
      </c>
      <c r="D11" s="35" t="s">
        <v>449</v>
      </c>
      <c r="E11" s="35" t="s">
        <v>450</v>
      </c>
      <c r="F11" s="35" t="s">
        <v>293</v>
      </c>
      <c r="G11" s="36" t="s">
        <v>453</v>
      </c>
      <c r="H11" s="35" t="s">
        <v>73</v>
      </c>
      <c r="I11" s="35" t="s">
        <v>72</v>
      </c>
      <c r="J11" s="35" t="s">
        <v>75</v>
      </c>
      <c r="K11" s="35" t="s">
        <v>75</v>
      </c>
      <c r="L11" s="35" t="n">
        <v>51</v>
      </c>
      <c r="M11" s="35" t="s">
        <v>74</v>
      </c>
      <c r="N11" s="35" t="s">
        <v>74</v>
      </c>
      <c r="O11" s="35" t="s">
        <v>75</v>
      </c>
      <c r="P11" s="35" t="n">
        <v>52756</v>
      </c>
      <c r="Q11" s="35" t="n">
        <v>2110</v>
      </c>
      <c r="R11" s="35" t="n">
        <v>0</v>
      </c>
      <c r="S11" s="35" t="n">
        <v>1583</v>
      </c>
      <c r="T11" s="35" t="n">
        <v>1055</v>
      </c>
      <c r="U11" s="35" t="n">
        <v>0</v>
      </c>
      <c r="V11" s="35" t="n">
        <v>0</v>
      </c>
      <c r="W11" s="35" t="n">
        <v>0</v>
      </c>
      <c r="X11" s="35" t="s">
        <v>417</v>
      </c>
      <c r="Y11" s="35" t="s">
        <v>418</v>
      </c>
      <c r="AA11" s="35" t="n">
        <v>0</v>
      </c>
      <c r="AB11" s="35" t="s">
        <v>449</v>
      </c>
      <c r="AC11" s="35" t="s">
        <v>419</v>
      </c>
      <c r="AD11" s="35" t="s">
        <v>351</v>
      </c>
    </row>
    <row r="12" customFormat="false" ht="12.75" hidden="false" customHeight="false" outlineLevel="0" collapsed="false">
      <c r="A12" s="35" t="s">
        <v>454</v>
      </c>
      <c r="B12" s="35" t="s">
        <v>455</v>
      </c>
      <c r="C12" s="35" t="s">
        <v>412</v>
      </c>
      <c r="D12" s="35" t="s">
        <v>456</v>
      </c>
      <c r="E12" s="35" t="s">
        <v>457</v>
      </c>
      <c r="F12" s="35" t="s">
        <v>458</v>
      </c>
      <c r="G12" s="36" t="s">
        <v>459</v>
      </c>
      <c r="H12" s="35" t="s">
        <v>73</v>
      </c>
      <c r="I12" s="35" t="s">
        <v>72</v>
      </c>
      <c r="J12" s="35" t="s">
        <v>75</v>
      </c>
      <c r="K12" s="35" t="s">
        <v>75</v>
      </c>
      <c r="L12" s="35" t="n">
        <v>56</v>
      </c>
      <c r="M12" s="35" t="s">
        <v>74</v>
      </c>
      <c r="N12" s="35" t="s">
        <v>74</v>
      </c>
      <c r="O12" s="35" t="s">
        <v>75</v>
      </c>
      <c r="P12" s="35" t="n">
        <v>45587</v>
      </c>
      <c r="Q12" s="35" t="n">
        <v>1823</v>
      </c>
      <c r="R12" s="35" t="n">
        <v>0</v>
      </c>
      <c r="S12" s="35" t="n">
        <v>1368</v>
      </c>
      <c r="T12" s="35" t="n">
        <v>912</v>
      </c>
      <c r="U12" s="35" t="n">
        <v>0</v>
      </c>
      <c r="V12" s="35" t="n">
        <v>0</v>
      </c>
      <c r="W12" s="35" t="n">
        <v>0</v>
      </c>
      <c r="X12" s="35" t="s">
        <v>417</v>
      </c>
      <c r="Y12" s="35" t="s">
        <v>418</v>
      </c>
      <c r="AA12" s="35" t="n">
        <v>0</v>
      </c>
      <c r="AB12" s="35" t="s">
        <v>456</v>
      </c>
      <c r="AC12" s="35" t="s">
        <v>419</v>
      </c>
      <c r="AD12" s="35" t="s">
        <v>198</v>
      </c>
    </row>
    <row r="13" customFormat="false" ht="12.75" hidden="false" customHeight="false" outlineLevel="0" collapsed="false">
      <c r="A13" s="35" t="s">
        <v>427</v>
      </c>
      <c r="B13" s="35" t="s">
        <v>428</v>
      </c>
      <c r="C13" s="35" t="s">
        <v>412</v>
      </c>
      <c r="D13" s="35" t="s">
        <v>449</v>
      </c>
      <c r="E13" s="35" t="s">
        <v>450</v>
      </c>
      <c r="F13" s="35" t="s">
        <v>460</v>
      </c>
      <c r="G13" s="36" t="s">
        <v>461</v>
      </c>
      <c r="H13" s="35" t="s">
        <v>73</v>
      </c>
      <c r="I13" s="35" t="s">
        <v>72</v>
      </c>
      <c r="J13" s="35" t="s">
        <v>75</v>
      </c>
      <c r="K13" s="35" t="s">
        <v>75</v>
      </c>
      <c r="L13" s="35" t="n">
        <v>20</v>
      </c>
      <c r="M13" s="35" t="s">
        <v>75</v>
      </c>
      <c r="N13" s="35" t="s">
        <v>74</v>
      </c>
      <c r="O13" s="35" t="s">
        <v>75</v>
      </c>
      <c r="P13" s="35" t="n">
        <v>40128</v>
      </c>
      <c r="Q13" s="35" t="n">
        <v>1605</v>
      </c>
      <c r="R13" s="35" t="n">
        <v>2006</v>
      </c>
      <c r="S13" s="35" t="n">
        <v>1204</v>
      </c>
      <c r="T13" s="35" t="n">
        <v>803</v>
      </c>
      <c r="U13" s="35" t="n">
        <v>2408</v>
      </c>
      <c r="V13" s="35" t="n">
        <v>10032</v>
      </c>
      <c r="W13" s="35" t="n">
        <v>0</v>
      </c>
      <c r="X13" s="35" t="s">
        <v>417</v>
      </c>
      <c r="Y13" s="35" t="s">
        <v>418</v>
      </c>
      <c r="AA13" s="35" t="n">
        <v>480</v>
      </c>
      <c r="AB13" s="35" t="s">
        <v>449</v>
      </c>
      <c r="AC13" s="35" t="s">
        <v>419</v>
      </c>
    </row>
    <row r="14" customFormat="false" ht="12.75" hidden="false" customHeight="false" outlineLevel="0" collapsed="false">
      <c r="A14" s="35" t="s">
        <v>454</v>
      </c>
      <c r="B14" s="35" t="s">
        <v>455</v>
      </c>
      <c r="C14" s="35" t="s">
        <v>412</v>
      </c>
      <c r="D14" s="35" t="s">
        <v>420</v>
      </c>
      <c r="E14" s="35" t="s">
        <v>421</v>
      </c>
      <c r="F14" s="35" t="s">
        <v>462</v>
      </c>
      <c r="G14" s="36" t="s">
        <v>463</v>
      </c>
      <c r="H14" s="35" t="s">
        <v>73</v>
      </c>
      <c r="I14" s="35" t="s">
        <v>72</v>
      </c>
      <c r="J14" s="35" t="s">
        <v>75</v>
      </c>
      <c r="K14" s="35" t="s">
        <v>75</v>
      </c>
      <c r="L14" s="35" t="n">
        <v>32</v>
      </c>
      <c r="M14" s="35" t="s">
        <v>74</v>
      </c>
      <c r="N14" s="35" t="s">
        <v>74</v>
      </c>
      <c r="O14" s="35" t="s">
        <v>75</v>
      </c>
      <c r="P14" s="35" t="n">
        <v>40846</v>
      </c>
      <c r="Q14" s="35" t="n">
        <v>1634</v>
      </c>
      <c r="R14" s="35" t="n">
        <v>0</v>
      </c>
      <c r="S14" s="35" t="n">
        <v>1225</v>
      </c>
      <c r="T14" s="35" t="n">
        <v>817</v>
      </c>
      <c r="U14" s="35" t="n">
        <v>0</v>
      </c>
      <c r="V14" s="35" t="n">
        <v>0</v>
      </c>
      <c r="W14" s="35" t="n">
        <v>0</v>
      </c>
      <c r="X14" s="35" t="s">
        <v>417</v>
      </c>
      <c r="Y14" s="35" t="s">
        <v>418</v>
      </c>
      <c r="AA14" s="35" t="n">
        <v>0</v>
      </c>
      <c r="AB14" s="35" t="s">
        <v>420</v>
      </c>
      <c r="AC14" s="35" t="s">
        <v>419</v>
      </c>
      <c r="AD14" s="35" t="s">
        <v>363</v>
      </c>
    </row>
    <row r="15" customFormat="false" ht="12.75" hidden="false" customHeight="false" outlineLevel="0" collapsed="false">
      <c r="A15" s="35" t="s">
        <v>433</v>
      </c>
      <c r="B15" s="35" t="s">
        <v>434</v>
      </c>
      <c r="C15" s="35" t="s">
        <v>412</v>
      </c>
      <c r="D15" s="35" t="s">
        <v>413</v>
      </c>
      <c r="E15" s="35" t="s">
        <v>414</v>
      </c>
      <c r="F15" s="35" t="s">
        <v>464</v>
      </c>
      <c r="G15" s="36" t="s">
        <v>465</v>
      </c>
      <c r="H15" s="35" t="s">
        <v>73</v>
      </c>
      <c r="I15" s="35" t="s">
        <v>107</v>
      </c>
      <c r="J15" s="35" t="s">
        <v>75</v>
      </c>
      <c r="K15" s="35" t="s">
        <v>75</v>
      </c>
      <c r="L15" s="35" t="n">
        <v>57</v>
      </c>
      <c r="M15" s="35" t="s">
        <v>74</v>
      </c>
      <c r="N15" s="35" t="s">
        <v>74</v>
      </c>
      <c r="O15" s="35" t="s">
        <v>75</v>
      </c>
      <c r="P15" s="35" t="n">
        <v>49763</v>
      </c>
      <c r="Q15" s="35" t="n">
        <v>1991</v>
      </c>
      <c r="R15" s="35" t="n">
        <v>0</v>
      </c>
      <c r="S15" s="35" t="n">
        <v>1493</v>
      </c>
      <c r="T15" s="35" t="n">
        <v>995</v>
      </c>
      <c r="U15" s="35" t="n">
        <v>0</v>
      </c>
      <c r="V15" s="35" t="n">
        <v>0</v>
      </c>
      <c r="W15" s="35" t="n">
        <v>0</v>
      </c>
      <c r="X15" s="35" t="s">
        <v>417</v>
      </c>
      <c r="Y15" s="35" t="s">
        <v>418</v>
      </c>
      <c r="AA15" s="35" t="n">
        <v>0</v>
      </c>
      <c r="AB15" s="35" t="s">
        <v>413</v>
      </c>
      <c r="AC15" s="35" t="s">
        <v>419</v>
      </c>
      <c r="AD15" s="35" t="s">
        <v>227</v>
      </c>
    </row>
    <row r="16" customFormat="false" ht="12.75" hidden="false" customHeight="false" outlineLevel="0" collapsed="false">
      <c r="A16" s="35" t="s">
        <v>427</v>
      </c>
      <c r="B16" s="35" t="s">
        <v>428</v>
      </c>
      <c r="C16" s="35" t="s">
        <v>412</v>
      </c>
      <c r="D16" s="35" t="s">
        <v>413</v>
      </c>
      <c r="E16" s="35" t="s">
        <v>414</v>
      </c>
      <c r="F16" s="35" t="s">
        <v>466</v>
      </c>
      <c r="G16" s="36" t="s">
        <v>467</v>
      </c>
      <c r="H16" s="35" t="s">
        <v>78</v>
      </c>
      <c r="I16" s="35" t="s">
        <v>72</v>
      </c>
      <c r="J16" s="35" t="s">
        <v>75</v>
      </c>
      <c r="K16" s="35" t="s">
        <v>75</v>
      </c>
      <c r="L16" s="35" t="n">
        <v>23</v>
      </c>
      <c r="M16" s="35" t="s">
        <v>74</v>
      </c>
      <c r="N16" s="35" t="s">
        <v>74</v>
      </c>
      <c r="O16" s="35" t="s">
        <v>75</v>
      </c>
      <c r="P16" s="35" t="n">
        <v>41511</v>
      </c>
      <c r="Q16" s="35" t="n">
        <v>1660</v>
      </c>
      <c r="R16" s="35" t="n">
        <v>2076</v>
      </c>
      <c r="S16" s="35" t="n">
        <v>1245</v>
      </c>
      <c r="T16" s="35" t="n">
        <v>830</v>
      </c>
      <c r="U16" s="35" t="n">
        <v>2491</v>
      </c>
      <c r="V16" s="35" t="n">
        <v>10378</v>
      </c>
      <c r="W16" s="35" t="n">
        <v>0</v>
      </c>
      <c r="X16" s="35" t="s">
        <v>417</v>
      </c>
      <c r="Y16" s="35" t="s">
        <v>418</v>
      </c>
      <c r="AA16" s="35" t="n">
        <v>640</v>
      </c>
      <c r="AB16" s="35" t="s">
        <v>413</v>
      </c>
      <c r="AC16" s="35" t="s">
        <v>419</v>
      </c>
      <c r="AD16" s="35" t="s">
        <v>251</v>
      </c>
    </row>
    <row r="17" customFormat="false" ht="12.75" hidden="false" customHeight="false" outlineLevel="0" collapsed="false">
      <c r="A17" s="35" t="s">
        <v>447</v>
      </c>
      <c r="B17" s="35" t="s">
        <v>448</v>
      </c>
      <c r="C17" s="35" t="s">
        <v>412</v>
      </c>
      <c r="D17" s="35" t="s">
        <v>429</v>
      </c>
      <c r="E17" s="35" t="s">
        <v>430</v>
      </c>
      <c r="F17" s="35" t="s">
        <v>468</v>
      </c>
      <c r="G17" s="36" t="s">
        <v>469</v>
      </c>
      <c r="H17" s="35" t="s">
        <v>78</v>
      </c>
      <c r="I17" s="35" t="s">
        <v>72</v>
      </c>
      <c r="J17" s="35" t="s">
        <v>75</v>
      </c>
      <c r="K17" s="35" t="s">
        <v>75</v>
      </c>
      <c r="L17" s="35" t="n">
        <v>47</v>
      </c>
      <c r="M17" s="35" t="s">
        <v>74</v>
      </c>
      <c r="N17" s="35" t="s">
        <v>74</v>
      </c>
      <c r="O17" s="35" t="s">
        <v>75</v>
      </c>
      <c r="P17" s="35" t="n">
        <v>52211</v>
      </c>
      <c r="Q17" s="35" t="n">
        <v>2088</v>
      </c>
      <c r="R17" s="35" t="n">
        <v>2611</v>
      </c>
      <c r="S17" s="35" t="n">
        <v>1566</v>
      </c>
      <c r="T17" s="35" t="n">
        <v>1044</v>
      </c>
      <c r="U17" s="35" t="n">
        <v>3133</v>
      </c>
      <c r="V17" s="35" t="n">
        <v>13053</v>
      </c>
      <c r="W17" s="35" t="n">
        <v>0</v>
      </c>
      <c r="X17" s="35" t="s">
        <v>417</v>
      </c>
      <c r="Y17" s="35" t="s">
        <v>418</v>
      </c>
      <c r="AA17" s="35" t="n">
        <v>640</v>
      </c>
      <c r="AB17" s="35" t="s">
        <v>429</v>
      </c>
      <c r="AC17" s="35" t="s">
        <v>419</v>
      </c>
      <c r="AD17" s="35" t="s">
        <v>203</v>
      </c>
    </row>
    <row r="18" customFormat="false" ht="12.75" hidden="false" customHeight="false" outlineLevel="0" collapsed="false">
      <c r="A18" s="35" t="s">
        <v>470</v>
      </c>
      <c r="B18" s="35" t="s">
        <v>471</v>
      </c>
      <c r="C18" s="35" t="s">
        <v>412</v>
      </c>
      <c r="D18" s="35" t="s">
        <v>449</v>
      </c>
      <c r="E18" s="35" t="s">
        <v>450</v>
      </c>
      <c r="F18" s="35" t="s">
        <v>472</v>
      </c>
      <c r="G18" s="36" t="s">
        <v>473</v>
      </c>
      <c r="H18" s="35" t="s">
        <v>78</v>
      </c>
      <c r="I18" s="35" t="s">
        <v>72</v>
      </c>
      <c r="J18" s="35" t="s">
        <v>75</v>
      </c>
      <c r="K18" s="35" t="s">
        <v>75</v>
      </c>
      <c r="L18" s="35" t="n">
        <v>25</v>
      </c>
      <c r="M18" s="35" t="s">
        <v>74</v>
      </c>
      <c r="N18" s="35" t="s">
        <v>74</v>
      </c>
      <c r="O18" s="35" t="s">
        <v>75</v>
      </c>
      <c r="P18" s="35" t="n">
        <v>44379</v>
      </c>
      <c r="Q18" s="35" t="n">
        <v>1775</v>
      </c>
      <c r="R18" s="35" t="n">
        <v>0</v>
      </c>
      <c r="S18" s="35" t="n">
        <v>1331</v>
      </c>
      <c r="T18" s="35" t="n">
        <v>888</v>
      </c>
      <c r="U18" s="35" t="n">
        <v>0</v>
      </c>
      <c r="V18" s="35" t="n">
        <v>0</v>
      </c>
      <c r="W18" s="35" t="n">
        <v>0</v>
      </c>
      <c r="X18" s="35" t="s">
        <v>417</v>
      </c>
      <c r="Y18" s="35" t="s">
        <v>418</v>
      </c>
      <c r="AA18" s="35" t="n">
        <v>0</v>
      </c>
      <c r="AB18" s="35" t="s">
        <v>449</v>
      </c>
      <c r="AC18" s="35" t="s">
        <v>419</v>
      </c>
      <c r="AD18" s="35" t="s">
        <v>347</v>
      </c>
    </row>
    <row r="19" customFormat="false" ht="12.75" hidden="false" customHeight="false" outlineLevel="0" collapsed="false">
      <c r="A19" s="35" t="s">
        <v>470</v>
      </c>
      <c r="B19" s="35" t="s">
        <v>471</v>
      </c>
      <c r="C19" s="35" t="s">
        <v>412</v>
      </c>
      <c r="D19" s="35" t="s">
        <v>420</v>
      </c>
      <c r="E19" s="35" t="s">
        <v>421</v>
      </c>
      <c r="F19" s="35" t="s">
        <v>474</v>
      </c>
      <c r="G19" s="36" t="s">
        <v>475</v>
      </c>
      <c r="H19" s="35" t="s">
        <v>73</v>
      </c>
      <c r="I19" s="35" t="s">
        <v>81</v>
      </c>
      <c r="J19" s="35" t="s">
        <v>75</v>
      </c>
      <c r="K19" s="35" t="s">
        <v>75</v>
      </c>
      <c r="L19" s="35" t="n">
        <v>53</v>
      </c>
      <c r="M19" s="35" t="s">
        <v>74</v>
      </c>
      <c r="N19" s="35" t="s">
        <v>74</v>
      </c>
      <c r="O19" s="35" t="s">
        <v>75</v>
      </c>
      <c r="P19" s="35" t="n">
        <v>20241</v>
      </c>
      <c r="Q19" s="35" t="n">
        <v>810</v>
      </c>
      <c r="R19" s="35" t="n">
        <v>0</v>
      </c>
      <c r="S19" s="35" t="n">
        <v>607</v>
      </c>
      <c r="T19" s="35" t="n">
        <v>405</v>
      </c>
      <c r="U19" s="35" t="n">
        <v>0</v>
      </c>
      <c r="V19" s="35" t="n">
        <v>0</v>
      </c>
      <c r="W19" s="35" t="n">
        <v>0</v>
      </c>
      <c r="X19" s="35" t="s">
        <v>417</v>
      </c>
      <c r="Y19" s="35" t="s">
        <v>418</v>
      </c>
      <c r="AA19" s="35" t="n">
        <v>0</v>
      </c>
      <c r="AB19" s="35" t="s">
        <v>420</v>
      </c>
      <c r="AC19" s="35" t="s">
        <v>419</v>
      </c>
    </row>
    <row r="20" customFormat="false" ht="12.75" hidden="false" customHeight="false" outlineLevel="0" collapsed="false">
      <c r="A20" s="35" t="s">
        <v>447</v>
      </c>
      <c r="B20" s="35" t="s">
        <v>448</v>
      </c>
      <c r="C20" s="35" t="s">
        <v>412</v>
      </c>
      <c r="D20" s="35" t="s">
        <v>439</v>
      </c>
      <c r="E20" s="35" t="s">
        <v>440</v>
      </c>
      <c r="F20" s="35" t="s">
        <v>476</v>
      </c>
      <c r="G20" s="36" t="s">
        <v>477</v>
      </c>
      <c r="H20" s="35" t="s">
        <v>73</v>
      </c>
      <c r="I20" s="35" t="s">
        <v>72</v>
      </c>
      <c r="J20" s="35" t="s">
        <v>75</v>
      </c>
      <c r="K20" s="35" t="s">
        <v>75</v>
      </c>
      <c r="L20" s="35" t="n">
        <v>24</v>
      </c>
      <c r="M20" s="35" t="s">
        <v>74</v>
      </c>
      <c r="N20" s="35" t="s">
        <v>74</v>
      </c>
      <c r="O20" s="35" t="s">
        <v>75</v>
      </c>
      <c r="P20" s="35" t="n">
        <v>58488</v>
      </c>
      <c r="Q20" s="35" t="n">
        <v>2340</v>
      </c>
      <c r="R20" s="35" t="n">
        <v>2924</v>
      </c>
      <c r="S20" s="35" t="n">
        <v>1755</v>
      </c>
      <c r="T20" s="35" t="n">
        <v>1170</v>
      </c>
      <c r="U20" s="35" t="n">
        <v>3509</v>
      </c>
      <c r="V20" s="35" t="n">
        <v>14622</v>
      </c>
      <c r="W20" s="35" t="n">
        <v>0</v>
      </c>
      <c r="X20" s="35" t="s">
        <v>417</v>
      </c>
      <c r="Y20" s="35" t="s">
        <v>418</v>
      </c>
      <c r="AA20" s="35" t="n">
        <v>320</v>
      </c>
      <c r="AB20" s="35" t="s">
        <v>439</v>
      </c>
      <c r="AC20" s="35" t="s">
        <v>419</v>
      </c>
      <c r="AD20" s="35" t="s">
        <v>128</v>
      </c>
    </row>
    <row r="21" customFormat="false" ht="12.75" hidden="false" customHeight="false" outlineLevel="0" collapsed="false">
      <c r="A21" s="35" t="s">
        <v>427</v>
      </c>
      <c r="B21" s="35" t="s">
        <v>428</v>
      </c>
      <c r="C21" s="35" t="s">
        <v>412</v>
      </c>
      <c r="D21" s="35" t="s">
        <v>413</v>
      </c>
      <c r="E21" s="35" t="s">
        <v>414</v>
      </c>
      <c r="F21" s="35" t="s">
        <v>478</v>
      </c>
      <c r="G21" s="36" t="s">
        <v>479</v>
      </c>
      <c r="H21" s="35" t="s">
        <v>78</v>
      </c>
      <c r="I21" s="35" t="s">
        <v>72</v>
      </c>
      <c r="J21" s="35" t="s">
        <v>75</v>
      </c>
      <c r="K21" s="35" t="s">
        <v>75</v>
      </c>
      <c r="L21" s="35" t="n">
        <v>29</v>
      </c>
      <c r="M21" s="35" t="s">
        <v>75</v>
      </c>
      <c r="N21" s="35" t="s">
        <v>74</v>
      </c>
      <c r="O21" s="35" t="s">
        <v>74</v>
      </c>
      <c r="P21" s="35" t="n">
        <v>38894</v>
      </c>
      <c r="Q21" s="35" t="n">
        <v>1556</v>
      </c>
      <c r="R21" s="35" t="n">
        <v>1945</v>
      </c>
      <c r="S21" s="35" t="n">
        <v>1167</v>
      </c>
      <c r="T21" s="35" t="n">
        <v>778</v>
      </c>
      <c r="U21" s="35" t="n">
        <v>2334</v>
      </c>
      <c r="V21" s="35" t="n">
        <v>9724</v>
      </c>
      <c r="W21" s="35" t="n">
        <v>0</v>
      </c>
      <c r="X21" s="35" t="s">
        <v>417</v>
      </c>
      <c r="Y21" s="35" t="s">
        <v>418</v>
      </c>
      <c r="AA21" s="35" t="n">
        <v>320</v>
      </c>
      <c r="AB21" s="35" t="s">
        <v>413</v>
      </c>
      <c r="AC21" s="35" t="s">
        <v>419</v>
      </c>
    </row>
    <row r="22" customFormat="false" ht="12.75" hidden="false" customHeight="false" outlineLevel="0" collapsed="false">
      <c r="A22" s="35" t="s">
        <v>447</v>
      </c>
      <c r="B22" s="35" t="s">
        <v>448</v>
      </c>
      <c r="C22" s="35" t="s">
        <v>412</v>
      </c>
      <c r="D22" s="35" t="s">
        <v>429</v>
      </c>
      <c r="E22" s="35" t="s">
        <v>430</v>
      </c>
      <c r="F22" s="35" t="s">
        <v>480</v>
      </c>
      <c r="G22" s="36" t="s">
        <v>481</v>
      </c>
      <c r="H22" s="35" t="s">
        <v>78</v>
      </c>
      <c r="I22" s="35" t="s">
        <v>164</v>
      </c>
      <c r="J22" s="35" t="s">
        <v>75</v>
      </c>
      <c r="K22" s="35" t="s">
        <v>75</v>
      </c>
      <c r="L22" s="35" t="n">
        <v>25</v>
      </c>
      <c r="M22" s="35" t="s">
        <v>75</v>
      </c>
      <c r="N22" s="35" t="s">
        <v>74</v>
      </c>
      <c r="O22" s="35" t="s">
        <v>74</v>
      </c>
      <c r="P22" s="35" t="n">
        <v>40064</v>
      </c>
      <c r="Q22" s="35" t="n">
        <v>1603</v>
      </c>
      <c r="R22" s="35" t="n">
        <v>2003</v>
      </c>
      <c r="S22" s="35" t="n">
        <v>1202</v>
      </c>
      <c r="T22" s="35" t="n">
        <v>801</v>
      </c>
      <c r="U22" s="35" t="n">
        <v>2404</v>
      </c>
      <c r="V22" s="35" t="n">
        <v>10016</v>
      </c>
      <c r="W22" s="35" t="n">
        <v>0</v>
      </c>
      <c r="X22" s="35" t="s">
        <v>417</v>
      </c>
      <c r="Y22" s="35" t="s">
        <v>418</v>
      </c>
      <c r="AA22" s="35" t="n">
        <v>1200</v>
      </c>
      <c r="AB22" s="35" t="s">
        <v>429</v>
      </c>
      <c r="AC22" s="35" t="s">
        <v>419</v>
      </c>
    </row>
    <row r="23" customFormat="false" ht="12.75" hidden="false" customHeight="false" outlineLevel="0" collapsed="false">
      <c r="A23" s="35" t="s">
        <v>447</v>
      </c>
      <c r="B23" s="35" t="s">
        <v>448</v>
      </c>
      <c r="C23" s="35" t="s">
        <v>412</v>
      </c>
      <c r="D23" s="35" t="s">
        <v>449</v>
      </c>
      <c r="E23" s="35" t="s">
        <v>450</v>
      </c>
      <c r="F23" s="35" t="s">
        <v>482</v>
      </c>
      <c r="G23" s="36" t="s">
        <v>483</v>
      </c>
      <c r="H23" s="35" t="s">
        <v>78</v>
      </c>
      <c r="I23" s="35" t="s">
        <v>72</v>
      </c>
      <c r="J23" s="35" t="s">
        <v>75</v>
      </c>
      <c r="K23" s="35" t="s">
        <v>75</v>
      </c>
      <c r="L23" s="35" t="n">
        <v>58</v>
      </c>
      <c r="M23" s="35" t="s">
        <v>74</v>
      </c>
      <c r="N23" s="35" t="s">
        <v>74</v>
      </c>
      <c r="O23" s="35" t="s">
        <v>75</v>
      </c>
      <c r="P23" s="35" t="n">
        <v>55449</v>
      </c>
      <c r="Q23" s="35" t="n">
        <v>2218</v>
      </c>
      <c r="R23" s="35" t="n">
        <v>2772</v>
      </c>
      <c r="S23" s="35" t="n">
        <v>1663</v>
      </c>
      <c r="T23" s="35" t="n">
        <v>1109</v>
      </c>
      <c r="U23" s="35" t="n">
        <v>3327</v>
      </c>
      <c r="V23" s="35" t="n">
        <v>13862</v>
      </c>
      <c r="W23" s="35" t="n">
        <v>0</v>
      </c>
      <c r="X23" s="35" t="s">
        <v>417</v>
      </c>
      <c r="Y23" s="35" t="s">
        <v>418</v>
      </c>
      <c r="AA23" s="35" t="n">
        <v>960</v>
      </c>
      <c r="AB23" s="35" t="s">
        <v>449</v>
      </c>
      <c r="AC23" s="35" t="s">
        <v>419</v>
      </c>
      <c r="AD23" s="35" t="s">
        <v>334</v>
      </c>
    </row>
    <row r="24" customFormat="false" ht="12.75" hidden="false" customHeight="false" outlineLevel="0" collapsed="false">
      <c r="A24" s="35" t="s">
        <v>447</v>
      </c>
      <c r="B24" s="35" t="s">
        <v>448</v>
      </c>
      <c r="C24" s="35" t="s">
        <v>412</v>
      </c>
      <c r="D24" s="35" t="s">
        <v>456</v>
      </c>
      <c r="E24" s="35" t="s">
        <v>457</v>
      </c>
      <c r="F24" s="35" t="s">
        <v>484</v>
      </c>
      <c r="G24" s="36" t="s">
        <v>485</v>
      </c>
      <c r="H24" s="35" t="s">
        <v>78</v>
      </c>
      <c r="I24" s="35" t="s">
        <v>72</v>
      </c>
      <c r="J24" s="35" t="s">
        <v>75</v>
      </c>
      <c r="K24" s="35" t="s">
        <v>75</v>
      </c>
      <c r="L24" s="35" t="n">
        <v>49</v>
      </c>
      <c r="M24" s="35" t="s">
        <v>74</v>
      </c>
      <c r="N24" s="35" t="s">
        <v>74</v>
      </c>
      <c r="O24" s="35" t="s">
        <v>75</v>
      </c>
      <c r="P24" s="35" t="n">
        <v>57714</v>
      </c>
      <c r="Q24" s="35" t="n">
        <v>2309</v>
      </c>
      <c r="R24" s="35" t="n">
        <v>2886</v>
      </c>
      <c r="S24" s="35" t="n">
        <v>1731</v>
      </c>
      <c r="T24" s="35" t="n">
        <v>1154</v>
      </c>
      <c r="U24" s="35" t="n">
        <v>3463</v>
      </c>
      <c r="V24" s="35" t="n">
        <v>14428</v>
      </c>
      <c r="W24" s="35" t="n">
        <v>0</v>
      </c>
      <c r="X24" s="35" t="s">
        <v>417</v>
      </c>
      <c r="Y24" s="35" t="s">
        <v>418</v>
      </c>
      <c r="AA24" s="35" t="n">
        <v>320</v>
      </c>
      <c r="AB24" s="35" t="s">
        <v>456</v>
      </c>
      <c r="AC24" s="35" t="s">
        <v>419</v>
      </c>
      <c r="AD24" s="35" t="s">
        <v>263</v>
      </c>
    </row>
    <row r="25" customFormat="false" ht="12.75" hidden="false" customHeight="false" outlineLevel="0" collapsed="false">
      <c r="A25" s="35" t="s">
        <v>454</v>
      </c>
      <c r="B25" s="35" t="s">
        <v>455</v>
      </c>
      <c r="C25" s="35" t="s">
        <v>412</v>
      </c>
      <c r="D25" s="35" t="s">
        <v>456</v>
      </c>
      <c r="E25" s="35" t="s">
        <v>457</v>
      </c>
      <c r="F25" s="35" t="s">
        <v>486</v>
      </c>
      <c r="G25" s="36" t="s">
        <v>487</v>
      </c>
      <c r="H25" s="35" t="s">
        <v>78</v>
      </c>
      <c r="I25" s="35" t="s">
        <v>72</v>
      </c>
      <c r="J25" s="35" t="s">
        <v>75</v>
      </c>
      <c r="K25" s="35" t="s">
        <v>75</v>
      </c>
      <c r="L25" s="35" t="n">
        <v>55</v>
      </c>
      <c r="M25" s="35" t="s">
        <v>74</v>
      </c>
      <c r="N25" s="35" t="s">
        <v>74</v>
      </c>
      <c r="O25" s="35" t="s">
        <v>75</v>
      </c>
      <c r="P25" s="35" t="n">
        <v>40231</v>
      </c>
      <c r="Q25" s="35" t="n">
        <v>1609</v>
      </c>
      <c r="R25" s="35" t="n">
        <v>0</v>
      </c>
      <c r="S25" s="35" t="n">
        <v>1207</v>
      </c>
      <c r="T25" s="35" t="n">
        <v>805</v>
      </c>
      <c r="U25" s="35" t="n">
        <v>0</v>
      </c>
      <c r="V25" s="35" t="n">
        <v>0</v>
      </c>
      <c r="W25" s="35" t="n">
        <v>0</v>
      </c>
      <c r="X25" s="35" t="s">
        <v>417</v>
      </c>
      <c r="Y25" s="35" t="s">
        <v>418</v>
      </c>
      <c r="AA25" s="35" t="n">
        <v>0</v>
      </c>
      <c r="AB25" s="35" t="s">
        <v>456</v>
      </c>
      <c r="AC25" s="35" t="s">
        <v>419</v>
      </c>
      <c r="AD25" s="35" t="s">
        <v>339</v>
      </c>
    </row>
    <row r="26" customFormat="false" ht="12.75" hidden="false" customHeight="false" outlineLevel="0" collapsed="false">
      <c r="A26" s="35" t="s">
        <v>427</v>
      </c>
      <c r="B26" s="35" t="s">
        <v>428</v>
      </c>
      <c r="C26" s="35" t="s">
        <v>412</v>
      </c>
      <c r="D26" s="35" t="s">
        <v>449</v>
      </c>
      <c r="E26" s="35" t="s">
        <v>450</v>
      </c>
      <c r="F26" s="35" t="s">
        <v>488</v>
      </c>
      <c r="G26" s="36" t="s">
        <v>489</v>
      </c>
      <c r="H26" s="35" t="s">
        <v>78</v>
      </c>
      <c r="I26" s="35" t="s">
        <v>72</v>
      </c>
      <c r="J26" s="35" t="s">
        <v>75</v>
      </c>
      <c r="K26" s="35" t="s">
        <v>75</v>
      </c>
      <c r="L26" s="35" t="n">
        <v>52</v>
      </c>
      <c r="M26" s="35" t="s">
        <v>74</v>
      </c>
      <c r="N26" s="35" t="s">
        <v>74</v>
      </c>
      <c r="O26" s="35" t="s">
        <v>75</v>
      </c>
      <c r="P26" s="35" t="n">
        <v>49941</v>
      </c>
      <c r="Q26" s="35" t="n">
        <v>1998</v>
      </c>
      <c r="R26" s="35" t="n">
        <v>2497</v>
      </c>
      <c r="S26" s="35" t="n">
        <v>1498</v>
      </c>
      <c r="T26" s="35" t="n">
        <v>999</v>
      </c>
      <c r="U26" s="35" t="n">
        <v>2996</v>
      </c>
      <c r="V26" s="35" t="n">
        <v>12485</v>
      </c>
      <c r="W26" s="35" t="n">
        <v>0</v>
      </c>
      <c r="X26" s="35" t="s">
        <v>417</v>
      </c>
      <c r="Y26" s="35" t="s">
        <v>418</v>
      </c>
      <c r="AA26" s="35" t="n">
        <v>480</v>
      </c>
      <c r="AB26" s="35" t="s">
        <v>449</v>
      </c>
      <c r="AC26" s="35" t="s">
        <v>419</v>
      </c>
      <c r="AD26" s="35" t="s">
        <v>235</v>
      </c>
    </row>
    <row r="27" customFormat="false" ht="12.75" hidden="false" customHeight="false" outlineLevel="0" collapsed="false">
      <c r="A27" s="35" t="s">
        <v>427</v>
      </c>
      <c r="B27" s="35" t="s">
        <v>428</v>
      </c>
      <c r="C27" s="35" t="s">
        <v>412</v>
      </c>
      <c r="D27" s="35" t="s">
        <v>439</v>
      </c>
      <c r="E27" s="35" t="s">
        <v>440</v>
      </c>
      <c r="F27" s="35" t="s">
        <v>490</v>
      </c>
      <c r="G27" s="36" t="s">
        <v>491</v>
      </c>
      <c r="H27" s="35" t="s">
        <v>78</v>
      </c>
      <c r="I27" s="35" t="s">
        <v>72</v>
      </c>
      <c r="J27" s="35" t="s">
        <v>74</v>
      </c>
      <c r="K27" s="35" t="s">
        <v>75</v>
      </c>
      <c r="L27" s="35" t="n">
        <v>38</v>
      </c>
      <c r="M27" s="35" t="s">
        <v>74</v>
      </c>
      <c r="N27" s="35" t="s">
        <v>74</v>
      </c>
      <c r="O27" s="35" t="s">
        <v>75</v>
      </c>
      <c r="P27" s="35" t="n">
        <v>39636</v>
      </c>
      <c r="Q27" s="35" t="n">
        <v>1585</v>
      </c>
      <c r="R27" s="35" t="n">
        <v>1982</v>
      </c>
      <c r="S27" s="35" t="n">
        <v>1189</v>
      </c>
      <c r="T27" s="35" t="n">
        <v>793</v>
      </c>
      <c r="U27" s="35" t="n">
        <v>2378</v>
      </c>
      <c r="V27" s="35" t="n">
        <v>9909</v>
      </c>
      <c r="W27" s="35" t="n">
        <v>0</v>
      </c>
      <c r="X27" s="35" t="s">
        <v>417</v>
      </c>
      <c r="Y27" s="35" t="s">
        <v>418</v>
      </c>
      <c r="AA27" s="35" t="n">
        <v>320</v>
      </c>
      <c r="AB27" s="35" t="s">
        <v>439</v>
      </c>
      <c r="AC27" s="35" t="s">
        <v>419</v>
      </c>
      <c r="AD27" s="35" t="s">
        <v>280</v>
      </c>
    </row>
    <row r="28" customFormat="false" ht="12.75" hidden="false" customHeight="false" outlineLevel="0" collapsed="false">
      <c r="A28" s="35" t="s">
        <v>423</v>
      </c>
      <c r="B28" s="35" t="s">
        <v>424</v>
      </c>
      <c r="C28" s="35" t="s">
        <v>412</v>
      </c>
      <c r="D28" s="35" t="s">
        <v>420</v>
      </c>
      <c r="E28" s="35" t="s">
        <v>421</v>
      </c>
      <c r="F28" s="35" t="s">
        <v>492</v>
      </c>
      <c r="G28" s="36" t="s">
        <v>493</v>
      </c>
      <c r="H28" s="35" t="s">
        <v>78</v>
      </c>
      <c r="I28" s="35" t="s">
        <v>72</v>
      </c>
      <c r="J28" s="35" t="s">
        <v>75</v>
      </c>
      <c r="K28" s="35" t="s">
        <v>75</v>
      </c>
      <c r="L28" s="35" t="n">
        <v>23</v>
      </c>
      <c r="M28" s="35" t="s">
        <v>74</v>
      </c>
      <c r="N28" s="35" t="s">
        <v>74</v>
      </c>
      <c r="O28" s="35" t="s">
        <v>75</v>
      </c>
      <c r="P28" s="35" t="n">
        <v>56498</v>
      </c>
      <c r="Q28" s="35" t="n">
        <v>2260</v>
      </c>
      <c r="R28" s="35" t="n">
        <v>0</v>
      </c>
      <c r="S28" s="35" t="n">
        <v>1695</v>
      </c>
      <c r="T28" s="35" t="n">
        <v>1130</v>
      </c>
      <c r="U28" s="35" t="n">
        <v>0</v>
      </c>
      <c r="V28" s="35" t="n">
        <v>0</v>
      </c>
      <c r="W28" s="35" t="n">
        <v>0</v>
      </c>
      <c r="X28" s="35" t="s">
        <v>417</v>
      </c>
      <c r="Y28" s="35" t="s">
        <v>418</v>
      </c>
      <c r="AA28" s="35" t="n">
        <v>0</v>
      </c>
      <c r="AB28" s="35" t="s">
        <v>420</v>
      </c>
      <c r="AC28" s="35" t="s">
        <v>419</v>
      </c>
      <c r="AD28" s="35" t="s">
        <v>247</v>
      </c>
    </row>
    <row r="29" customFormat="false" ht="12.75" hidden="false" customHeight="false" outlineLevel="0" collapsed="false">
      <c r="A29" s="35" t="s">
        <v>447</v>
      </c>
      <c r="B29" s="35" t="s">
        <v>448</v>
      </c>
      <c r="C29" s="35" t="s">
        <v>412</v>
      </c>
      <c r="D29" s="35" t="s">
        <v>429</v>
      </c>
      <c r="E29" s="35" t="s">
        <v>430</v>
      </c>
      <c r="F29" s="35" t="s">
        <v>494</v>
      </c>
      <c r="G29" s="36" t="s">
        <v>495</v>
      </c>
      <c r="H29" s="35" t="s">
        <v>78</v>
      </c>
      <c r="I29" s="35" t="s">
        <v>72</v>
      </c>
      <c r="J29" s="35" t="s">
        <v>75</v>
      </c>
      <c r="K29" s="35" t="s">
        <v>75</v>
      </c>
      <c r="L29" s="35" t="n">
        <v>31</v>
      </c>
      <c r="M29" s="35" t="s">
        <v>74</v>
      </c>
      <c r="N29" s="35" t="s">
        <v>74</v>
      </c>
      <c r="O29" s="35" t="s">
        <v>75</v>
      </c>
      <c r="P29" s="35" t="n">
        <v>41710</v>
      </c>
      <c r="Q29" s="35" t="n">
        <v>1668</v>
      </c>
      <c r="R29" s="35" t="n">
        <v>2086</v>
      </c>
      <c r="S29" s="35" t="n">
        <v>1251</v>
      </c>
      <c r="T29" s="35" t="n">
        <v>834</v>
      </c>
      <c r="U29" s="35" t="n">
        <v>2503</v>
      </c>
      <c r="V29" s="35" t="n">
        <v>10428</v>
      </c>
      <c r="W29" s="35" t="n">
        <v>0</v>
      </c>
      <c r="X29" s="35" t="s">
        <v>417</v>
      </c>
      <c r="Y29" s="35" t="s">
        <v>418</v>
      </c>
      <c r="AA29" s="35" t="n">
        <v>1200</v>
      </c>
      <c r="AB29" s="35" t="s">
        <v>429</v>
      </c>
      <c r="AC29" s="35" t="s">
        <v>419</v>
      </c>
      <c r="AD29" s="35" t="s">
        <v>247</v>
      </c>
    </row>
    <row r="30" customFormat="false" ht="12.75" hidden="false" customHeight="false" outlineLevel="0" collapsed="false">
      <c r="A30" s="35" t="s">
        <v>470</v>
      </c>
      <c r="B30" s="35" t="s">
        <v>471</v>
      </c>
      <c r="C30" s="35" t="s">
        <v>412</v>
      </c>
      <c r="D30" s="35" t="s">
        <v>496</v>
      </c>
      <c r="E30" s="35" t="s">
        <v>497</v>
      </c>
      <c r="F30" s="35" t="s">
        <v>498</v>
      </c>
      <c r="G30" s="36" t="s">
        <v>499</v>
      </c>
      <c r="H30" s="35" t="s">
        <v>78</v>
      </c>
      <c r="I30" s="35" t="s">
        <v>164</v>
      </c>
      <c r="J30" s="35" t="s">
        <v>75</v>
      </c>
      <c r="K30" s="35" t="s">
        <v>75</v>
      </c>
      <c r="L30" s="35" t="n">
        <v>27</v>
      </c>
      <c r="M30" s="35" t="s">
        <v>74</v>
      </c>
      <c r="N30" s="35" t="s">
        <v>74</v>
      </c>
      <c r="O30" s="35" t="s">
        <v>75</v>
      </c>
      <c r="P30" s="35" t="n">
        <v>42144</v>
      </c>
      <c r="Q30" s="35" t="n">
        <v>1686</v>
      </c>
      <c r="R30" s="35" t="n">
        <v>0</v>
      </c>
      <c r="S30" s="35" t="n">
        <v>1264</v>
      </c>
      <c r="T30" s="35" t="n">
        <v>843</v>
      </c>
      <c r="U30" s="35" t="n">
        <v>0</v>
      </c>
      <c r="V30" s="35" t="n">
        <v>0</v>
      </c>
      <c r="W30" s="35" t="n">
        <v>0</v>
      </c>
      <c r="X30" s="35" t="s">
        <v>417</v>
      </c>
      <c r="Y30" s="35" t="s">
        <v>418</v>
      </c>
      <c r="AA30" s="35" t="n">
        <v>0</v>
      </c>
      <c r="AB30" s="35" t="s">
        <v>496</v>
      </c>
      <c r="AC30" s="35" t="s">
        <v>419</v>
      </c>
      <c r="AD30" s="35" t="s">
        <v>251</v>
      </c>
    </row>
    <row r="31" customFormat="false" ht="12.75" hidden="false" customHeight="false" outlineLevel="0" collapsed="false">
      <c r="A31" s="35" t="s">
        <v>433</v>
      </c>
      <c r="B31" s="35" t="s">
        <v>434</v>
      </c>
      <c r="C31" s="35" t="s">
        <v>412</v>
      </c>
      <c r="D31" s="35" t="s">
        <v>456</v>
      </c>
      <c r="E31" s="35" t="s">
        <v>457</v>
      </c>
      <c r="F31" s="35" t="s">
        <v>500</v>
      </c>
      <c r="G31" s="36" t="s">
        <v>501</v>
      </c>
      <c r="H31" s="35" t="s">
        <v>73</v>
      </c>
      <c r="I31" s="35" t="s">
        <v>81</v>
      </c>
      <c r="J31" s="35" t="s">
        <v>75</v>
      </c>
      <c r="K31" s="35" t="s">
        <v>75</v>
      </c>
      <c r="L31" s="35" t="n">
        <v>53</v>
      </c>
      <c r="M31" s="35" t="s">
        <v>74</v>
      </c>
      <c r="N31" s="35" t="s">
        <v>74</v>
      </c>
      <c r="O31" s="35" t="s">
        <v>75</v>
      </c>
      <c r="P31" s="35" t="n">
        <v>30694</v>
      </c>
      <c r="Q31" s="35" t="n">
        <v>1228</v>
      </c>
      <c r="R31" s="35" t="n">
        <v>0</v>
      </c>
      <c r="S31" s="35" t="n">
        <v>921</v>
      </c>
      <c r="T31" s="35" t="n">
        <v>614</v>
      </c>
      <c r="U31" s="35" t="n">
        <v>0</v>
      </c>
      <c r="V31" s="35" t="n">
        <v>0</v>
      </c>
      <c r="W31" s="35" t="n">
        <v>0</v>
      </c>
      <c r="X31" s="35" t="s">
        <v>417</v>
      </c>
      <c r="Y31" s="35" t="s">
        <v>418</v>
      </c>
      <c r="AA31" s="35" t="n">
        <v>0</v>
      </c>
      <c r="AB31" s="35" t="s">
        <v>456</v>
      </c>
      <c r="AC31" s="35" t="s">
        <v>419</v>
      </c>
    </row>
    <row r="32" customFormat="false" ht="12.75" hidden="false" customHeight="false" outlineLevel="0" collapsed="false">
      <c r="A32" s="35" t="s">
        <v>447</v>
      </c>
      <c r="B32" s="35" t="s">
        <v>448</v>
      </c>
      <c r="C32" s="35" t="s">
        <v>412</v>
      </c>
      <c r="D32" s="35" t="s">
        <v>496</v>
      </c>
      <c r="E32" s="35" t="s">
        <v>497</v>
      </c>
      <c r="F32" s="35" t="s">
        <v>502</v>
      </c>
      <c r="G32" s="36" t="s">
        <v>503</v>
      </c>
      <c r="H32" s="35" t="s">
        <v>78</v>
      </c>
      <c r="I32" s="35" t="s">
        <v>72</v>
      </c>
      <c r="J32" s="35" t="s">
        <v>75</v>
      </c>
      <c r="K32" s="35" t="s">
        <v>75</v>
      </c>
      <c r="L32" s="35" t="n">
        <v>22</v>
      </c>
      <c r="M32" s="35" t="s">
        <v>75</v>
      </c>
      <c r="N32" s="35" t="s">
        <v>74</v>
      </c>
      <c r="O32" s="35" t="s">
        <v>75</v>
      </c>
      <c r="P32" s="35" t="n">
        <v>35130</v>
      </c>
      <c r="Q32" s="35" t="n">
        <v>1405</v>
      </c>
      <c r="R32" s="35" t="n">
        <v>1756</v>
      </c>
      <c r="S32" s="35" t="n">
        <v>1054</v>
      </c>
      <c r="T32" s="35" t="n">
        <v>703</v>
      </c>
      <c r="U32" s="35" t="n">
        <v>2108</v>
      </c>
      <c r="V32" s="35" t="n">
        <v>8782</v>
      </c>
      <c r="W32" s="35" t="n">
        <v>0</v>
      </c>
      <c r="X32" s="35" t="s">
        <v>417</v>
      </c>
      <c r="Y32" s="35" t="s">
        <v>418</v>
      </c>
      <c r="AA32" s="35" t="n">
        <v>480</v>
      </c>
      <c r="AB32" s="35" t="s">
        <v>496</v>
      </c>
      <c r="AC32" s="35" t="s">
        <v>419</v>
      </c>
    </row>
    <row r="33" customFormat="false" ht="12.75" hidden="false" customHeight="false" outlineLevel="0" collapsed="false">
      <c r="A33" s="35" t="s">
        <v>427</v>
      </c>
      <c r="B33" s="35" t="s">
        <v>428</v>
      </c>
      <c r="C33" s="35" t="s">
        <v>412</v>
      </c>
      <c r="D33" s="35" t="s">
        <v>420</v>
      </c>
      <c r="E33" s="35" t="s">
        <v>421</v>
      </c>
      <c r="F33" s="35" t="s">
        <v>504</v>
      </c>
      <c r="G33" s="36" t="s">
        <v>505</v>
      </c>
      <c r="H33" s="35" t="s">
        <v>73</v>
      </c>
      <c r="I33" s="35" t="s">
        <v>72</v>
      </c>
      <c r="J33" s="35" t="s">
        <v>75</v>
      </c>
      <c r="K33" s="35" t="s">
        <v>75</v>
      </c>
      <c r="L33" s="35" t="n">
        <v>22</v>
      </c>
      <c r="M33" s="35" t="s">
        <v>75</v>
      </c>
      <c r="N33" s="35" t="s">
        <v>74</v>
      </c>
      <c r="O33" s="35" t="s">
        <v>74</v>
      </c>
      <c r="P33" s="35" t="n">
        <v>35107</v>
      </c>
      <c r="Q33" s="35" t="n">
        <v>1404</v>
      </c>
      <c r="R33" s="35" t="n">
        <v>1755</v>
      </c>
      <c r="S33" s="35" t="n">
        <v>1053</v>
      </c>
      <c r="T33" s="35" t="n">
        <v>702</v>
      </c>
      <c r="U33" s="35" t="n">
        <v>2106</v>
      </c>
      <c r="V33" s="35" t="n">
        <v>8777</v>
      </c>
      <c r="W33" s="35" t="n">
        <v>0</v>
      </c>
      <c r="X33" s="35" t="s">
        <v>417</v>
      </c>
      <c r="Y33" s="35" t="s">
        <v>418</v>
      </c>
      <c r="AA33" s="35" t="n">
        <v>960</v>
      </c>
      <c r="AB33" s="35" t="s">
        <v>420</v>
      </c>
      <c r="AC33" s="35" t="s">
        <v>419</v>
      </c>
    </row>
    <row r="34" customFormat="false" ht="12.75" hidden="false" customHeight="false" outlineLevel="0" collapsed="false">
      <c r="A34" s="35" t="s">
        <v>447</v>
      </c>
      <c r="B34" s="35" t="s">
        <v>448</v>
      </c>
      <c r="C34" s="35" t="s">
        <v>412</v>
      </c>
      <c r="D34" s="35" t="s">
        <v>443</v>
      </c>
      <c r="E34" s="35" t="s">
        <v>444</v>
      </c>
      <c r="F34" s="35" t="s">
        <v>506</v>
      </c>
      <c r="G34" s="36" t="s">
        <v>507</v>
      </c>
      <c r="H34" s="35" t="s">
        <v>73</v>
      </c>
      <c r="I34" s="35" t="s">
        <v>72</v>
      </c>
      <c r="J34" s="35" t="s">
        <v>75</v>
      </c>
      <c r="K34" s="35" t="s">
        <v>75</v>
      </c>
      <c r="L34" s="35" t="n">
        <v>28</v>
      </c>
      <c r="M34" s="35" t="s">
        <v>75</v>
      </c>
      <c r="N34" s="35" t="s">
        <v>74</v>
      </c>
      <c r="O34" s="35" t="s">
        <v>74</v>
      </c>
      <c r="P34" s="35" t="n">
        <v>33926</v>
      </c>
      <c r="Q34" s="35" t="n">
        <v>1357</v>
      </c>
      <c r="R34" s="35" t="n">
        <v>1696</v>
      </c>
      <c r="S34" s="35" t="n">
        <v>1018</v>
      </c>
      <c r="T34" s="35" t="n">
        <v>679</v>
      </c>
      <c r="U34" s="35" t="n">
        <v>2036</v>
      </c>
      <c r="V34" s="35" t="n">
        <v>8482</v>
      </c>
      <c r="W34" s="35" t="n">
        <v>0</v>
      </c>
      <c r="X34" s="35" t="s">
        <v>417</v>
      </c>
      <c r="Y34" s="35" t="s">
        <v>418</v>
      </c>
      <c r="AA34" s="35" t="n">
        <v>640</v>
      </c>
      <c r="AB34" s="35" t="s">
        <v>443</v>
      </c>
      <c r="AC34" s="35" t="s">
        <v>419</v>
      </c>
    </row>
    <row r="35" customFormat="false" ht="12.75" hidden="false" customHeight="false" outlineLevel="0" collapsed="false">
      <c r="A35" s="35" t="s">
        <v>470</v>
      </c>
      <c r="B35" s="35" t="s">
        <v>471</v>
      </c>
      <c r="C35" s="35" t="s">
        <v>412</v>
      </c>
      <c r="D35" s="35" t="s">
        <v>435</v>
      </c>
      <c r="E35" s="35" t="s">
        <v>436</v>
      </c>
      <c r="F35" s="35" t="s">
        <v>508</v>
      </c>
      <c r="G35" s="36" t="s">
        <v>509</v>
      </c>
      <c r="H35" s="35" t="s">
        <v>78</v>
      </c>
      <c r="I35" s="35" t="s">
        <v>72</v>
      </c>
      <c r="J35" s="35" t="s">
        <v>75</v>
      </c>
      <c r="K35" s="35" t="s">
        <v>75</v>
      </c>
      <c r="L35" s="35" t="n">
        <v>54</v>
      </c>
      <c r="M35" s="35" t="s">
        <v>74</v>
      </c>
      <c r="N35" s="35" t="s">
        <v>74</v>
      </c>
      <c r="O35" s="35" t="s">
        <v>75</v>
      </c>
      <c r="P35" s="35" t="n">
        <v>50517</v>
      </c>
      <c r="Q35" s="35" t="n">
        <v>2021</v>
      </c>
      <c r="R35" s="35" t="n">
        <v>0</v>
      </c>
      <c r="S35" s="35" t="n">
        <v>1516</v>
      </c>
      <c r="T35" s="35" t="n">
        <v>1010</v>
      </c>
      <c r="U35" s="35" t="n">
        <v>0</v>
      </c>
      <c r="V35" s="35" t="n">
        <v>0</v>
      </c>
      <c r="W35" s="35" t="n">
        <v>0</v>
      </c>
      <c r="X35" s="35" t="s">
        <v>417</v>
      </c>
      <c r="Y35" s="35" t="s">
        <v>418</v>
      </c>
      <c r="AA35" s="35" t="n">
        <v>0</v>
      </c>
      <c r="AB35" s="35" t="s">
        <v>435</v>
      </c>
      <c r="AC35" s="35" t="s">
        <v>419</v>
      </c>
      <c r="AD35" s="35" t="s">
        <v>166</v>
      </c>
    </row>
    <row r="36" customFormat="false" ht="12.75" hidden="false" customHeight="false" outlineLevel="0" collapsed="false">
      <c r="A36" s="35" t="s">
        <v>410</v>
      </c>
      <c r="B36" s="35" t="s">
        <v>411</v>
      </c>
      <c r="C36" s="35" t="s">
        <v>412</v>
      </c>
      <c r="D36" s="35" t="s">
        <v>443</v>
      </c>
      <c r="E36" s="35" t="s">
        <v>444</v>
      </c>
      <c r="F36" s="35" t="s">
        <v>510</v>
      </c>
      <c r="G36" s="36" t="s">
        <v>511</v>
      </c>
      <c r="H36" s="35" t="s">
        <v>73</v>
      </c>
      <c r="I36" s="35" t="s">
        <v>72</v>
      </c>
      <c r="J36" s="35" t="s">
        <v>75</v>
      </c>
      <c r="K36" s="35" t="s">
        <v>75</v>
      </c>
      <c r="L36" s="35" t="n">
        <v>55</v>
      </c>
      <c r="M36" s="35" t="s">
        <v>74</v>
      </c>
      <c r="N36" s="35" t="s">
        <v>74</v>
      </c>
      <c r="O36" s="35" t="s">
        <v>75</v>
      </c>
      <c r="P36" s="35" t="n">
        <v>46762</v>
      </c>
      <c r="Q36" s="35" t="n">
        <v>1870</v>
      </c>
      <c r="R36" s="35" t="n">
        <v>0</v>
      </c>
      <c r="S36" s="35" t="n">
        <v>1403</v>
      </c>
      <c r="T36" s="35" t="n">
        <v>935</v>
      </c>
      <c r="U36" s="35" t="n">
        <v>2806</v>
      </c>
      <c r="V36" s="35" t="n">
        <v>11690</v>
      </c>
      <c r="W36" s="35" t="n">
        <v>0</v>
      </c>
      <c r="X36" s="35" t="s">
        <v>417</v>
      </c>
      <c r="Y36" s="35" t="s">
        <v>418</v>
      </c>
      <c r="AA36" s="35" t="n">
        <v>320</v>
      </c>
      <c r="AB36" s="35" t="s">
        <v>443</v>
      </c>
      <c r="AC36" s="35" t="s">
        <v>419</v>
      </c>
      <c r="AD36" s="35" t="s">
        <v>194</v>
      </c>
    </row>
    <row r="37" customFormat="false" ht="12.75" hidden="false" customHeight="false" outlineLevel="0" collapsed="false">
      <c r="A37" s="35" t="s">
        <v>423</v>
      </c>
      <c r="B37" s="35" t="s">
        <v>424</v>
      </c>
      <c r="C37" s="35" t="s">
        <v>412</v>
      </c>
      <c r="D37" s="35" t="s">
        <v>413</v>
      </c>
      <c r="E37" s="35" t="s">
        <v>414</v>
      </c>
      <c r="F37" s="35" t="s">
        <v>512</v>
      </c>
      <c r="G37" s="36" t="s">
        <v>513</v>
      </c>
      <c r="H37" s="35" t="s">
        <v>78</v>
      </c>
      <c r="I37" s="35" t="s">
        <v>81</v>
      </c>
      <c r="J37" s="35" t="s">
        <v>75</v>
      </c>
      <c r="K37" s="35" t="s">
        <v>75</v>
      </c>
      <c r="L37" s="35" t="n">
        <v>32</v>
      </c>
      <c r="M37" s="35" t="s">
        <v>74</v>
      </c>
      <c r="N37" s="35" t="s">
        <v>74</v>
      </c>
      <c r="O37" s="35" t="s">
        <v>75</v>
      </c>
      <c r="P37" s="35" t="n">
        <v>26098</v>
      </c>
      <c r="Q37" s="35" t="n">
        <v>1044</v>
      </c>
      <c r="R37" s="35" t="n">
        <v>0</v>
      </c>
      <c r="S37" s="35" t="n">
        <v>783</v>
      </c>
      <c r="T37" s="35" t="n">
        <v>522</v>
      </c>
      <c r="U37" s="35" t="n">
        <v>0</v>
      </c>
      <c r="V37" s="35" t="n">
        <v>0</v>
      </c>
      <c r="W37" s="35" t="n">
        <v>0</v>
      </c>
      <c r="X37" s="35" t="s">
        <v>417</v>
      </c>
      <c r="Y37" s="35" t="s">
        <v>418</v>
      </c>
      <c r="AA37" s="35" t="n">
        <v>0</v>
      </c>
      <c r="AB37" s="35" t="s">
        <v>413</v>
      </c>
      <c r="AC37" s="35" t="s">
        <v>419</v>
      </c>
    </row>
  </sheetData>
  <mergeCells count="1">
    <mergeCell ref="A1:AD1"/>
  </mergeCells>
  <dataValidations count="7">
    <dataValidation allowBlank="true" errorStyle="stop" operator="between" showDropDown="false" showErrorMessage="true" showInputMessage="true" sqref="P3:W1037" type="decimal">
      <formula1>0</formula1>
      <formula2>100000000</formula2>
    </dataValidation>
    <dataValidation allowBlank="true" errorStyle="stop" operator="greaterThanOrEqual" showDropDown="false" showErrorMessage="true" showInputMessage="true" sqref="L3:L1037" type="whole">
      <formula1>0</formula1>
      <formula2>0</formula2>
    </dataValidation>
    <dataValidation allowBlank="true" errorStyle="stop" operator="between" showDropDown="false" showErrorMessage="true" showInputMessage="true" sqref="H3:H1037" type="list">
      <formula1>"Male,Female"</formula1>
      <formula2>0</formula2>
    </dataValidation>
    <dataValidation allowBlank="true" errorStyle="stop" operator="between" showDropDown="false" showErrorMessage="true" showInputMessage="true" sqref="I3:I1037" type="list">
      <formula1>"African,Coloured,Indian,White"</formula1>
      <formula2>0</formula2>
    </dataValidation>
    <dataValidation allowBlank="true" errorStyle="stop" operator="between" showDropDown="false" showErrorMessage="true" showInputMessage="true" sqref="D3:D1037" type="list">
      <formula1>"Gauteng,Western Cape,Kwazulu-Natal,Eastern Cape,Free State,Limpopo,Mpumalanga,Northern Cape,North West"</formula1>
      <formula2>0</formula2>
    </dataValidation>
    <dataValidation allowBlank="true" errorStyle="stop" operator="between" showDropDown="false" showErrorMessage="true" showInputMessage="true" sqref="J3:K1037 M3:O1037" type="list">
      <formula1>"Yes,No"</formula1>
      <formula2>0</formula2>
    </dataValidation>
    <dataValidation allowBlank="true" errorStyle="stop" operator="between" showDropDown="false" showErrorMessage="true" showInputMessage="true" sqref="L1:O1" type="list">
      <formula1>"Under 35,Between 35 &amp; 55,Over 55"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62"/>
  <sheetViews>
    <sheetView showFormulas="false" showGridLines="true" showRowColHeaders="true" showZeros="true" rightToLeft="false" tabSelected="false" showOutlineSymbols="true" defaultGridColor="true" view="normal" topLeftCell="E1" colorId="64" zoomScale="125" zoomScaleNormal="125" zoomScalePageLayoutView="100" workbookViewId="0">
      <selection pane="topLeft" activeCell="H16" activeCellId="0" sqref="H16"/>
    </sheetView>
  </sheetViews>
  <sheetFormatPr defaultColWidth="12.5703125" defaultRowHeight="12.75" zeroHeight="false" outlineLevelRow="0" outlineLevelCol="0"/>
  <cols>
    <col collapsed="false" customWidth="true" hidden="false" outlineLevel="0" max="1" min="1" style="46" width="15.85"/>
    <col collapsed="false" customWidth="true" hidden="false" outlineLevel="0" max="2" min="2" style="46" width="15"/>
    <col collapsed="false" customWidth="true" hidden="false" outlineLevel="0" max="3" min="3" style="46" width="12.42"/>
    <col collapsed="false" customWidth="true" hidden="false" outlineLevel="0" max="4" min="4" style="46" width="13.57"/>
    <col collapsed="false" customWidth="true" hidden="false" outlineLevel="0" max="5" min="5" style="46" width="14.14"/>
    <col collapsed="false" customWidth="true" hidden="false" outlineLevel="0" max="6" min="6" style="46" width="12.42"/>
    <col collapsed="false" customWidth="true" hidden="false" outlineLevel="0" max="7" min="7" style="47" width="13.57"/>
    <col collapsed="false" customWidth="true" hidden="false" outlineLevel="0" max="8" min="8" style="46" width="13.15"/>
    <col collapsed="false" customWidth="true" hidden="false" outlineLevel="0" max="10" min="9" style="48" width="13.15"/>
    <col collapsed="false" customWidth="true" hidden="false" outlineLevel="0" max="11" min="11" style="46" width="18.71"/>
    <col collapsed="false" customWidth="true" hidden="false" outlineLevel="0" max="12" min="12" style="48" width="13.15"/>
    <col collapsed="false" customWidth="true" hidden="false" outlineLevel="0" max="13" min="13" style="46" width="18.71"/>
    <col collapsed="false" customWidth="true" hidden="false" outlineLevel="0" max="14" min="14" style="46" width="16.71"/>
    <col collapsed="false" customWidth="true" hidden="false" outlineLevel="0" max="15" min="15" style="46" width="12.15"/>
    <col collapsed="false" customWidth="true" hidden="false" outlineLevel="0" max="16" min="16" style="49" width="24.57"/>
    <col collapsed="false" customWidth="false" hidden="false" outlineLevel="0" max="17" min="17" style="50" width="12.57"/>
    <col collapsed="false" customWidth="true" hidden="false" outlineLevel="0" max="18" min="18" style="50" width="13.86"/>
    <col collapsed="false" customWidth="true" hidden="false" outlineLevel="0" max="19" min="19" style="51" width="13.57"/>
    <col collapsed="false" customWidth="false" hidden="false" outlineLevel="0" max="16384" min="20" style="50" width="12.57"/>
  </cols>
  <sheetData>
    <row r="1" customFormat="false" ht="15.75" hidden="false" customHeight="true" outlineLevel="0" collapsed="false">
      <c r="A1" s="52" t="s">
        <v>514</v>
      </c>
      <c r="B1" s="52"/>
      <c r="C1" s="52"/>
      <c r="D1" s="52"/>
      <c r="E1" s="52"/>
      <c r="F1" s="52"/>
      <c r="G1" s="52"/>
      <c r="H1" s="52"/>
      <c r="I1" s="52"/>
      <c r="J1" s="52"/>
      <c r="K1" s="52"/>
      <c r="L1" s="52"/>
      <c r="M1" s="52"/>
      <c r="N1" s="52"/>
      <c r="O1" s="52"/>
      <c r="P1" s="52"/>
      <c r="Q1" s="52"/>
      <c r="R1" s="52"/>
      <c r="S1" s="52"/>
    </row>
    <row r="2" s="55" customFormat="true" ht="52.5" hidden="false" customHeight="true" outlineLevel="0" collapsed="false">
      <c r="A2" s="53" t="s">
        <v>515</v>
      </c>
      <c r="B2" s="53" t="s">
        <v>516</v>
      </c>
      <c r="C2" s="54" t="s">
        <v>517</v>
      </c>
      <c r="D2" s="54" t="s">
        <v>518</v>
      </c>
      <c r="E2" s="54" t="s">
        <v>519</v>
      </c>
      <c r="F2" s="54" t="s">
        <v>520</v>
      </c>
      <c r="G2" s="54" t="s">
        <v>521</v>
      </c>
      <c r="H2" s="54" t="s">
        <v>522</v>
      </c>
      <c r="I2" s="54" t="s">
        <v>523</v>
      </c>
      <c r="J2" s="54" t="s">
        <v>524</v>
      </c>
      <c r="K2" s="54" t="s">
        <v>525</v>
      </c>
      <c r="L2" s="54" t="s">
        <v>526</v>
      </c>
      <c r="M2" s="54" t="s">
        <v>527</v>
      </c>
      <c r="N2" s="54" t="s">
        <v>528</v>
      </c>
      <c r="O2" s="54" t="s">
        <v>529</v>
      </c>
      <c r="P2" s="53" t="s">
        <v>530</v>
      </c>
      <c r="Q2" s="54" t="s">
        <v>408</v>
      </c>
      <c r="R2" s="54" t="s">
        <v>409</v>
      </c>
      <c r="S2" s="54" t="s">
        <v>531</v>
      </c>
    </row>
    <row r="3" s="60" customFormat="true" ht="12.75" hidden="false" customHeight="false" outlineLevel="0" collapsed="false">
      <c r="A3" s="56" t="s">
        <v>532</v>
      </c>
      <c r="B3" s="56" t="s">
        <v>533</v>
      </c>
      <c r="C3" s="56" t="s">
        <v>534</v>
      </c>
      <c r="D3" s="56" t="s">
        <v>535</v>
      </c>
      <c r="E3" s="56" t="s">
        <v>536</v>
      </c>
      <c r="F3" s="56" t="s">
        <v>74</v>
      </c>
      <c r="G3" s="57" t="s">
        <v>537</v>
      </c>
      <c r="H3" s="56" t="s">
        <v>533</v>
      </c>
      <c r="I3" s="58" t="n">
        <v>100</v>
      </c>
      <c r="J3" s="58" t="n">
        <v>35</v>
      </c>
      <c r="K3" s="56" t="s">
        <v>75</v>
      </c>
      <c r="L3" s="58"/>
      <c r="M3" s="56" t="s">
        <v>74</v>
      </c>
      <c r="N3" s="56" t="s">
        <v>75</v>
      </c>
      <c r="O3" s="56" t="s">
        <v>75</v>
      </c>
      <c r="P3" s="59" t="n">
        <v>167337</v>
      </c>
      <c r="Q3" s="60" t="s">
        <v>456</v>
      </c>
      <c r="R3" s="60" t="s">
        <v>538</v>
      </c>
      <c r="S3" s="61" t="s">
        <v>539</v>
      </c>
    </row>
    <row r="4" s="60" customFormat="true" ht="12.75" hidden="false" customHeight="false" outlineLevel="0" collapsed="false">
      <c r="A4" s="56" t="s">
        <v>540</v>
      </c>
      <c r="B4" s="56" t="s">
        <v>541</v>
      </c>
      <c r="C4" s="56" t="s">
        <v>542</v>
      </c>
      <c r="D4" s="56" t="s">
        <v>543</v>
      </c>
      <c r="E4" s="56" t="s">
        <v>536</v>
      </c>
      <c r="F4" s="56" t="s">
        <v>74</v>
      </c>
      <c r="G4" s="57" t="s">
        <v>537</v>
      </c>
      <c r="H4" s="56" t="s">
        <v>541</v>
      </c>
      <c r="I4" s="58" t="n">
        <v>45</v>
      </c>
      <c r="J4" s="58" t="n">
        <v>10</v>
      </c>
      <c r="K4" s="56" t="s">
        <v>75</v>
      </c>
      <c r="L4" s="58"/>
      <c r="M4" s="56" t="s">
        <v>75</v>
      </c>
      <c r="N4" s="56" t="s">
        <v>75</v>
      </c>
      <c r="O4" s="56" t="s">
        <v>75</v>
      </c>
      <c r="P4" s="59" t="n">
        <v>228018</v>
      </c>
      <c r="Q4" s="60" t="s">
        <v>420</v>
      </c>
      <c r="R4" s="60" t="s">
        <v>538</v>
      </c>
      <c r="S4" s="61" t="s">
        <v>539</v>
      </c>
    </row>
    <row r="5" s="60" customFormat="true" ht="12.75" hidden="false" customHeight="false" outlineLevel="0" collapsed="false">
      <c r="A5" s="56" t="s">
        <v>544</v>
      </c>
      <c r="B5" s="56" t="s">
        <v>545</v>
      </c>
      <c r="C5" s="56" t="s">
        <v>546</v>
      </c>
      <c r="D5" s="56" t="s">
        <v>547</v>
      </c>
      <c r="E5" s="56" t="s">
        <v>536</v>
      </c>
      <c r="F5" s="56" t="s">
        <v>74</v>
      </c>
      <c r="G5" s="57" t="s">
        <v>537</v>
      </c>
      <c r="H5" s="56" t="s">
        <v>545</v>
      </c>
      <c r="I5" s="58" t="n">
        <v>51</v>
      </c>
      <c r="J5" s="58" t="n">
        <v>0</v>
      </c>
      <c r="K5" s="56" t="s">
        <v>75</v>
      </c>
      <c r="L5" s="58"/>
      <c r="M5" s="56" t="s">
        <v>75</v>
      </c>
      <c r="N5" s="56" t="s">
        <v>75</v>
      </c>
      <c r="O5" s="56" t="s">
        <v>75</v>
      </c>
      <c r="P5" s="59" t="n">
        <v>310408</v>
      </c>
      <c r="Q5" s="60" t="s">
        <v>456</v>
      </c>
      <c r="R5" s="60" t="s">
        <v>538</v>
      </c>
      <c r="S5" s="61" t="s">
        <v>539</v>
      </c>
    </row>
    <row r="6" customFormat="false" ht="12.75" hidden="false" customHeight="false" outlineLevel="0" collapsed="false">
      <c r="A6" s="56" t="s">
        <v>548</v>
      </c>
      <c r="B6" s="56" t="s">
        <v>533</v>
      </c>
      <c r="C6" s="56" t="s">
        <v>534</v>
      </c>
      <c r="D6" s="56" t="s">
        <v>549</v>
      </c>
      <c r="E6" s="56" t="s">
        <v>536</v>
      </c>
      <c r="F6" s="56" t="s">
        <v>74</v>
      </c>
      <c r="G6" s="57" t="s">
        <v>537</v>
      </c>
      <c r="H6" s="56" t="s">
        <v>533</v>
      </c>
      <c r="I6" s="58" t="n">
        <v>60</v>
      </c>
      <c r="J6" s="58" t="n">
        <v>51</v>
      </c>
      <c r="K6" s="56" t="s">
        <v>75</v>
      </c>
      <c r="L6" s="58"/>
      <c r="M6" s="56" t="s">
        <v>74</v>
      </c>
      <c r="N6" s="56" t="s">
        <v>74</v>
      </c>
      <c r="O6" s="56" t="s">
        <v>74</v>
      </c>
      <c r="P6" s="59" t="n">
        <v>187020</v>
      </c>
      <c r="Q6" s="60" t="s">
        <v>449</v>
      </c>
      <c r="R6" s="60" t="s">
        <v>550</v>
      </c>
      <c r="S6" s="61" t="s">
        <v>539</v>
      </c>
      <c r="T6" s="60"/>
      <c r="U6" s="60"/>
      <c r="V6" s="60"/>
    </row>
    <row r="7" customFormat="false" ht="12.75" hidden="false" customHeight="false" outlineLevel="0" collapsed="false">
      <c r="A7" s="56" t="s">
        <v>551</v>
      </c>
      <c r="B7" s="56" t="s">
        <v>533</v>
      </c>
      <c r="C7" s="56" t="s">
        <v>534</v>
      </c>
      <c r="D7" s="56" t="s">
        <v>552</v>
      </c>
      <c r="E7" s="56" t="s">
        <v>536</v>
      </c>
      <c r="F7" s="56" t="s">
        <v>74</v>
      </c>
      <c r="G7" s="57" t="s">
        <v>537</v>
      </c>
      <c r="H7" s="56" t="s">
        <v>533</v>
      </c>
      <c r="I7" s="58" t="n">
        <v>75</v>
      </c>
      <c r="J7" s="58" t="n">
        <v>0</v>
      </c>
      <c r="K7" s="56" t="s">
        <v>75</v>
      </c>
      <c r="L7" s="58"/>
      <c r="M7" s="56" t="s">
        <v>75</v>
      </c>
      <c r="N7" s="56" t="s">
        <v>75</v>
      </c>
      <c r="O7" s="56" t="s">
        <v>75</v>
      </c>
      <c r="P7" s="59" t="n">
        <v>171846</v>
      </c>
      <c r="Q7" s="60" t="s">
        <v>435</v>
      </c>
      <c r="R7" s="60" t="s">
        <v>419</v>
      </c>
      <c r="S7" s="61" t="s">
        <v>539</v>
      </c>
      <c r="T7" s="60"/>
      <c r="U7" s="60"/>
      <c r="V7" s="60"/>
    </row>
    <row r="8" customFormat="false" ht="12.75" hidden="false" customHeight="false" outlineLevel="0" collapsed="false">
      <c r="A8" s="56" t="s">
        <v>553</v>
      </c>
      <c r="B8" s="56" t="s">
        <v>545</v>
      </c>
      <c r="C8" s="56" t="s">
        <v>554</v>
      </c>
      <c r="D8" s="56" t="s">
        <v>555</v>
      </c>
      <c r="E8" s="56" t="s">
        <v>536</v>
      </c>
      <c r="F8" s="56" t="s">
        <v>75</v>
      </c>
      <c r="G8" s="57" t="s">
        <v>537</v>
      </c>
      <c r="H8" s="56" t="s">
        <v>545</v>
      </c>
      <c r="I8" s="58" t="n">
        <v>15</v>
      </c>
      <c r="J8" s="58" t="n">
        <v>0</v>
      </c>
      <c r="K8" s="56" t="s">
        <v>75</v>
      </c>
      <c r="L8" s="58"/>
      <c r="M8" s="56" t="s">
        <v>75</v>
      </c>
      <c r="N8" s="56" t="s">
        <v>75</v>
      </c>
      <c r="O8" s="56" t="s">
        <v>75</v>
      </c>
      <c r="P8" s="59" t="n">
        <v>104163</v>
      </c>
      <c r="Q8" s="60" t="s">
        <v>429</v>
      </c>
      <c r="R8" s="60" t="s">
        <v>419</v>
      </c>
      <c r="S8" s="61" t="s">
        <v>539</v>
      </c>
      <c r="T8" s="60"/>
      <c r="U8" s="60"/>
      <c r="V8" s="60"/>
    </row>
    <row r="9" customFormat="false" ht="12.75" hidden="false" customHeight="false" outlineLevel="0" collapsed="false">
      <c r="A9" s="56" t="s">
        <v>556</v>
      </c>
      <c r="B9" s="56" t="s">
        <v>545</v>
      </c>
      <c r="C9" s="56" t="s">
        <v>534</v>
      </c>
      <c r="D9" s="56" t="s">
        <v>557</v>
      </c>
      <c r="E9" s="56" t="s">
        <v>536</v>
      </c>
      <c r="F9" s="56" t="s">
        <v>74</v>
      </c>
      <c r="G9" s="57" t="s">
        <v>537</v>
      </c>
      <c r="H9" s="56" t="s">
        <v>545</v>
      </c>
      <c r="I9" s="58" t="n">
        <v>51</v>
      </c>
      <c r="J9" s="58" t="n">
        <v>55</v>
      </c>
      <c r="K9" s="56" t="s">
        <v>75</v>
      </c>
      <c r="L9" s="58"/>
      <c r="M9" s="56" t="s">
        <v>75</v>
      </c>
      <c r="N9" s="56" t="s">
        <v>74</v>
      </c>
      <c r="O9" s="56" t="s">
        <v>75</v>
      </c>
      <c r="P9" s="59" t="n">
        <v>488500</v>
      </c>
      <c r="Q9" s="60" t="s">
        <v>420</v>
      </c>
      <c r="R9" s="60" t="s">
        <v>538</v>
      </c>
      <c r="S9" s="61" t="s">
        <v>539</v>
      </c>
      <c r="T9" s="60"/>
      <c r="U9" s="60"/>
      <c r="V9" s="60"/>
    </row>
    <row r="10" customFormat="false" ht="12.75" hidden="false" customHeight="false" outlineLevel="0" collapsed="false">
      <c r="A10" s="46" t="s">
        <v>558</v>
      </c>
      <c r="B10" s="46" t="s">
        <v>545</v>
      </c>
      <c r="C10" s="46" t="s">
        <v>559</v>
      </c>
      <c r="D10" s="46" t="s">
        <v>560</v>
      </c>
      <c r="E10" s="46" t="s">
        <v>536</v>
      </c>
      <c r="F10" s="46" t="s">
        <v>74</v>
      </c>
      <c r="G10" s="47" t="s">
        <v>537</v>
      </c>
      <c r="H10" s="46" t="s">
        <v>545</v>
      </c>
      <c r="I10" s="48" t="n">
        <v>45</v>
      </c>
      <c r="J10" s="48" t="n">
        <v>0</v>
      </c>
      <c r="K10" s="46" t="s">
        <v>75</v>
      </c>
      <c r="M10" s="46" t="s">
        <v>75</v>
      </c>
      <c r="N10" s="46" t="s">
        <v>74</v>
      </c>
      <c r="O10" s="46" t="s">
        <v>75</v>
      </c>
      <c r="P10" s="49" t="n">
        <v>223717</v>
      </c>
      <c r="Q10" s="50" t="s">
        <v>420</v>
      </c>
      <c r="R10" s="50" t="s">
        <v>538</v>
      </c>
      <c r="S10" s="51" t="s">
        <v>539</v>
      </c>
    </row>
    <row r="11" customFormat="false" ht="12.75" hidden="false" customHeight="false" outlineLevel="0" collapsed="false">
      <c r="A11" s="46" t="s">
        <v>561</v>
      </c>
      <c r="B11" s="46" t="s">
        <v>545</v>
      </c>
      <c r="C11" s="46" t="s">
        <v>562</v>
      </c>
      <c r="D11" s="46" t="s">
        <v>563</v>
      </c>
      <c r="E11" s="46" t="s">
        <v>536</v>
      </c>
      <c r="F11" s="46" t="s">
        <v>74</v>
      </c>
      <c r="G11" s="47" t="s">
        <v>537</v>
      </c>
      <c r="H11" s="46" t="s">
        <v>545</v>
      </c>
      <c r="I11" s="48" t="n">
        <v>45</v>
      </c>
      <c r="J11" s="48" t="n">
        <v>10</v>
      </c>
      <c r="K11" s="46" t="s">
        <v>75</v>
      </c>
      <c r="M11" s="46" t="s">
        <v>75</v>
      </c>
      <c r="N11" s="46" t="s">
        <v>74</v>
      </c>
      <c r="O11" s="46" t="s">
        <v>75</v>
      </c>
      <c r="P11" s="49" t="n">
        <v>219075</v>
      </c>
      <c r="Q11" s="50" t="s">
        <v>443</v>
      </c>
      <c r="R11" s="50" t="s">
        <v>538</v>
      </c>
      <c r="S11" s="51" t="s">
        <v>539</v>
      </c>
    </row>
    <row r="12" customFormat="false" ht="12.75" hidden="false" customHeight="false" outlineLevel="0" collapsed="false">
      <c r="A12" s="46" t="s">
        <v>564</v>
      </c>
      <c r="B12" s="46" t="s">
        <v>541</v>
      </c>
      <c r="C12" s="46" t="s">
        <v>534</v>
      </c>
      <c r="D12" s="46" t="s">
        <v>565</v>
      </c>
      <c r="E12" s="46" t="s">
        <v>536</v>
      </c>
      <c r="F12" s="46" t="s">
        <v>74</v>
      </c>
      <c r="G12" s="47" t="s">
        <v>537</v>
      </c>
      <c r="H12" s="46" t="s">
        <v>541</v>
      </c>
      <c r="I12" s="48" t="n">
        <v>75</v>
      </c>
      <c r="J12" s="48" t="n">
        <v>10</v>
      </c>
      <c r="K12" s="46" t="s">
        <v>75</v>
      </c>
      <c r="M12" s="46" t="s">
        <v>74</v>
      </c>
      <c r="N12" s="46" t="s">
        <v>74</v>
      </c>
      <c r="O12" s="46" t="s">
        <v>75</v>
      </c>
      <c r="P12" s="49" t="n">
        <v>158645</v>
      </c>
      <c r="Q12" s="50" t="s">
        <v>496</v>
      </c>
      <c r="R12" s="50" t="s">
        <v>550</v>
      </c>
      <c r="S12" s="51" t="s">
        <v>539</v>
      </c>
    </row>
    <row r="13" customFormat="false" ht="12.75" hidden="false" customHeight="false" outlineLevel="0" collapsed="false">
      <c r="A13" s="46" t="s">
        <v>566</v>
      </c>
      <c r="B13" s="46" t="s">
        <v>545</v>
      </c>
      <c r="C13" s="46" t="s">
        <v>534</v>
      </c>
      <c r="D13" s="46" t="s">
        <v>567</v>
      </c>
      <c r="E13" s="46" t="s">
        <v>536</v>
      </c>
      <c r="F13" s="46" t="s">
        <v>74</v>
      </c>
      <c r="G13" s="47" t="s">
        <v>537</v>
      </c>
      <c r="H13" s="46" t="s">
        <v>545</v>
      </c>
      <c r="I13" s="48" t="n">
        <v>51</v>
      </c>
      <c r="J13" s="48" t="n">
        <v>40</v>
      </c>
      <c r="K13" s="46" t="s">
        <v>75</v>
      </c>
      <c r="M13" s="46" t="s">
        <v>75</v>
      </c>
      <c r="N13" s="46" t="s">
        <v>74</v>
      </c>
      <c r="O13" s="46" t="s">
        <v>75</v>
      </c>
      <c r="P13" s="49" t="n">
        <v>526422</v>
      </c>
      <c r="Q13" s="50" t="s">
        <v>439</v>
      </c>
      <c r="R13" s="50" t="s">
        <v>538</v>
      </c>
      <c r="S13" s="51" t="s">
        <v>539</v>
      </c>
    </row>
    <row r="14" customFormat="false" ht="12.75" hidden="false" customHeight="false" outlineLevel="0" collapsed="false">
      <c r="A14" s="46" t="s">
        <v>568</v>
      </c>
      <c r="B14" s="46" t="s">
        <v>533</v>
      </c>
      <c r="C14" s="46" t="s">
        <v>534</v>
      </c>
      <c r="D14" s="46" t="s">
        <v>569</v>
      </c>
      <c r="E14" s="46" t="s">
        <v>536</v>
      </c>
      <c r="F14" s="46" t="s">
        <v>74</v>
      </c>
      <c r="G14" s="47" t="s">
        <v>537</v>
      </c>
      <c r="H14" s="46" t="s">
        <v>533</v>
      </c>
      <c r="I14" s="48" t="n">
        <v>100</v>
      </c>
      <c r="J14" s="48" t="n">
        <v>51</v>
      </c>
      <c r="K14" s="46" t="s">
        <v>75</v>
      </c>
      <c r="M14" s="46" t="s">
        <v>74</v>
      </c>
      <c r="N14" s="46" t="s">
        <v>75</v>
      </c>
      <c r="O14" s="46" t="s">
        <v>74</v>
      </c>
      <c r="P14" s="49" t="n">
        <v>184262</v>
      </c>
      <c r="Q14" s="50" t="s">
        <v>435</v>
      </c>
      <c r="R14" s="50" t="s">
        <v>550</v>
      </c>
      <c r="S14" s="51" t="s">
        <v>539</v>
      </c>
    </row>
    <row r="15" customFormat="false" ht="12.75" hidden="false" customHeight="false" outlineLevel="0" collapsed="false">
      <c r="A15" s="46" t="s">
        <v>570</v>
      </c>
      <c r="B15" s="46" t="s">
        <v>545</v>
      </c>
      <c r="C15" s="46" t="s">
        <v>554</v>
      </c>
      <c r="D15" s="46" t="s">
        <v>571</v>
      </c>
      <c r="E15" s="46" t="s">
        <v>536</v>
      </c>
      <c r="F15" s="46" t="s">
        <v>75</v>
      </c>
      <c r="G15" s="47" t="s">
        <v>537</v>
      </c>
      <c r="H15" s="46" t="s">
        <v>545</v>
      </c>
      <c r="I15" s="48" t="n">
        <v>15</v>
      </c>
      <c r="J15" s="48" t="n">
        <v>0</v>
      </c>
      <c r="K15" s="46" t="s">
        <v>75</v>
      </c>
      <c r="M15" s="46" t="s">
        <v>75</v>
      </c>
      <c r="N15" s="46" t="s">
        <v>75</v>
      </c>
      <c r="O15" s="46" t="s">
        <v>75</v>
      </c>
      <c r="P15" s="49" t="n">
        <v>136596</v>
      </c>
      <c r="Q15" s="50" t="s">
        <v>449</v>
      </c>
      <c r="R15" s="50" t="s">
        <v>550</v>
      </c>
      <c r="S15" s="51" t="s">
        <v>539</v>
      </c>
    </row>
    <row r="16" customFormat="false" ht="12.75" hidden="false" customHeight="false" outlineLevel="0" collapsed="false">
      <c r="A16" s="46" t="s">
        <v>572</v>
      </c>
      <c r="B16" s="46" t="s">
        <v>541</v>
      </c>
      <c r="C16" s="46" t="s">
        <v>554</v>
      </c>
      <c r="D16" s="46" t="s">
        <v>573</v>
      </c>
      <c r="E16" s="46" t="s">
        <v>536</v>
      </c>
      <c r="F16" s="46" t="s">
        <v>75</v>
      </c>
      <c r="G16" s="47" t="s">
        <v>537</v>
      </c>
      <c r="H16" s="46" t="s">
        <v>541</v>
      </c>
      <c r="I16" s="48" t="n">
        <v>0</v>
      </c>
      <c r="J16" s="48" t="n">
        <v>0</v>
      </c>
      <c r="K16" s="46" t="s">
        <v>75</v>
      </c>
      <c r="M16" s="46" t="s">
        <v>75</v>
      </c>
      <c r="N16" s="46" t="s">
        <v>74</v>
      </c>
      <c r="O16" s="46" t="s">
        <v>75</v>
      </c>
      <c r="P16" s="49" t="n">
        <v>112984</v>
      </c>
      <c r="Q16" s="50" t="s">
        <v>449</v>
      </c>
      <c r="R16" s="50" t="s">
        <v>419</v>
      </c>
      <c r="S16" s="51" t="s">
        <v>539</v>
      </c>
    </row>
    <row r="17" customFormat="false" ht="12.75" hidden="false" customHeight="false" outlineLevel="0" collapsed="false">
      <c r="A17" s="46" t="s">
        <v>574</v>
      </c>
      <c r="B17" s="46" t="s">
        <v>541</v>
      </c>
      <c r="C17" s="46" t="s">
        <v>534</v>
      </c>
      <c r="D17" s="46" t="s">
        <v>575</v>
      </c>
      <c r="E17" s="46" t="s">
        <v>536</v>
      </c>
      <c r="F17" s="46" t="s">
        <v>74</v>
      </c>
      <c r="G17" s="47" t="s">
        <v>537</v>
      </c>
      <c r="H17" s="46" t="s">
        <v>541</v>
      </c>
      <c r="I17" s="48" t="n">
        <v>75</v>
      </c>
      <c r="J17" s="48" t="n">
        <v>51</v>
      </c>
      <c r="K17" s="46" t="s">
        <v>75</v>
      </c>
      <c r="M17" s="46" t="s">
        <v>74</v>
      </c>
      <c r="N17" s="46" t="s">
        <v>74</v>
      </c>
      <c r="O17" s="46" t="s">
        <v>75</v>
      </c>
      <c r="P17" s="49" t="n">
        <v>149684</v>
      </c>
      <c r="Q17" s="50" t="s">
        <v>496</v>
      </c>
      <c r="R17" s="50" t="s">
        <v>550</v>
      </c>
      <c r="S17" s="51" t="s">
        <v>539</v>
      </c>
    </row>
    <row r="18" customFormat="false" ht="12.75" hidden="false" customHeight="false" outlineLevel="0" collapsed="false">
      <c r="A18" s="46" t="s">
        <v>576</v>
      </c>
      <c r="B18" s="46" t="s">
        <v>541</v>
      </c>
      <c r="C18" s="46" t="s">
        <v>534</v>
      </c>
      <c r="D18" s="46" t="s">
        <v>577</v>
      </c>
      <c r="E18" s="46" t="s">
        <v>536</v>
      </c>
      <c r="F18" s="46" t="s">
        <v>74</v>
      </c>
      <c r="G18" s="47" t="s">
        <v>537</v>
      </c>
      <c r="H18" s="46" t="s">
        <v>541</v>
      </c>
      <c r="I18" s="48" t="n">
        <v>75</v>
      </c>
      <c r="J18" s="48" t="n">
        <v>51</v>
      </c>
      <c r="K18" s="46" t="s">
        <v>75</v>
      </c>
      <c r="M18" s="46" t="s">
        <v>74</v>
      </c>
      <c r="N18" s="46" t="s">
        <v>74</v>
      </c>
      <c r="O18" s="46" t="s">
        <v>75</v>
      </c>
      <c r="P18" s="49" t="n">
        <v>172052</v>
      </c>
      <c r="Q18" s="50" t="s">
        <v>429</v>
      </c>
      <c r="R18" s="50" t="s">
        <v>419</v>
      </c>
      <c r="S18" s="51" t="s">
        <v>539</v>
      </c>
    </row>
    <row r="19" customFormat="false" ht="12.75" hidden="false" customHeight="false" outlineLevel="0" collapsed="false">
      <c r="A19" s="46" t="s">
        <v>578</v>
      </c>
      <c r="B19" s="46" t="s">
        <v>533</v>
      </c>
      <c r="C19" s="46" t="s">
        <v>534</v>
      </c>
      <c r="D19" s="46" t="s">
        <v>579</v>
      </c>
      <c r="E19" s="46" t="s">
        <v>536</v>
      </c>
      <c r="F19" s="46" t="s">
        <v>74</v>
      </c>
      <c r="G19" s="47" t="s">
        <v>537</v>
      </c>
      <c r="H19" s="46" t="s">
        <v>533</v>
      </c>
      <c r="I19" s="48" t="n">
        <v>60</v>
      </c>
      <c r="J19" s="48" t="n">
        <v>30</v>
      </c>
      <c r="K19" s="46" t="s">
        <v>75</v>
      </c>
      <c r="M19" s="46" t="s">
        <v>74</v>
      </c>
      <c r="N19" s="46" t="s">
        <v>74</v>
      </c>
      <c r="O19" s="46" t="s">
        <v>74</v>
      </c>
      <c r="P19" s="49" t="n">
        <v>178188</v>
      </c>
      <c r="Q19" s="50" t="s">
        <v>443</v>
      </c>
      <c r="R19" s="50" t="s">
        <v>550</v>
      </c>
      <c r="S19" s="51" t="s">
        <v>539</v>
      </c>
    </row>
    <row r="20" customFormat="false" ht="12.75" hidden="false" customHeight="false" outlineLevel="0" collapsed="false">
      <c r="A20" s="46" t="s">
        <v>580</v>
      </c>
      <c r="B20" s="46" t="s">
        <v>541</v>
      </c>
      <c r="C20" s="46" t="s">
        <v>534</v>
      </c>
      <c r="D20" s="46" t="s">
        <v>581</v>
      </c>
      <c r="E20" s="46" t="s">
        <v>536</v>
      </c>
      <c r="F20" s="46" t="s">
        <v>74</v>
      </c>
      <c r="G20" s="47" t="s">
        <v>537</v>
      </c>
      <c r="H20" s="46" t="s">
        <v>541</v>
      </c>
      <c r="I20" s="48" t="n">
        <v>51</v>
      </c>
      <c r="J20" s="48" t="n">
        <v>55</v>
      </c>
      <c r="K20" s="46" t="s">
        <v>75</v>
      </c>
      <c r="M20" s="46" t="s">
        <v>75</v>
      </c>
      <c r="N20" s="46" t="s">
        <v>75</v>
      </c>
      <c r="O20" s="46" t="s">
        <v>75</v>
      </c>
      <c r="P20" s="49" t="n">
        <v>510694</v>
      </c>
      <c r="Q20" s="50" t="s">
        <v>413</v>
      </c>
      <c r="R20" s="50" t="s">
        <v>550</v>
      </c>
      <c r="S20" s="51" t="s">
        <v>539</v>
      </c>
    </row>
    <row r="21" customFormat="false" ht="12.75" hidden="false" customHeight="false" outlineLevel="0" collapsed="false">
      <c r="A21" s="46" t="s">
        <v>582</v>
      </c>
      <c r="B21" s="46" t="s">
        <v>545</v>
      </c>
      <c r="C21" s="46" t="s">
        <v>534</v>
      </c>
      <c r="D21" s="46" t="s">
        <v>583</v>
      </c>
      <c r="E21" s="46" t="s">
        <v>536</v>
      </c>
      <c r="F21" s="46" t="s">
        <v>74</v>
      </c>
      <c r="G21" s="47" t="s">
        <v>537</v>
      </c>
      <c r="H21" s="46" t="s">
        <v>545</v>
      </c>
      <c r="I21" s="48" t="n">
        <v>100</v>
      </c>
      <c r="J21" s="48" t="n">
        <v>55</v>
      </c>
      <c r="K21" s="46" t="s">
        <v>75</v>
      </c>
      <c r="M21" s="46" t="s">
        <v>75</v>
      </c>
      <c r="N21" s="46" t="s">
        <v>75</v>
      </c>
      <c r="O21" s="46" t="s">
        <v>75</v>
      </c>
      <c r="P21" s="49" t="n">
        <v>529824</v>
      </c>
      <c r="Q21" s="50" t="s">
        <v>429</v>
      </c>
      <c r="R21" s="50" t="s">
        <v>550</v>
      </c>
      <c r="S21" s="51" t="s">
        <v>539</v>
      </c>
    </row>
    <row r="22" customFormat="false" ht="12.75" hidden="false" customHeight="false" outlineLevel="0" collapsed="false">
      <c r="A22" s="46" t="s">
        <v>584</v>
      </c>
      <c r="B22" s="46" t="s">
        <v>541</v>
      </c>
      <c r="C22" s="46" t="s">
        <v>534</v>
      </c>
      <c r="D22" s="46" t="s">
        <v>585</v>
      </c>
      <c r="E22" s="46" t="s">
        <v>536</v>
      </c>
      <c r="F22" s="46" t="s">
        <v>74</v>
      </c>
      <c r="G22" s="47" t="s">
        <v>537</v>
      </c>
      <c r="H22" s="46" t="s">
        <v>541</v>
      </c>
      <c r="I22" s="48" t="n">
        <v>51</v>
      </c>
      <c r="J22" s="48" t="n">
        <v>51</v>
      </c>
      <c r="K22" s="46" t="s">
        <v>75</v>
      </c>
      <c r="M22" s="46" t="s">
        <v>74</v>
      </c>
      <c r="N22" s="46" t="s">
        <v>74</v>
      </c>
      <c r="O22" s="46" t="s">
        <v>75</v>
      </c>
      <c r="P22" s="49" t="n">
        <v>148768</v>
      </c>
      <c r="Q22" s="50" t="s">
        <v>420</v>
      </c>
      <c r="R22" s="50" t="s">
        <v>419</v>
      </c>
      <c r="S22" s="51" t="s">
        <v>539</v>
      </c>
    </row>
    <row r="23" customFormat="false" ht="12.75" hidden="false" customHeight="false" outlineLevel="0" collapsed="false">
      <c r="A23" s="46" t="s">
        <v>586</v>
      </c>
      <c r="B23" s="46" t="s">
        <v>545</v>
      </c>
      <c r="C23" s="46" t="s">
        <v>534</v>
      </c>
      <c r="D23" s="46" t="s">
        <v>587</v>
      </c>
      <c r="E23" s="46" t="s">
        <v>536</v>
      </c>
      <c r="F23" s="46" t="s">
        <v>74</v>
      </c>
      <c r="G23" s="47" t="s">
        <v>537</v>
      </c>
      <c r="H23" s="46" t="s">
        <v>545</v>
      </c>
      <c r="I23" s="48" t="n">
        <v>51</v>
      </c>
      <c r="J23" s="48" t="n">
        <v>12</v>
      </c>
      <c r="K23" s="46" t="s">
        <v>75</v>
      </c>
      <c r="M23" s="46" t="s">
        <v>75</v>
      </c>
      <c r="N23" s="46" t="s">
        <v>75</v>
      </c>
      <c r="O23" s="46" t="s">
        <v>75</v>
      </c>
      <c r="P23" s="49" t="n">
        <v>313750</v>
      </c>
      <c r="Q23" s="50" t="s">
        <v>456</v>
      </c>
      <c r="R23" s="50" t="s">
        <v>419</v>
      </c>
      <c r="S23" s="51" t="s">
        <v>539</v>
      </c>
    </row>
    <row r="24" customFormat="false" ht="12.75" hidden="false" customHeight="false" outlineLevel="0" collapsed="false">
      <c r="A24" s="46" t="s">
        <v>588</v>
      </c>
      <c r="B24" s="46" t="s">
        <v>545</v>
      </c>
      <c r="C24" s="46" t="s">
        <v>546</v>
      </c>
      <c r="D24" s="46" t="s">
        <v>589</v>
      </c>
      <c r="E24" s="46" t="s">
        <v>536</v>
      </c>
      <c r="F24" s="46" t="s">
        <v>74</v>
      </c>
      <c r="G24" s="47" t="s">
        <v>537</v>
      </c>
      <c r="H24" s="46" t="s">
        <v>545</v>
      </c>
      <c r="I24" s="48" t="n">
        <v>100</v>
      </c>
      <c r="J24" s="48" t="n">
        <v>20</v>
      </c>
      <c r="K24" s="46" t="s">
        <v>75</v>
      </c>
      <c r="M24" s="46" t="s">
        <v>75</v>
      </c>
      <c r="N24" s="46" t="s">
        <v>75</v>
      </c>
      <c r="O24" s="46" t="s">
        <v>75</v>
      </c>
      <c r="P24" s="49" t="n">
        <v>300644</v>
      </c>
      <c r="Q24" s="50" t="s">
        <v>439</v>
      </c>
      <c r="R24" s="50" t="s">
        <v>550</v>
      </c>
      <c r="S24" s="51" t="s">
        <v>539</v>
      </c>
    </row>
    <row r="25" customFormat="false" ht="12.75" hidden="false" customHeight="false" outlineLevel="0" collapsed="false">
      <c r="A25" s="46" t="s">
        <v>590</v>
      </c>
      <c r="B25" s="46" t="s">
        <v>545</v>
      </c>
      <c r="C25" s="46" t="s">
        <v>559</v>
      </c>
      <c r="D25" s="46" t="s">
        <v>591</v>
      </c>
      <c r="E25" s="46" t="s">
        <v>536</v>
      </c>
      <c r="F25" s="46" t="s">
        <v>74</v>
      </c>
      <c r="G25" s="47" t="s">
        <v>537</v>
      </c>
      <c r="H25" s="46" t="s">
        <v>545</v>
      </c>
      <c r="I25" s="48" t="n">
        <v>25</v>
      </c>
      <c r="J25" s="48" t="n">
        <v>10</v>
      </c>
      <c r="K25" s="46" t="s">
        <v>75</v>
      </c>
      <c r="M25" s="46" t="s">
        <v>75</v>
      </c>
      <c r="N25" s="46" t="s">
        <v>75</v>
      </c>
      <c r="O25" s="46" t="s">
        <v>75</v>
      </c>
      <c r="P25" s="49" t="n">
        <v>198927</v>
      </c>
      <c r="Q25" s="50" t="s">
        <v>456</v>
      </c>
      <c r="R25" s="50" t="s">
        <v>550</v>
      </c>
      <c r="S25" s="51" t="s">
        <v>539</v>
      </c>
    </row>
    <row r="26" customFormat="false" ht="12.75" hidden="false" customHeight="false" outlineLevel="0" collapsed="false">
      <c r="A26" s="46" t="s">
        <v>592</v>
      </c>
      <c r="B26" s="46" t="s">
        <v>545</v>
      </c>
      <c r="C26" s="46" t="s">
        <v>542</v>
      </c>
      <c r="D26" s="46" t="s">
        <v>593</v>
      </c>
      <c r="E26" s="46" t="s">
        <v>536</v>
      </c>
      <c r="F26" s="46" t="s">
        <v>74</v>
      </c>
      <c r="G26" s="47" t="s">
        <v>537</v>
      </c>
      <c r="H26" s="46" t="s">
        <v>545</v>
      </c>
      <c r="I26" s="48" t="n">
        <v>0</v>
      </c>
      <c r="J26" s="48" t="n">
        <v>0</v>
      </c>
      <c r="K26" s="46" t="s">
        <v>75</v>
      </c>
      <c r="M26" s="46" t="s">
        <v>75</v>
      </c>
      <c r="N26" s="46" t="s">
        <v>75</v>
      </c>
      <c r="O26" s="46" t="s">
        <v>75</v>
      </c>
      <c r="P26" s="49" t="n">
        <v>225908</v>
      </c>
      <c r="Q26" s="50" t="s">
        <v>456</v>
      </c>
      <c r="R26" s="50" t="s">
        <v>550</v>
      </c>
      <c r="S26" s="51" t="s">
        <v>539</v>
      </c>
    </row>
    <row r="27" customFormat="false" ht="12.75" hidden="false" customHeight="false" outlineLevel="0" collapsed="false">
      <c r="A27" s="46" t="s">
        <v>594</v>
      </c>
      <c r="B27" s="46" t="s">
        <v>541</v>
      </c>
      <c r="C27" s="46" t="s">
        <v>534</v>
      </c>
      <c r="D27" s="46" t="s">
        <v>595</v>
      </c>
      <c r="E27" s="46" t="s">
        <v>536</v>
      </c>
      <c r="F27" s="46" t="s">
        <v>74</v>
      </c>
      <c r="G27" s="47" t="s">
        <v>537</v>
      </c>
      <c r="H27" s="46" t="s">
        <v>541</v>
      </c>
      <c r="I27" s="48" t="n">
        <v>100</v>
      </c>
      <c r="J27" s="48" t="n">
        <v>30</v>
      </c>
      <c r="K27" s="46" t="s">
        <v>75</v>
      </c>
      <c r="M27" s="46" t="s">
        <v>75</v>
      </c>
      <c r="N27" s="46" t="s">
        <v>75</v>
      </c>
      <c r="O27" s="46" t="s">
        <v>75</v>
      </c>
      <c r="P27" s="49" t="n">
        <v>503053</v>
      </c>
      <c r="Q27" s="50" t="s">
        <v>456</v>
      </c>
      <c r="R27" s="50" t="s">
        <v>419</v>
      </c>
      <c r="S27" s="51" t="s">
        <v>539</v>
      </c>
    </row>
    <row r="28" customFormat="false" ht="12.75" hidden="false" customHeight="false" outlineLevel="0" collapsed="false">
      <c r="A28" s="46" t="s">
        <v>596</v>
      </c>
      <c r="B28" s="46" t="s">
        <v>545</v>
      </c>
      <c r="C28" s="46" t="s">
        <v>534</v>
      </c>
      <c r="D28" s="46" t="s">
        <v>597</v>
      </c>
      <c r="E28" s="46" t="s">
        <v>536</v>
      </c>
      <c r="F28" s="46" t="s">
        <v>74</v>
      </c>
      <c r="G28" s="47" t="s">
        <v>537</v>
      </c>
      <c r="H28" s="46" t="s">
        <v>545</v>
      </c>
      <c r="I28" s="48" t="n">
        <v>74</v>
      </c>
      <c r="J28" s="48" t="n">
        <v>55</v>
      </c>
      <c r="K28" s="46" t="s">
        <v>75</v>
      </c>
      <c r="M28" s="46" t="s">
        <v>75</v>
      </c>
      <c r="N28" s="46" t="s">
        <v>75</v>
      </c>
      <c r="O28" s="46" t="s">
        <v>75</v>
      </c>
      <c r="P28" s="49" t="n">
        <v>513891</v>
      </c>
      <c r="Q28" s="50" t="s">
        <v>449</v>
      </c>
      <c r="R28" s="50" t="s">
        <v>419</v>
      </c>
      <c r="S28" s="51" t="s">
        <v>539</v>
      </c>
    </row>
    <row r="29" customFormat="false" ht="12.75" hidden="false" customHeight="false" outlineLevel="0" collapsed="false">
      <c r="A29" s="46" t="s">
        <v>598</v>
      </c>
      <c r="B29" s="46" t="s">
        <v>541</v>
      </c>
      <c r="C29" s="46" t="s">
        <v>599</v>
      </c>
      <c r="D29" s="46" t="s">
        <v>600</v>
      </c>
      <c r="E29" s="46" t="s">
        <v>536</v>
      </c>
      <c r="F29" s="46" t="s">
        <v>75</v>
      </c>
      <c r="G29" s="47" t="s">
        <v>537</v>
      </c>
      <c r="H29" s="46" t="s">
        <v>541</v>
      </c>
      <c r="I29" s="48" t="n">
        <v>15</v>
      </c>
      <c r="J29" s="48" t="n">
        <v>0</v>
      </c>
      <c r="K29" s="46" t="s">
        <v>75</v>
      </c>
      <c r="M29" s="46" t="s">
        <v>75</v>
      </c>
      <c r="N29" s="46" t="s">
        <v>75</v>
      </c>
      <c r="O29" s="46" t="s">
        <v>75</v>
      </c>
      <c r="P29" s="49" t="n">
        <v>115387</v>
      </c>
      <c r="Q29" s="50" t="s">
        <v>429</v>
      </c>
      <c r="R29" s="50" t="s">
        <v>538</v>
      </c>
      <c r="S29" s="51" t="s">
        <v>539</v>
      </c>
    </row>
    <row r="30" customFormat="false" ht="12.75" hidden="false" customHeight="false" outlineLevel="0" collapsed="false">
      <c r="A30" s="46" t="s">
        <v>601</v>
      </c>
      <c r="B30" s="46" t="s">
        <v>541</v>
      </c>
      <c r="C30" s="46" t="s">
        <v>562</v>
      </c>
      <c r="D30" s="46" t="s">
        <v>602</v>
      </c>
      <c r="E30" s="46" t="s">
        <v>536</v>
      </c>
      <c r="F30" s="46" t="s">
        <v>74</v>
      </c>
      <c r="G30" s="47" t="s">
        <v>537</v>
      </c>
      <c r="H30" s="46" t="s">
        <v>541</v>
      </c>
      <c r="I30" s="48" t="n">
        <v>25</v>
      </c>
      <c r="J30" s="48" t="n">
        <v>0</v>
      </c>
      <c r="K30" s="46" t="s">
        <v>75</v>
      </c>
      <c r="M30" s="46" t="s">
        <v>75</v>
      </c>
      <c r="N30" s="46" t="s">
        <v>75</v>
      </c>
      <c r="O30" s="46" t="s">
        <v>75</v>
      </c>
      <c r="P30" s="49" t="n">
        <v>211081</v>
      </c>
      <c r="Q30" s="50" t="s">
        <v>439</v>
      </c>
      <c r="R30" s="50" t="s">
        <v>419</v>
      </c>
      <c r="S30" s="51" t="s">
        <v>539</v>
      </c>
    </row>
    <row r="31" customFormat="false" ht="12.75" hidden="false" customHeight="false" outlineLevel="0" collapsed="false">
      <c r="A31" s="46" t="s">
        <v>603</v>
      </c>
      <c r="B31" s="46" t="s">
        <v>545</v>
      </c>
      <c r="C31" s="46" t="s">
        <v>534</v>
      </c>
      <c r="D31" s="46" t="s">
        <v>604</v>
      </c>
      <c r="E31" s="46" t="s">
        <v>536</v>
      </c>
      <c r="F31" s="46" t="s">
        <v>74</v>
      </c>
      <c r="G31" s="47" t="s">
        <v>537</v>
      </c>
      <c r="H31" s="46" t="s">
        <v>545</v>
      </c>
      <c r="I31" s="48" t="n">
        <v>51</v>
      </c>
      <c r="J31" s="48" t="n">
        <v>40</v>
      </c>
      <c r="K31" s="46" t="s">
        <v>75</v>
      </c>
      <c r="M31" s="46" t="s">
        <v>75</v>
      </c>
      <c r="N31" s="46" t="s">
        <v>74</v>
      </c>
      <c r="O31" s="46" t="s">
        <v>75</v>
      </c>
      <c r="P31" s="49" t="n">
        <v>488127</v>
      </c>
      <c r="Q31" s="50" t="s">
        <v>435</v>
      </c>
      <c r="R31" s="50" t="s">
        <v>419</v>
      </c>
      <c r="S31" s="51" t="s">
        <v>539</v>
      </c>
    </row>
    <row r="32" customFormat="false" ht="12.75" hidden="false" customHeight="false" outlineLevel="0" collapsed="false">
      <c r="A32" s="46" t="s">
        <v>605</v>
      </c>
      <c r="B32" s="46" t="s">
        <v>541</v>
      </c>
      <c r="C32" s="46" t="s">
        <v>534</v>
      </c>
      <c r="D32" s="46" t="s">
        <v>606</v>
      </c>
      <c r="E32" s="46" t="s">
        <v>536</v>
      </c>
      <c r="F32" s="46" t="s">
        <v>74</v>
      </c>
      <c r="G32" s="47" t="s">
        <v>537</v>
      </c>
      <c r="H32" s="46" t="s">
        <v>541</v>
      </c>
      <c r="I32" s="48" t="n">
        <v>74</v>
      </c>
      <c r="J32" s="48" t="n">
        <v>30</v>
      </c>
      <c r="K32" s="46" t="s">
        <v>75</v>
      </c>
      <c r="M32" s="46" t="s">
        <v>75</v>
      </c>
      <c r="N32" s="46" t="s">
        <v>74</v>
      </c>
      <c r="O32" s="46" t="s">
        <v>75</v>
      </c>
      <c r="P32" s="49" t="n">
        <v>499126</v>
      </c>
      <c r="Q32" s="50" t="s">
        <v>456</v>
      </c>
      <c r="R32" s="50" t="s">
        <v>538</v>
      </c>
      <c r="S32" s="51" t="s">
        <v>539</v>
      </c>
    </row>
    <row r="33" customFormat="false" ht="12.75" hidden="false" customHeight="false" outlineLevel="0" collapsed="false">
      <c r="A33" s="46" t="s">
        <v>607</v>
      </c>
      <c r="B33" s="46" t="s">
        <v>545</v>
      </c>
      <c r="C33" s="46" t="s">
        <v>559</v>
      </c>
      <c r="D33" s="46" t="s">
        <v>608</v>
      </c>
      <c r="E33" s="46" t="s">
        <v>536</v>
      </c>
      <c r="F33" s="46" t="s">
        <v>74</v>
      </c>
      <c r="G33" s="47" t="s">
        <v>537</v>
      </c>
      <c r="H33" s="46" t="s">
        <v>545</v>
      </c>
      <c r="I33" s="48" t="n">
        <v>0</v>
      </c>
      <c r="J33" s="48" t="n">
        <v>0</v>
      </c>
      <c r="K33" s="46" t="s">
        <v>75</v>
      </c>
      <c r="M33" s="46" t="s">
        <v>75</v>
      </c>
      <c r="N33" s="46" t="s">
        <v>74</v>
      </c>
      <c r="O33" s="46" t="s">
        <v>75</v>
      </c>
      <c r="P33" s="49" t="n">
        <v>214223</v>
      </c>
      <c r="Q33" s="50" t="s">
        <v>435</v>
      </c>
      <c r="R33" s="50" t="s">
        <v>419</v>
      </c>
      <c r="S33" s="51" t="s">
        <v>539</v>
      </c>
    </row>
    <row r="34" customFormat="false" ht="12.75" hidden="false" customHeight="false" outlineLevel="0" collapsed="false">
      <c r="A34" s="46" t="s">
        <v>609</v>
      </c>
      <c r="B34" s="46" t="s">
        <v>545</v>
      </c>
      <c r="C34" s="46" t="s">
        <v>534</v>
      </c>
      <c r="D34" s="46" t="s">
        <v>610</v>
      </c>
      <c r="E34" s="46" t="s">
        <v>536</v>
      </c>
      <c r="F34" s="46" t="s">
        <v>74</v>
      </c>
      <c r="G34" s="47" t="s">
        <v>537</v>
      </c>
      <c r="H34" s="46" t="s">
        <v>545</v>
      </c>
      <c r="I34" s="48" t="n">
        <v>51</v>
      </c>
      <c r="J34" s="48" t="n">
        <v>20</v>
      </c>
      <c r="K34" s="46" t="s">
        <v>75</v>
      </c>
      <c r="M34" s="46" t="s">
        <v>75</v>
      </c>
      <c r="N34" s="46" t="s">
        <v>75</v>
      </c>
      <c r="O34" s="46" t="s">
        <v>75</v>
      </c>
      <c r="P34" s="49" t="n">
        <v>313136</v>
      </c>
      <c r="Q34" s="50" t="s">
        <v>435</v>
      </c>
      <c r="R34" s="50" t="s">
        <v>538</v>
      </c>
      <c r="S34" s="51" t="s">
        <v>539</v>
      </c>
    </row>
    <row r="35" customFormat="false" ht="12.75" hidden="false" customHeight="false" outlineLevel="0" collapsed="false">
      <c r="A35" s="46" t="s">
        <v>611</v>
      </c>
      <c r="B35" s="46" t="s">
        <v>541</v>
      </c>
      <c r="C35" s="46" t="s">
        <v>534</v>
      </c>
      <c r="D35" s="46" t="s">
        <v>612</v>
      </c>
      <c r="E35" s="46" t="s">
        <v>536</v>
      </c>
      <c r="F35" s="46" t="s">
        <v>74</v>
      </c>
      <c r="G35" s="47" t="s">
        <v>537</v>
      </c>
      <c r="H35" s="46" t="s">
        <v>541</v>
      </c>
      <c r="I35" s="48" t="n">
        <v>51</v>
      </c>
      <c r="J35" s="48" t="n">
        <v>51</v>
      </c>
      <c r="K35" s="46" t="s">
        <v>75</v>
      </c>
      <c r="M35" s="46" t="s">
        <v>74</v>
      </c>
      <c r="N35" s="46" t="s">
        <v>74</v>
      </c>
      <c r="O35" s="46" t="s">
        <v>75</v>
      </c>
      <c r="P35" s="49" t="n">
        <v>190407</v>
      </c>
      <c r="Q35" s="50" t="s">
        <v>429</v>
      </c>
      <c r="R35" s="50" t="s">
        <v>419</v>
      </c>
      <c r="S35" s="51" t="s">
        <v>539</v>
      </c>
    </row>
    <row r="36" customFormat="false" ht="12.75" hidden="false" customHeight="false" outlineLevel="0" collapsed="false">
      <c r="A36" s="46" t="s">
        <v>613</v>
      </c>
      <c r="B36" s="46" t="s">
        <v>545</v>
      </c>
      <c r="C36" s="46" t="s">
        <v>546</v>
      </c>
      <c r="D36" s="46" t="s">
        <v>614</v>
      </c>
      <c r="E36" s="46" t="s">
        <v>536</v>
      </c>
      <c r="F36" s="46" t="s">
        <v>74</v>
      </c>
      <c r="G36" s="47" t="s">
        <v>537</v>
      </c>
      <c r="H36" s="46" t="s">
        <v>545</v>
      </c>
      <c r="I36" s="48" t="n">
        <v>68</v>
      </c>
      <c r="J36" s="48" t="n">
        <v>12</v>
      </c>
      <c r="K36" s="46" t="s">
        <v>75</v>
      </c>
      <c r="M36" s="46" t="s">
        <v>75</v>
      </c>
      <c r="N36" s="46" t="s">
        <v>75</v>
      </c>
      <c r="O36" s="46" t="s">
        <v>75</v>
      </c>
      <c r="P36" s="49" t="n">
        <v>267279</v>
      </c>
      <c r="Q36" s="50" t="s">
        <v>435</v>
      </c>
      <c r="R36" s="50" t="s">
        <v>550</v>
      </c>
      <c r="S36" s="51" t="s">
        <v>539</v>
      </c>
    </row>
    <row r="37" customFormat="false" ht="12.75" hidden="false" customHeight="false" outlineLevel="0" collapsed="false">
      <c r="A37" s="46" t="s">
        <v>615</v>
      </c>
      <c r="B37" s="46" t="s">
        <v>545</v>
      </c>
      <c r="C37" s="46" t="s">
        <v>546</v>
      </c>
      <c r="D37" s="46" t="s">
        <v>616</v>
      </c>
      <c r="E37" s="46" t="s">
        <v>536</v>
      </c>
      <c r="F37" s="46" t="s">
        <v>74</v>
      </c>
      <c r="G37" s="47" t="s">
        <v>537</v>
      </c>
      <c r="H37" s="46" t="s">
        <v>545</v>
      </c>
      <c r="I37" s="48" t="n">
        <v>51</v>
      </c>
      <c r="J37" s="48" t="n">
        <v>0</v>
      </c>
      <c r="K37" s="46" t="s">
        <v>75</v>
      </c>
      <c r="M37" s="46" t="s">
        <v>75</v>
      </c>
      <c r="N37" s="46" t="s">
        <v>74</v>
      </c>
      <c r="O37" s="46" t="s">
        <v>75</v>
      </c>
      <c r="P37" s="49" t="n">
        <v>303885</v>
      </c>
      <c r="Q37" s="50" t="s">
        <v>413</v>
      </c>
      <c r="R37" s="50" t="s">
        <v>538</v>
      </c>
      <c r="S37" s="51" t="s">
        <v>539</v>
      </c>
    </row>
    <row r="38" customFormat="false" ht="12.75" hidden="false" customHeight="false" outlineLevel="0" collapsed="false">
      <c r="A38" s="46" t="s">
        <v>617</v>
      </c>
      <c r="B38" s="46" t="s">
        <v>545</v>
      </c>
      <c r="C38" s="46" t="s">
        <v>534</v>
      </c>
      <c r="D38" s="46" t="s">
        <v>618</v>
      </c>
      <c r="E38" s="46" t="s">
        <v>536</v>
      </c>
      <c r="F38" s="46" t="s">
        <v>74</v>
      </c>
      <c r="G38" s="47" t="s">
        <v>537</v>
      </c>
      <c r="H38" s="46" t="s">
        <v>545</v>
      </c>
      <c r="I38" s="48" t="n">
        <v>51</v>
      </c>
      <c r="J38" s="48" t="n">
        <v>55</v>
      </c>
      <c r="K38" s="46" t="s">
        <v>75</v>
      </c>
      <c r="M38" s="46" t="s">
        <v>75</v>
      </c>
      <c r="N38" s="46" t="s">
        <v>74</v>
      </c>
      <c r="O38" s="46" t="s">
        <v>75</v>
      </c>
      <c r="P38" s="49" t="n">
        <v>466561</v>
      </c>
      <c r="Q38" s="50" t="s">
        <v>456</v>
      </c>
      <c r="R38" s="50" t="s">
        <v>550</v>
      </c>
      <c r="S38" s="51" t="s">
        <v>539</v>
      </c>
    </row>
    <row r="39" customFormat="false" ht="12.75" hidden="false" customHeight="false" outlineLevel="0" collapsed="false">
      <c r="A39" s="46" t="s">
        <v>619</v>
      </c>
      <c r="B39" s="46" t="s">
        <v>541</v>
      </c>
      <c r="C39" s="46" t="s">
        <v>534</v>
      </c>
      <c r="D39" s="46" t="s">
        <v>620</v>
      </c>
      <c r="E39" s="46" t="s">
        <v>536</v>
      </c>
      <c r="F39" s="46" t="s">
        <v>74</v>
      </c>
      <c r="G39" s="47" t="s">
        <v>537</v>
      </c>
      <c r="H39" s="46" t="s">
        <v>541</v>
      </c>
      <c r="I39" s="48" t="n">
        <v>51</v>
      </c>
      <c r="J39" s="48" t="n">
        <v>35</v>
      </c>
      <c r="K39" s="46" t="s">
        <v>75</v>
      </c>
      <c r="M39" s="46" t="s">
        <v>74</v>
      </c>
      <c r="N39" s="46" t="s">
        <v>75</v>
      </c>
      <c r="O39" s="46" t="s">
        <v>75</v>
      </c>
      <c r="P39" s="49" t="n">
        <v>176640</v>
      </c>
      <c r="Q39" s="50" t="s">
        <v>435</v>
      </c>
      <c r="R39" s="50" t="s">
        <v>538</v>
      </c>
      <c r="S39" s="51" t="s">
        <v>539</v>
      </c>
    </row>
    <row r="40" customFormat="false" ht="12.75" hidden="false" customHeight="false" outlineLevel="0" collapsed="false">
      <c r="A40" s="46" t="s">
        <v>621</v>
      </c>
      <c r="B40" s="46" t="s">
        <v>541</v>
      </c>
      <c r="C40" s="46" t="s">
        <v>534</v>
      </c>
      <c r="D40" s="46" t="s">
        <v>622</v>
      </c>
      <c r="E40" s="46" t="s">
        <v>536</v>
      </c>
      <c r="F40" s="46" t="s">
        <v>74</v>
      </c>
      <c r="G40" s="47" t="s">
        <v>537</v>
      </c>
      <c r="H40" s="46" t="s">
        <v>541</v>
      </c>
      <c r="I40" s="48" t="n">
        <v>51</v>
      </c>
      <c r="J40" s="48" t="n">
        <v>30</v>
      </c>
      <c r="K40" s="46" t="s">
        <v>75</v>
      </c>
      <c r="M40" s="46" t="s">
        <v>75</v>
      </c>
      <c r="N40" s="46" t="s">
        <v>75</v>
      </c>
      <c r="O40" s="46" t="s">
        <v>75</v>
      </c>
      <c r="P40" s="49" t="n">
        <v>477496</v>
      </c>
      <c r="Q40" s="50" t="s">
        <v>420</v>
      </c>
      <c r="R40" s="50" t="s">
        <v>419</v>
      </c>
      <c r="S40" s="51" t="s">
        <v>539</v>
      </c>
    </row>
    <row r="41" customFormat="false" ht="12.75" hidden="false" customHeight="false" outlineLevel="0" collapsed="false">
      <c r="A41" s="46" t="s">
        <v>623</v>
      </c>
      <c r="B41" s="46" t="s">
        <v>545</v>
      </c>
      <c r="C41" s="46" t="s">
        <v>546</v>
      </c>
      <c r="D41" s="46" t="s">
        <v>624</v>
      </c>
      <c r="E41" s="46" t="s">
        <v>536</v>
      </c>
      <c r="F41" s="46" t="s">
        <v>74</v>
      </c>
      <c r="G41" s="47" t="s">
        <v>537</v>
      </c>
      <c r="H41" s="46" t="s">
        <v>545</v>
      </c>
      <c r="I41" s="48" t="n">
        <v>100</v>
      </c>
      <c r="J41" s="48" t="n">
        <v>12</v>
      </c>
      <c r="K41" s="46" t="s">
        <v>75</v>
      </c>
      <c r="M41" s="46" t="s">
        <v>75</v>
      </c>
      <c r="N41" s="46" t="s">
        <v>75</v>
      </c>
      <c r="O41" s="46" t="s">
        <v>75</v>
      </c>
      <c r="P41" s="49" t="n">
        <v>289336</v>
      </c>
      <c r="Q41" s="50" t="s">
        <v>439</v>
      </c>
      <c r="R41" s="50" t="s">
        <v>550</v>
      </c>
      <c r="S41" s="51" t="s">
        <v>539</v>
      </c>
    </row>
    <row r="42" customFormat="false" ht="12.75" hidden="false" customHeight="false" outlineLevel="0" collapsed="false">
      <c r="A42" s="46" t="s">
        <v>625</v>
      </c>
      <c r="B42" s="46" t="s">
        <v>545</v>
      </c>
      <c r="C42" s="46" t="s">
        <v>534</v>
      </c>
      <c r="D42" s="46" t="s">
        <v>626</v>
      </c>
      <c r="E42" s="46" t="s">
        <v>536</v>
      </c>
      <c r="F42" s="46" t="s">
        <v>74</v>
      </c>
      <c r="G42" s="47" t="s">
        <v>537</v>
      </c>
      <c r="H42" s="46" t="s">
        <v>545</v>
      </c>
      <c r="I42" s="48" t="n">
        <v>51</v>
      </c>
      <c r="J42" s="48" t="n">
        <v>20</v>
      </c>
      <c r="K42" s="46" t="s">
        <v>75</v>
      </c>
      <c r="M42" s="46" t="s">
        <v>75</v>
      </c>
      <c r="N42" s="46" t="s">
        <v>74</v>
      </c>
      <c r="O42" s="46" t="s">
        <v>75</v>
      </c>
      <c r="P42" s="49" t="n">
        <v>279825</v>
      </c>
      <c r="Q42" s="50" t="s">
        <v>443</v>
      </c>
      <c r="R42" s="50" t="s">
        <v>550</v>
      </c>
      <c r="S42" s="51" t="s">
        <v>539</v>
      </c>
    </row>
    <row r="43" customFormat="false" ht="12.75" hidden="false" customHeight="false" outlineLevel="0" collapsed="false">
      <c r="A43" s="46" t="s">
        <v>627</v>
      </c>
      <c r="B43" s="46" t="s">
        <v>541</v>
      </c>
      <c r="C43" s="46" t="s">
        <v>534</v>
      </c>
      <c r="D43" s="46" t="s">
        <v>628</v>
      </c>
      <c r="E43" s="46" t="s">
        <v>536</v>
      </c>
      <c r="F43" s="46" t="s">
        <v>74</v>
      </c>
      <c r="G43" s="47" t="s">
        <v>537</v>
      </c>
      <c r="H43" s="46" t="s">
        <v>541</v>
      </c>
      <c r="I43" s="48" t="n">
        <v>75</v>
      </c>
      <c r="J43" s="48" t="n">
        <v>0</v>
      </c>
      <c r="K43" s="46" t="s">
        <v>75</v>
      </c>
      <c r="M43" s="46" t="s">
        <v>75</v>
      </c>
      <c r="N43" s="46" t="s">
        <v>75</v>
      </c>
      <c r="O43" s="46" t="s">
        <v>75</v>
      </c>
      <c r="P43" s="49" t="n">
        <v>174427</v>
      </c>
      <c r="Q43" s="50" t="s">
        <v>496</v>
      </c>
      <c r="R43" s="50" t="s">
        <v>419</v>
      </c>
      <c r="S43" s="51" t="s">
        <v>539</v>
      </c>
    </row>
    <row r="44" customFormat="false" ht="12.75" hidden="false" customHeight="false" outlineLevel="0" collapsed="false">
      <c r="A44" s="46" t="s">
        <v>629</v>
      </c>
      <c r="B44" s="46" t="s">
        <v>541</v>
      </c>
      <c r="C44" s="46" t="s">
        <v>542</v>
      </c>
      <c r="D44" s="46" t="s">
        <v>630</v>
      </c>
      <c r="E44" s="46" t="s">
        <v>536</v>
      </c>
      <c r="F44" s="46" t="s">
        <v>74</v>
      </c>
      <c r="G44" s="47" t="s">
        <v>537</v>
      </c>
      <c r="H44" s="46" t="s">
        <v>541</v>
      </c>
      <c r="I44" s="48" t="n">
        <v>45</v>
      </c>
      <c r="J44" s="48" t="n">
        <v>0</v>
      </c>
      <c r="K44" s="46" t="s">
        <v>75</v>
      </c>
      <c r="M44" s="46" t="s">
        <v>75</v>
      </c>
      <c r="N44" s="46" t="s">
        <v>74</v>
      </c>
      <c r="O44" s="46" t="s">
        <v>75</v>
      </c>
      <c r="P44" s="49" t="n">
        <v>223338</v>
      </c>
      <c r="Q44" s="50" t="s">
        <v>443</v>
      </c>
      <c r="R44" s="50" t="s">
        <v>550</v>
      </c>
      <c r="S44" s="51" t="s">
        <v>539</v>
      </c>
    </row>
    <row r="45" customFormat="false" ht="12.75" hidden="false" customHeight="false" outlineLevel="0" collapsed="false">
      <c r="A45" s="46" t="s">
        <v>631</v>
      </c>
      <c r="B45" s="46" t="s">
        <v>541</v>
      </c>
      <c r="C45" s="46" t="s">
        <v>562</v>
      </c>
      <c r="D45" s="46" t="s">
        <v>632</v>
      </c>
      <c r="E45" s="46" t="s">
        <v>536</v>
      </c>
      <c r="F45" s="46" t="s">
        <v>74</v>
      </c>
      <c r="G45" s="47" t="s">
        <v>537</v>
      </c>
      <c r="H45" s="46" t="s">
        <v>541</v>
      </c>
      <c r="I45" s="48" t="n">
        <v>45</v>
      </c>
      <c r="J45" s="48" t="n">
        <v>10</v>
      </c>
      <c r="K45" s="46" t="s">
        <v>75</v>
      </c>
      <c r="M45" s="46" t="s">
        <v>75</v>
      </c>
      <c r="N45" s="46" t="s">
        <v>75</v>
      </c>
      <c r="O45" s="46" t="s">
        <v>75</v>
      </c>
      <c r="P45" s="49" t="n">
        <v>196522</v>
      </c>
      <c r="Q45" s="50" t="s">
        <v>449</v>
      </c>
      <c r="R45" s="50" t="s">
        <v>538</v>
      </c>
      <c r="S45" s="51" t="s">
        <v>539</v>
      </c>
    </row>
    <row r="46" customFormat="false" ht="12.75" hidden="false" customHeight="false" outlineLevel="0" collapsed="false">
      <c r="A46" s="46" t="s">
        <v>633</v>
      </c>
      <c r="B46" s="46" t="s">
        <v>541</v>
      </c>
      <c r="C46" s="46" t="s">
        <v>634</v>
      </c>
      <c r="D46" s="46" t="s">
        <v>635</v>
      </c>
      <c r="E46" s="46" t="s">
        <v>536</v>
      </c>
      <c r="F46" s="46" t="s">
        <v>75</v>
      </c>
      <c r="G46" s="47" t="s">
        <v>537</v>
      </c>
      <c r="H46" s="46" t="s">
        <v>541</v>
      </c>
      <c r="I46" s="48" t="n">
        <v>15</v>
      </c>
      <c r="J46" s="48" t="n">
        <v>0</v>
      </c>
      <c r="K46" s="46" t="s">
        <v>75</v>
      </c>
      <c r="M46" s="46" t="s">
        <v>75</v>
      </c>
      <c r="N46" s="46" t="s">
        <v>74</v>
      </c>
      <c r="O46" s="46" t="s">
        <v>75</v>
      </c>
      <c r="P46" s="49" t="n">
        <v>124323</v>
      </c>
      <c r="Q46" s="50" t="s">
        <v>456</v>
      </c>
      <c r="R46" s="50" t="s">
        <v>419</v>
      </c>
      <c r="S46" s="51" t="s">
        <v>539</v>
      </c>
    </row>
    <row r="47" customFormat="false" ht="12.75" hidden="false" customHeight="false" outlineLevel="0" collapsed="false">
      <c r="A47" s="46" t="s">
        <v>636</v>
      </c>
      <c r="B47" s="46" t="s">
        <v>541</v>
      </c>
      <c r="C47" s="46" t="s">
        <v>534</v>
      </c>
      <c r="D47" s="46" t="s">
        <v>637</v>
      </c>
      <c r="E47" s="46" t="s">
        <v>536</v>
      </c>
      <c r="F47" s="46" t="s">
        <v>74</v>
      </c>
      <c r="G47" s="47" t="s">
        <v>537</v>
      </c>
      <c r="H47" s="46" t="s">
        <v>541</v>
      </c>
      <c r="I47" s="48" t="n">
        <v>51</v>
      </c>
      <c r="J47" s="48" t="n">
        <v>10</v>
      </c>
      <c r="K47" s="46" t="s">
        <v>75</v>
      </c>
      <c r="M47" s="46" t="s">
        <v>74</v>
      </c>
      <c r="N47" s="46" t="s">
        <v>75</v>
      </c>
      <c r="O47" s="46" t="s">
        <v>75</v>
      </c>
      <c r="P47" s="49" t="n">
        <v>180179</v>
      </c>
      <c r="Q47" s="50" t="s">
        <v>443</v>
      </c>
      <c r="R47" s="50" t="s">
        <v>538</v>
      </c>
      <c r="S47" s="51" t="s">
        <v>539</v>
      </c>
    </row>
    <row r="48" customFormat="false" ht="12.75" hidden="false" customHeight="false" outlineLevel="0" collapsed="false">
      <c r="A48" s="46" t="s">
        <v>638</v>
      </c>
      <c r="B48" s="46" t="s">
        <v>533</v>
      </c>
      <c r="C48" s="46" t="s">
        <v>534</v>
      </c>
      <c r="D48" s="46" t="s">
        <v>639</v>
      </c>
      <c r="E48" s="46" t="s">
        <v>536</v>
      </c>
      <c r="F48" s="46" t="s">
        <v>74</v>
      </c>
      <c r="G48" s="47" t="s">
        <v>537</v>
      </c>
      <c r="H48" s="46" t="s">
        <v>533</v>
      </c>
      <c r="I48" s="48" t="n">
        <v>60</v>
      </c>
      <c r="J48" s="48" t="n">
        <v>30</v>
      </c>
      <c r="K48" s="46" t="s">
        <v>75</v>
      </c>
      <c r="M48" s="46" t="s">
        <v>74</v>
      </c>
      <c r="N48" s="46" t="s">
        <v>74</v>
      </c>
      <c r="O48" s="46" t="s">
        <v>74</v>
      </c>
      <c r="P48" s="49" t="n">
        <v>178739</v>
      </c>
      <c r="Q48" s="50" t="s">
        <v>439</v>
      </c>
      <c r="R48" s="50" t="s">
        <v>419</v>
      </c>
      <c r="S48" s="51" t="s">
        <v>539</v>
      </c>
    </row>
    <row r="49" customFormat="false" ht="12.75" hidden="false" customHeight="false" outlineLevel="0" collapsed="false">
      <c r="A49" s="46" t="s">
        <v>640</v>
      </c>
      <c r="B49" s="46" t="s">
        <v>545</v>
      </c>
      <c r="C49" s="46" t="s">
        <v>562</v>
      </c>
      <c r="D49" s="46" t="s">
        <v>641</v>
      </c>
      <c r="E49" s="46" t="s">
        <v>536</v>
      </c>
      <c r="F49" s="46" t="s">
        <v>74</v>
      </c>
      <c r="G49" s="47" t="s">
        <v>537</v>
      </c>
      <c r="H49" s="46" t="s">
        <v>545</v>
      </c>
      <c r="I49" s="48" t="n">
        <v>0</v>
      </c>
      <c r="J49" s="48" t="n">
        <v>0</v>
      </c>
      <c r="K49" s="46" t="s">
        <v>75</v>
      </c>
      <c r="M49" s="46" t="s">
        <v>75</v>
      </c>
      <c r="N49" s="46" t="s">
        <v>74</v>
      </c>
      <c r="O49" s="46" t="s">
        <v>75</v>
      </c>
      <c r="P49" s="49" t="n">
        <v>204344</v>
      </c>
      <c r="Q49" s="50" t="s">
        <v>435</v>
      </c>
      <c r="R49" s="50" t="s">
        <v>419</v>
      </c>
      <c r="S49" s="51" t="s">
        <v>539</v>
      </c>
    </row>
    <row r="50" customFormat="false" ht="12.75" hidden="false" customHeight="false" outlineLevel="0" collapsed="false">
      <c r="A50" s="46" t="s">
        <v>642</v>
      </c>
      <c r="B50" s="46" t="s">
        <v>533</v>
      </c>
      <c r="C50" s="46" t="s">
        <v>534</v>
      </c>
      <c r="D50" s="46" t="s">
        <v>643</v>
      </c>
      <c r="E50" s="46" t="s">
        <v>536</v>
      </c>
      <c r="F50" s="46" t="s">
        <v>74</v>
      </c>
      <c r="G50" s="47" t="s">
        <v>537</v>
      </c>
      <c r="H50" s="46" t="s">
        <v>533</v>
      </c>
      <c r="I50" s="48" t="n">
        <v>100</v>
      </c>
      <c r="J50" s="48" t="n">
        <v>30</v>
      </c>
      <c r="K50" s="46" t="s">
        <v>75</v>
      </c>
      <c r="M50" s="46" t="s">
        <v>74</v>
      </c>
      <c r="N50" s="46" t="s">
        <v>74</v>
      </c>
      <c r="O50" s="46" t="s">
        <v>74</v>
      </c>
      <c r="P50" s="49" t="n">
        <v>180368</v>
      </c>
      <c r="Q50" s="50" t="s">
        <v>435</v>
      </c>
      <c r="R50" s="50" t="s">
        <v>550</v>
      </c>
      <c r="S50" s="51" t="s">
        <v>539</v>
      </c>
    </row>
    <row r="51" customFormat="false" ht="12.75" hidden="false" customHeight="false" outlineLevel="0" collapsed="false">
      <c r="A51" s="46" t="s">
        <v>644</v>
      </c>
      <c r="B51" s="46" t="s">
        <v>545</v>
      </c>
      <c r="C51" s="46" t="s">
        <v>546</v>
      </c>
      <c r="D51" s="46" t="s">
        <v>645</v>
      </c>
      <c r="E51" s="46" t="s">
        <v>536</v>
      </c>
      <c r="F51" s="46" t="s">
        <v>74</v>
      </c>
      <c r="G51" s="47" t="s">
        <v>537</v>
      </c>
      <c r="H51" s="46" t="s">
        <v>545</v>
      </c>
      <c r="I51" s="48" t="n">
        <v>51</v>
      </c>
      <c r="J51" s="48" t="n">
        <v>0</v>
      </c>
      <c r="K51" s="46" t="s">
        <v>75</v>
      </c>
      <c r="M51" s="46" t="s">
        <v>75</v>
      </c>
      <c r="N51" s="46" t="s">
        <v>74</v>
      </c>
      <c r="O51" s="46" t="s">
        <v>75</v>
      </c>
      <c r="P51" s="49" t="n">
        <v>290604</v>
      </c>
      <c r="Q51" s="50" t="s">
        <v>456</v>
      </c>
      <c r="R51" s="50" t="s">
        <v>419</v>
      </c>
      <c r="S51" s="51" t="s">
        <v>539</v>
      </c>
    </row>
    <row r="52" customFormat="false" ht="12.75" hidden="false" customHeight="false" outlineLevel="0" collapsed="false">
      <c r="A52" s="46" t="s">
        <v>646</v>
      </c>
      <c r="B52" s="46" t="s">
        <v>545</v>
      </c>
      <c r="C52" s="46" t="s">
        <v>534</v>
      </c>
      <c r="D52" s="46" t="s">
        <v>647</v>
      </c>
      <c r="E52" s="46" t="s">
        <v>536</v>
      </c>
      <c r="F52" s="46" t="s">
        <v>74</v>
      </c>
      <c r="G52" s="47" t="s">
        <v>537</v>
      </c>
      <c r="H52" s="46" t="s">
        <v>545</v>
      </c>
      <c r="I52" s="48" t="n">
        <v>100</v>
      </c>
      <c r="J52" s="48" t="n">
        <v>12</v>
      </c>
      <c r="K52" s="46" t="s">
        <v>75</v>
      </c>
      <c r="M52" s="46" t="s">
        <v>75</v>
      </c>
      <c r="N52" s="46" t="s">
        <v>74</v>
      </c>
      <c r="O52" s="46" t="s">
        <v>75</v>
      </c>
      <c r="P52" s="49" t="n">
        <v>273143</v>
      </c>
      <c r="Q52" s="50" t="s">
        <v>435</v>
      </c>
      <c r="R52" s="50" t="s">
        <v>550</v>
      </c>
      <c r="S52" s="51" t="s">
        <v>539</v>
      </c>
    </row>
    <row r="53" customFormat="false" ht="12.75" hidden="false" customHeight="false" outlineLevel="0" collapsed="false">
      <c r="A53" s="46" t="s">
        <v>648</v>
      </c>
      <c r="B53" s="46" t="s">
        <v>541</v>
      </c>
      <c r="C53" s="46" t="s">
        <v>534</v>
      </c>
      <c r="D53" s="46" t="s">
        <v>649</v>
      </c>
      <c r="E53" s="46" t="s">
        <v>536</v>
      </c>
      <c r="F53" s="46" t="s">
        <v>74</v>
      </c>
      <c r="G53" s="47" t="s">
        <v>537</v>
      </c>
      <c r="H53" s="46" t="s">
        <v>541</v>
      </c>
      <c r="I53" s="48" t="n">
        <v>51</v>
      </c>
      <c r="J53" s="48" t="n">
        <v>30</v>
      </c>
      <c r="K53" s="46" t="s">
        <v>75</v>
      </c>
      <c r="M53" s="46" t="s">
        <v>75</v>
      </c>
      <c r="N53" s="46" t="s">
        <v>74</v>
      </c>
      <c r="O53" s="46" t="s">
        <v>75</v>
      </c>
      <c r="P53" s="49" t="n">
        <v>517493</v>
      </c>
      <c r="Q53" s="50" t="s">
        <v>413</v>
      </c>
      <c r="R53" s="50" t="s">
        <v>550</v>
      </c>
      <c r="S53" s="51" t="s">
        <v>539</v>
      </c>
    </row>
    <row r="54" customFormat="false" ht="12.75" hidden="false" customHeight="false" outlineLevel="0" collapsed="false">
      <c r="A54" s="46" t="s">
        <v>650</v>
      </c>
      <c r="B54" s="46" t="s">
        <v>541</v>
      </c>
      <c r="C54" s="46" t="s">
        <v>634</v>
      </c>
      <c r="D54" s="46" t="s">
        <v>651</v>
      </c>
      <c r="E54" s="46" t="s">
        <v>536</v>
      </c>
      <c r="F54" s="46" t="s">
        <v>75</v>
      </c>
      <c r="G54" s="47" t="s">
        <v>537</v>
      </c>
      <c r="H54" s="46" t="s">
        <v>541</v>
      </c>
      <c r="I54" s="48" t="n">
        <v>15</v>
      </c>
      <c r="J54" s="48" t="n">
        <v>0</v>
      </c>
      <c r="K54" s="46" t="s">
        <v>75</v>
      </c>
      <c r="M54" s="46" t="s">
        <v>75</v>
      </c>
      <c r="N54" s="46" t="s">
        <v>74</v>
      </c>
      <c r="O54" s="46" t="s">
        <v>75</v>
      </c>
      <c r="P54" s="49" t="n">
        <v>117967</v>
      </c>
      <c r="Q54" s="50" t="s">
        <v>439</v>
      </c>
      <c r="R54" s="50" t="s">
        <v>538</v>
      </c>
      <c r="S54" s="51" t="s">
        <v>539</v>
      </c>
    </row>
    <row r="55" customFormat="false" ht="12.75" hidden="false" customHeight="false" outlineLevel="0" collapsed="false">
      <c r="A55" s="46" t="s">
        <v>652</v>
      </c>
      <c r="B55" s="46" t="s">
        <v>533</v>
      </c>
      <c r="C55" s="46" t="s">
        <v>534</v>
      </c>
      <c r="D55" s="46" t="s">
        <v>653</v>
      </c>
      <c r="E55" s="46" t="s">
        <v>536</v>
      </c>
      <c r="F55" s="46" t="s">
        <v>74</v>
      </c>
      <c r="G55" s="47" t="s">
        <v>537</v>
      </c>
      <c r="H55" s="46" t="s">
        <v>533</v>
      </c>
      <c r="I55" s="48" t="n">
        <v>51</v>
      </c>
      <c r="J55" s="48" t="n">
        <v>0</v>
      </c>
      <c r="K55" s="46" t="s">
        <v>75</v>
      </c>
      <c r="M55" s="46" t="s">
        <v>75</v>
      </c>
      <c r="N55" s="46" t="s">
        <v>74</v>
      </c>
      <c r="O55" s="46" t="s">
        <v>75</v>
      </c>
      <c r="P55" s="49" t="n">
        <v>162840</v>
      </c>
      <c r="Q55" s="50" t="s">
        <v>429</v>
      </c>
      <c r="R55" s="50" t="s">
        <v>550</v>
      </c>
      <c r="S55" s="51" t="s">
        <v>539</v>
      </c>
    </row>
    <row r="56" customFormat="false" ht="12.75" hidden="false" customHeight="false" outlineLevel="0" collapsed="false">
      <c r="A56" s="46" t="s">
        <v>654</v>
      </c>
      <c r="B56" s="46" t="s">
        <v>541</v>
      </c>
      <c r="C56" s="46" t="s">
        <v>599</v>
      </c>
      <c r="D56" s="46" t="s">
        <v>655</v>
      </c>
      <c r="E56" s="46" t="s">
        <v>536</v>
      </c>
      <c r="F56" s="46" t="s">
        <v>75</v>
      </c>
      <c r="G56" s="47" t="s">
        <v>537</v>
      </c>
      <c r="H56" s="46" t="s">
        <v>541</v>
      </c>
      <c r="I56" s="48" t="n">
        <v>15</v>
      </c>
      <c r="J56" s="48" t="n">
        <v>0</v>
      </c>
      <c r="K56" s="46" t="s">
        <v>75</v>
      </c>
      <c r="M56" s="46" t="s">
        <v>75</v>
      </c>
      <c r="N56" s="46" t="s">
        <v>74</v>
      </c>
      <c r="O56" s="46" t="s">
        <v>75</v>
      </c>
      <c r="P56" s="49" t="n">
        <v>145831</v>
      </c>
      <c r="Q56" s="50" t="s">
        <v>413</v>
      </c>
      <c r="R56" s="50" t="s">
        <v>550</v>
      </c>
      <c r="S56" s="51" t="s">
        <v>539</v>
      </c>
    </row>
    <row r="57" customFormat="false" ht="12.75" hidden="false" customHeight="false" outlineLevel="0" collapsed="false">
      <c r="A57" s="46" t="s">
        <v>656</v>
      </c>
      <c r="B57" s="46" t="s">
        <v>545</v>
      </c>
      <c r="C57" s="46" t="s">
        <v>534</v>
      </c>
      <c r="D57" s="46" t="s">
        <v>657</v>
      </c>
      <c r="E57" s="46" t="s">
        <v>536</v>
      </c>
      <c r="F57" s="46" t="s">
        <v>74</v>
      </c>
      <c r="G57" s="47" t="s">
        <v>537</v>
      </c>
      <c r="H57" s="46" t="s">
        <v>545</v>
      </c>
      <c r="I57" s="48" t="n">
        <v>100</v>
      </c>
      <c r="J57" s="48" t="n">
        <v>30</v>
      </c>
      <c r="K57" s="46" t="s">
        <v>75</v>
      </c>
      <c r="M57" s="46" t="s">
        <v>75</v>
      </c>
      <c r="N57" s="46" t="s">
        <v>75</v>
      </c>
      <c r="O57" s="46" t="s">
        <v>75</v>
      </c>
      <c r="P57" s="49" t="n">
        <v>486919</v>
      </c>
      <c r="Q57" s="50" t="s">
        <v>435</v>
      </c>
      <c r="R57" s="50" t="s">
        <v>419</v>
      </c>
      <c r="S57" s="51" t="s">
        <v>539</v>
      </c>
    </row>
    <row r="58" customFormat="false" ht="12.75" hidden="false" customHeight="false" outlineLevel="0" collapsed="false">
      <c r="A58" s="46" t="s">
        <v>658</v>
      </c>
      <c r="B58" s="46" t="s">
        <v>533</v>
      </c>
      <c r="C58" s="46" t="s">
        <v>534</v>
      </c>
      <c r="D58" s="46" t="s">
        <v>659</v>
      </c>
      <c r="E58" s="46" t="s">
        <v>536</v>
      </c>
      <c r="F58" s="46" t="s">
        <v>74</v>
      </c>
      <c r="G58" s="47" t="s">
        <v>537</v>
      </c>
      <c r="H58" s="46" t="s">
        <v>533</v>
      </c>
      <c r="I58" s="48" t="n">
        <v>60</v>
      </c>
      <c r="J58" s="48" t="n">
        <v>51</v>
      </c>
      <c r="K58" s="46" t="s">
        <v>75</v>
      </c>
      <c r="M58" s="46" t="s">
        <v>74</v>
      </c>
      <c r="N58" s="46" t="s">
        <v>74</v>
      </c>
      <c r="O58" s="46" t="s">
        <v>74</v>
      </c>
      <c r="P58" s="49" t="n">
        <v>193094</v>
      </c>
      <c r="Q58" s="50" t="s">
        <v>413</v>
      </c>
      <c r="R58" s="50" t="s">
        <v>550</v>
      </c>
      <c r="S58" s="51" t="s">
        <v>539</v>
      </c>
    </row>
    <row r="59" customFormat="false" ht="12.75" hidden="false" customHeight="false" outlineLevel="0" collapsed="false">
      <c r="A59" s="46" t="s">
        <v>660</v>
      </c>
      <c r="B59" s="46" t="s">
        <v>545</v>
      </c>
      <c r="C59" s="46" t="s">
        <v>534</v>
      </c>
      <c r="D59" s="46" t="s">
        <v>661</v>
      </c>
      <c r="E59" s="46" t="s">
        <v>536</v>
      </c>
      <c r="F59" s="46" t="s">
        <v>74</v>
      </c>
      <c r="G59" s="47" t="s">
        <v>537</v>
      </c>
      <c r="H59" s="46" t="s">
        <v>545</v>
      </c>
      <c r="I59" s="48" t="n">
        <v>74</v>
      </c>
      <c r="J59" s="48" t="n">
        <v>55</v>
      </c>
      <c r="K59" s="46" t="s">
        <v>75</v>
      </c>
      <c r="M59" s="46" t="s">
        <v>75</v>
      </c>
      <c r="N59" s="46" t="s">
        <v>75</v>
      </c>
      <c r="O59" s="46" t="s">
        <v>75</v>
      </c>
      <c r="P59" s="49" t="n">
        <v>522956</v>
      </c>
      <c r="Q59" s="50" t="s">
        <v>429</v>
      </c>
      <c r="R59" s="50" t="s">
        <v>419</v>
      </c>
      <c r="S59" s="51" t="s">
        <v>539</v>
      </c>
    </row>
    <row r="60" customFormat="false" ht="12.75" hidden="false" customHeight="false" outlineLevel="0" collapsed="false">
      <c r="A60" s="46" t="s">
        <v>662</v>
      </c>
      <c r="B60" s="46" t="s">
        <v>545</v>
      </c>
      <c r="C60" s="46" t="s">
        <v>534</v>
      </c>
      <c r="D60" s="46" t="s">
        <v>663</v>
      </c>
      <c r="E60" s="46" t="s">
        <v>536</v>
      </c>
      <c r="F60" s="46" t="s">
        <v>74</v>
      </c>
      <c r="G60" s="47" t="s">
        <v>537</v>
      </c>
      <c r="H60" s="46" t="s">
        <v>545</v>
      </c>
      <c r="I60" s="48" t="n">
        <v>100</v>
      </c>
      <c r="J60" s="48" t="n">
        <v>30</v>
      </c>
      <c r="K60" s="46" t="s">
        <v>75</v>
      </c>
      <c r="M60" s="46" t="s">
        <v>75</v>
      </c>
      <c r="N60" s="46" t="s">
        <v>74</v>
      </c>
      <c r="O60" s="46" t="s">
        <v>75</v>
      </c>
      <c r="P60" s="49" t="n">
        <v>483379</v>
      </c>
      <c r="Q60" s="50" t="s">
        <v>449</v>
      </c>
      <c r="R60" s="50" t="s">
        <v>419</v>
      </c>
      <c r="S60" s="51" t="s">
        <v>539</v>
      </c>
    </row>
    <row r="61" customFormat="false" ht="12.75" hidden="false" customHeight="false" outlineLevel="0" collapsed="false">
      <c r="A61" s="46" t="s">
        <v>664</v>
      </c>
      <c r="B61" s="46" t="s">
        <v>541</v>
      </c>
      <c r="C61" s="46" t="s">
        <v>534</v>
      </c>
      <c r="D61" s="46" t="s">
        <v>665</v>
      </c>
      <c r="E61" s="46" t="s">
        <v>536</v>
      </c>
      <c r="F61" s="46" t="s">
        <v>74</v>
      </c>
      <c r="G61" s="47" t="s">
        <v>537</v>
      </c>
      <c r="H61" s="46" t="s">
        <v>541</v>
      </c>
      <c r="I61" s="48" t="n">
        <v>51</v>
      </c>
      <c r="J61" s="48" t="n">
        <v>40</v>
      </c>
      <c r="K61" s="46" t="s">
        <v>75</v>
      </c>
      <c r="M61" s="46" t="s">
        <v>75</v>
      </c>
      <c r="N61" s="46" t="s">
        <v>74</v>
      </c>
      <c r="O61" s="46" t="s">
        <v>75</v>
      </c>
      <c r="P61" s="49" t="n">
        <v>497431</v>
      </c>
      <c r="Q61" s="50" t="s">
        <v>429</v>
      </c>
      <c r="R61" s="50" t="s">
        <v>538</v>
      </c>
      <c r="S61" s="51" t="s">
        <v>539</v>
      </c>
    </row>
    <row r="62" customFormat="false" ht="12.75" hidden="false" customHeight="false" outlineLevel="0" collapsed="false">
      <c r="A62" s="46" t="s">
        <v>666</v>
      </c>
      <c r="B62" s="46" t="s">
        <v>541</v>
      </c>
      <c r="C62" s="46" t="s">
        <v>534</v>
      </c>
      <c r="D62" s="46" t="s">
        <v>667</v>
      </c>
      <c r="E62" s="46" t="s">
        <v>536</v>
      </c>
      <c r="F62" s="46" t="s">
        <v>74</v>
      </c>
      <c r="G62" s="47" t="s">
        <v>537</v>
      </c>
      <c r="H62" s="46" t="s">
        <v>541</v>
      </c>
      <c r="I62" s="48" t="n">
        <v>51</v>
      </c>
      <c r="J62" s="48" t="n">
        <v>35</v>
      </c>
      <c r="K62" s="46" t="s">
        <v>75</v>
      </c>
      <c r="M62" s="46" t="s">
        <v>74</v>
      </c>
      <c r="N62" s="46" t="s">
        <v>74</v>
      </c>
      <c r="O62" s="46" t="s">
        <v>75</v>
      </c>
      <c r="P62" s="49" t="n">
        <v>182629</v>
      </c>
      <c r="Q62" s="50" t="s">
        <v>443</v>
      </c>
      <c r="R62" s="50" t="s">
        <v>538</v>
      </c>
      <c r="S62" s="51" t="s">
        <v>539</v>
      </c>
    </row>
  </sheetData>
  <mergeCells count="1">
    <mergeCell ref="A1:S1"/>
  </mergeCells>
  <dataValidations count="4">
    <dataValidation allowBlank="true" errorStyle="stop" operator="between" showDropDown="false" showErrorMessage="true" showInputMessage="true" sqref="E3:E1062" type="list">
      <formula1>"CoGP,RCoGP"</formula1>
      <formula2>0</formula2>
    </dataValidation>
    <dataValidation allowBlank="true" errorStyle="stop" operator="between" showDropDown="false" showErrorMessage="true" showInputMessage="true" sqref="C3:C1062" type="list">
      <formula1>"1,2,3,4,5,6,7,8,Non-compliant"</formula1>
      <formula2>0</formula2>
    </dataValidation>
    <dataValidation allowBlank="true" errorStyle="stop" operator="between" showDropDown="false" showErrorMessage="true" showInputMessage="true" sqref="B3:B1062 H3:H1062" type="list">
      <formula1>"Large,QSE,EME"</formula1>
      <formula2>0</formula2>
    </dataValidation>
    <dataValidation allowBlank="true" errorStyle="stop" operator="between" showDropDown="false" showErrorMessage="true" showInputMessage="true" sqref="F3:F1062 K3:K1062 M3:O106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4" activeCellId="0" sqref="D34"/>
    </sheetView>
  </sheetViews>
  <sheetFormatPr defaultColWidth="8.859375" defaultRowHeight="15" zeroHeight="false" outlineLevelRow="0" outlineLevelCol="0"/>
  <cols>
    <col collapsed="false" customWidth="true" hidden="false" outlineLevel="0" max="1" min="1" style="62" width="29.71"/>
    <col collapsed="false" customWidth="true" hidden="false" outlineLevel="0" max="2" min="2" style="63" width="29.71"/>
    <col collapsed="false" customWidth="true" hidden="false" outlineLevel="0" max="3" min="3" style="62" width="21.29"/>
    <col collapsed="false" customWidth="true" hidden="false" outlineLevel="0" max="4" min="4" style="62" width="25.71"/>
    <col collapsed="false" customWidth="true" hidden="false" outlineLevel="0" max="5" min="5" style="64" width="35.85"/>
    <col collapsed="false" customWidth="true" hidden="false" outlineLevel="0" max="6" min="6" style="62" width="19.29"/>
    <col collapsed="false" customWidth="true" hidden="false" outlineLevel="0" max="7" min="7" style="65" width="13.71"/>
    <col collapsed="false" customWidth="true" hidden="false" outlineLevel="0" max="8" min="8" style="64" width="33.14"/>
    <col collapsed="false" customWidth="true" hidden="false" outlineLevel="0" max="9" min="9" style="64" width="29.14"/>
    <col collapsed="false" customWidth="true" hidden="false" outlineLevel="0" max="10" min="10" style="66" width="12.71"/>
    <col collapsed="false" customWidth="true" hidden="false" outlineLevel="0" max="11" min="11" style="66" width="14.86"/>
    <col collapsed="false" customWidth="false" hidden="false" outlineLevel="0" max="12" min="12" style="62" width="8.86"/>
    <col collapsed="false" customWidth="true" hidden="false" outlineLevel="0" max="13" min="13" style="62" width="10.71"/>
    <col collapsed="false" customWidth="false" hidden="false" outlineLevel="0" max="16384" min="14" style="62" width="8.86"/>
  </cols>
  <sheetData>
    <row r="1" customFormat="false" ht="15.75" hidden="false" customHeight="true" outlineLevel="0" collapsed="false">
      <c r="A1" s="67" t="s">
        <v>668</v>
      </c>
      <c r="B1" s="67"/>
      <c r="C1" s="67"/>
      <c r="D1" s="67"/>
      <c r="E1" s="67"/>
      <c r="F1" s="67"/>
      <c r="G1" s="67"/>
      <c r="H1" s="67"/>
      <c r="I1" s="67"/>
      <c r="J1" s="67"/>
      <c r="K1" s="67"/>
      <c r="L1" s="67"/>
      <c r="M1" s="67"/>
    </row>
    <row r="2" customFormat="false" ht="30" hidden="false" customHeight="true" outlineLevel="0" collapsed="false">
      <c r="A2" s="68" t="s">
        <v>515</v>
      </c>
      <c r="B2" s="69" t="s">
        <v>669</v>
      </c>
      <c r="C2" s="68" t="s">
        <v>670</v>
      </c>
      <c r="D2" s="70" t="s">
        <v>671</v>
      </c>
      <c r="E2" s="71" t="s">
        <v>672</v>
      </c>
      <c r="F2" s="72" t="s">
        <v>673</v>
      </c>
      <c r="G2" s="68" t="s">
        <v>674</v>
      </c>
      <c r="H2" s="71" t="s">
        <v>675</v>
      </c>
      <c r="I2" s="71" t="s">
        <v>676</v>
      </c>
      <c r="J2" s="73" t="s">
        <v>677</v>
      </c>
      <c r="K2" s="73" t="s">
        <v>678</v>
      </c>
      <c r="L2" s="73" t="s">
        <v>408</v>
      </c>
      <c r="M2" s="73" t="s">
        <v>409</v>
      </c>
    </row>
    <row r="3" customFormat="false" ht="15" hidden="false" customHeight="false" outlineLevel="0" collapsed="false">
      <c r="A3" s="62" t="s">
        <v>679</v>
      </c>
      <c r="B3" s="63" t="n">
        <v>51</v>
      </c>
      <c r="C3" s="62" t="s">
        <v>533</v>
      </c>
      <c r="D3" s="62" t="s">
        <v>680</v>
      </c>
      <c r="E3" s="64" t="s">
        <v>681</v>
      </c>
      <c r="F3" s="62" t="s">
        <v>682</v>
      </c>
      <c r="G3" s="65" t="n">
        <v>79200</v>
      </c>
      <c r="H3" s="64" t="s">
        <v>681</v>
      </c>
      <c r="I3" s="64" t="s">
        <v>683</v>
      </c>
      <c r="J3" s="66" t="n">
        <v>11.75</v>
      </c>
      <c r="K3" s="66" t="n">
        <v>0</v>
      </c>
      <c r="L3" s="62" t="s">
        <v>413</v>
      </c>
      <c r="M3" s="62" t="s">
        <v>684</v>
      </c>
    </row>
    <row r="4" customFormat="false" ht="15" hidden="false" customHeight="false" outlineLevel="0" collapsed="false">
      <c r="A4" s="62" t="s">
        <v>685</v>
      </c>
      <c r="B4" s="63" t="n">
        <v>51</v>
      </c>
      <c r="C4" s="62" t="s">
        <v>541</v>
      </c>
      <c r="D4" s="62" t="s">
        <v>686</v>
      </c>
      <c r="E4" s="64" t="s">
        <v>681</v>
      </c>
      <c r="F4" s="62" t="s">
        <v>687</v>
      </c>
      <c r="G4" s="65" t="n">
        <v>47520</v>
      </c>
      <c r="H4" s="64" t="s">
        <v>681</v>
      </c>
      <c r="I4" s="64" t="s">
        <v>683</v>
      </c>
      <c r="L4" s="62" t="s">
        <v>449</v>
      </c>
      <c r="M4" s="62" t="s">
        <v>684</v>
      </c>
    </row>
    <row r="5" customFormat="false" ht="15" hidden="false" customHeight="false" outlineLevel="0" collapsed="false">
      <c r="A5" s="62" t="s">
        <v>688</v>
      </c>
      <c r="B5" s="63" t="n">
        <v>51</v>
      </c>
      <c r="C5" s="62" t="s">
        <v>541</v>
      </c>
      <c r="D5" s="62" t="s">
        <v>689</v>
      </c>
      <c r="E5" s="64" t="s">
        <v>681</v>
      </c>
      <c r="F5" s="62" t="s">
        <v>690</v>
      </c>
      <c r="G5" s="65" t="n">
        <v>34320</v>
      </c>
      <c r="H5" s="64" t="s">
        <v>681</v>
      </c>
      <c r="I5" s="64" t="s">
        <v>683</v>
      </c>
      <c r="L5" s="62" t="s">
        <v>429</v>
      </c>
      <c r="M5" s="62" t="s">
        <v>684</v>
      </c>
    </row>
    <row r="6" customFormat="false" ht="15" hidden="false" customHeight="false" outlineLevel="0" collapsed="false">
      <c r="A6" s="62" t="s">
        <v>691</v>
      </c>
      <c r="B6" s="63" t="n">
        <v>100</v>
      </c>
      <c r="C6" s="62" t="s">
        <v>541</v>
      </c>
      <c r="D6" s="62" t="s">
        <v>692</v>
      </c>
      <c r="E6" s="64" t="s">
        <v>681</v>
      </c>
      <c r="F6" s="62" t="s">
        <v>693</v>
      </c>
      <c r="G6" s="65" t="n">
        <v>29040</v>
      </c>
      <c r="H6" s="64" t="s">
        <v>681</v>
      </c>
      <c r="I6" s="64" t="s">
        <v>683</v>
      </c>
      <c r="L6" s="62" t="s">
        <v>413</v>
      </c>
      <c r="M6" s="62" t="s">
        <v>684</v>
      </c>
    </row>
    <row r="7" customFormat="false" ht="15" hidden="false" customHeight="false" outlineLevel="0" collapsed="false">
      <c r="A7" s="62" t="s">
        <v>694</v>
      </c>
      <c r="B7" s="63" t="n">
        <v>100</v>
      </c>
      <c r="C7" s="62" t="s">
        <v>533</v>
      </c>
      <c r="D7" s="62" t="s">
        <v>695</v>
      </c>
      <c r="E7" s="64" t="s">
        <v>681</v>
      </c>
      <c r="F7" s="62" t="s">
        <v>696</v>
      </c>
      <c r="G7" s="65" t="n">
        <v>42240</v>
      </c>
      <c r="H7" s="64" t="s">
        <v>681</v>
      </c>
      <c r="I7" s="64" t="s">
        <v>683</v>
      </c>
      <c r="L7" s="62" t="s">
        <v>443</v>
      </c>
      <c r="M7" s="62" t="s">
        <v>684</v>
      </c>
    </row>
    <row r="8" customFormat="false" ht="15" hidden="false" customHeight="false" outlineLevel="0" collapsed="false">
      <c r="A8" s="62" t="s">
        <v>697</v>
      </c>
      <c r="B8" s="63" t="n">
        <v>51</v>
      </c>
      <c r="C8" s="62" t="s">
        <v>533</v>
      </c>
      <c r="D8" s="62" t="s">
        <v>698</v>
      </c>
      <c r="E8" s="64" t="s">
        <v>681</v>
      </c>
      <c r="F8" s="62" t="s">
        <v>693</v>
      </c>
      <c r="G8" s="65" t="n">
        <v>31680</v>
      </c>
      <c r="H8" s="64" t="s">
        <v>681</v>
      </c>
      <c r="I8" s="64" t="s">
        <v>683</v>
      </c>
      <c r="L8" s="62" t="s">
        <v>449</v>
      </c>
      <c r="M8" s="62" t="s">
        <v>684</v>
      </c>
    </row>
    <row r="9" customFormat="false" ht="15" hidden="false" customHeight="false" outlineLevel="0" collapsed="false">
      <c r="A9" s="62" t="s">
        <v>699</v>
      </c>
      <c r="B9" s="63" t="n">
        <v>100</v>
      </c>
      <c r="C9" s="62" t="s">
        <v>533</v>
      </c>
      <c r="D9" s="62" t="s">
        <v>700</v>
      </c>
      <c r="E9" s="64" t="s">
        <v>681</v>
      </c>
      <c r="F9" s="62" t="s">
        <v>690</v>
      </c>
      <c r="G9" s="65" t="n">
        <v>43200</v>
      </c>
      <c r="H9" s="64" t="s">
        <v>681</v>
      </c>
      <c r="I9" s="64" t="s">
        <v>683</v>
      </c>
      <c r="L9" s="62" t="s">
        <v>496</v>
      </c>
      <c r="M9" s="62" t="s">
        <v>684</v>
      </c>
    </row>
    <row r="10" customFormat="false" ht="15" hidden="false" customHeight="false" outlineLevel="0" collapsed="false">
      <c r="A10" s="62" t="s">
        <v>701</v>
      </c>
      <c r="B10" s="63" t="n">
        <v>51</v>
      </c>
      <c r="C10" s="62" t="s">
        <v>533</v>
      </c>
      <c r="D10" s="62" t="s">
        <v>702</v>
      </c>
      <c r="E10" s="64" t="s">
        <v>681</v>
      </c>
      <c r="F10" s="62" t="s">
        <v>690</v>
      </c>
      <c r="G10" s="65" t="n">
        <v>30000</v>
      </c>
      <c r="H10" s="64" t="s">
        <v>681</v>
      </c>
      <c r="I10" s="64" t="s">
        <v>683</v>
      </c>
      <c r="L10" s="62" t="s">
        <v>420</v>
      </c>
      <c r="M10" s="62" t="s">
        <v>684</v>
      </c>
    </row>
    <row r="11" customFormat="false" ht="15" hidden="false" customHeight="false" outlineLevel="0" collapsed="false">
      <c r="A11" s="62" t="s">
        <v>703</v>
      </c>
      <c r="B11" s="63" t="n">
        <v>100</v>
      </c>
      <c r="C11" s="62" t="s">
        <v>533</v>
      </c>
      <c r="D11" s="62" t="s">
        <v>704</v>
      </c>
      <c r="E11" s="64" t="s">
        <v>681</v>
      </c>
      <c r="F11" s="62" t="s">
        <v>690</v>
      </c>
      <c r="G11" s="65" t="n">
        <v>25200</v>
      </c>
      <c r="H11" s="64" t="s">
        <v>681</v>
      </c>
      <c r="I11" s="64" t="s">
        <v>683</v>
      </c>
      <c r="L11" s="62" t="s">
        <v>435</v>
      </c>
      <c r="M11" s="62" t="s">
        <v>684</v>
      </c>
    </row>
    <row r="12" customFormat="false" ht="15" hidden="false" customHeight="false" outlineLevel="0" collapsed="false">
      <c r="A12" s="62" t="s">
        <v>705</v>
      </c>
      <c r="B12" s="63" t="n">
        <v>100</v>
      </c>
      <c r="C12" s="62" t="s">
        <v>533</v>
      </c>
      <c r="D12" s="62" t="s">
        <v>706</v>
      </c>
      <c r="E12" s="64" t="s">
        <v>681</v>
      </c>
      <c r="F12" s="62" t="s">
        <v>696</v>
      </c>
      <c r="G12" s="65" t="n">
        <v>21600</v>
      </c>
      <c r="H12" s="64" t="s">
        <v>681</v>
      </c>
      <c r="I12" s="64" t="s">
        <v>683</v>
      </c>
      <c r="L12" s="62" t="s">
        <v>429</v>
      </c>
      <c r="M12" s="62" t="s">
        <v>684</v>
      </c>
    </row>
  </sheetData>
  <mergeCells count="1">
    <mergeCell ref="A1:M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3" activeCellId="0" sqref="E33"/>
    </sheetView>
  </sheetViews>
  <sheetFormatPr defaultColWidth="8.859375" defaultRowHeight="15" zeroHeight="false" outlineLevelRow="0" outlineLevelCol="0"/>
  <cols>
    <col collapsed="false" customWidth="true" hidden="false" outlineLevel="0" max="1" min="1" style="62" width="15.85"/>
    <col collapsed="false" customWidth="true" hidden="false" outlineLevel="0" max="2" min="2" style="62" width="23"/>
    <col collapsed="false" customWidth="true" hidden="false" outlineLevel="0" max="3" min="3" style="62" width="17.71"/>
    <col collapsed="false" customWidth="true" hidden="false" outlineLevel="0" max="4" min="4" style="64" width="29.29"/>
    <col collapsed="false" customWidth="true" hidden="false" outlineLevel="0" max="5" min="5" style="62" width="22.86"/>
    <col collapsed="false" customWidth="true" hidden="false" outlineLevel="0" max="6" min="6" style="63" width="32.71"/>
    <col collapsed="false" customWidth="true" hidden="false" outlineLevel="0" max="7" min="7" style="62" width="7.86"/>
    <col collapsed="false" customWidth="true" hidden="false" outlineLevel="0" max="8" min="8" style="62" width="12"/>
    <col collapsed="false" customWidth="true" hidden="false" outlineLevel="0" max="9" min="9" style="65" width="8.71"/>
    <col collapsed="false" customWidth="true" hidden="false" outlineLevel="0" max="10" min="10" style="62" width="14.14"/>
    <col collapsed="false" customWidth="false" hidden="false" outlineLevel="0" max="16384" min="11" style="62" width="8.86"/>
  </cols>
  <sheetData>
    <row r="1" customFormat="false" ht="15.75" hidden="false" customHeight="true" outlineLevel="0" collapsed="false">
      <c r="A1" s="67" t="s">
        <v>707</v>
      </c>
      <c r="B1" s="67"/>
      <c r="C1" s="67"/>
      <c r="D1" s="67"/>
      <c r="E1" s="67"/>
      <c r="F1" s="67"/>
      <c r="G1" s="67"/>
      <c r="H1" s="67"/>
      <c r="I1" s="67"/>
      <c r="J1" s="74"/>
    </row>
    <row r="2" customFormat="false" ht="15" hidden="false" customHeight="true" outlineLevel="0" collapsed="false">
      <c r="A2" s="68" t="s">
        <v>708</v>
      </c>
      <c r="B2" s="68" t="s">
        <v>709</v>
      </c>
      <c r="C2" s="71" t="s">
        <v>710</v>
      </c>
      <c r="D2" s="71" t="s">
        <v>672</v>
      </c>
      <c r="E2" s="68" t="s">
        <v>673</v>
      </c>
      <c r="F2" s="75" t="s">
        <v>711</v>
      </c>
      <c r="G2" s="71" t="s">
        <v>408</v>
      </c>
      <c r="H2" s="71" t="s">
        <v>409</v>
      </c>
      <c r="I2" s="68" t="s">
        <v>674</v>
      </c>
      <c r="J2" s="76"/>
    </row>
    <row r="3" customFormat="false" ht="15" hidden="false" customHeight="false" outlineLevel="0" collapsed="false">
      <c r="A3" s="62" t="s">
        <v>712</v>
      </c>
      <c r="B3" s="62" t="s">
        <v>713</v>
      </c>
      <c r="C3" s="62" t="s">
        <v>75</v>
      </c>
      <c r="D3" s="64" t="s">
        <v>714</v>
      </c>
      <c r="E3" s="62" t="s">
        <v>715</v>
      </c>
      <c r="F3" s="63" t="n">
        <v>90</v>
      </c>
      <c r="G3" s="62" t="s">
        <v>435</v>
      </c>
      <c r="H3" s="62" t="s">
        <v>716</v>
      </c>
      <c r="I3" s="65" t="n">
        <v>35360</v>
      </c>
    </row>
    <row r="4" customFormat="false" ht="15" hidden="false" customHeight="false" outlineLevel="0" collapsed="false">
      <c r="A4" s="62" t="s">
        <v>717</v>
      </c>
      <c r="B4" s="62" t="s">
        <v>718</v>
      </c>
      <c r="C4" s="62" t="s">
        <v>75</v>
      </c>
      <c r="D4" s="64" t="s">
        <v>714</v>
      </c>
      <c r="E4" s="62" t="s">
        <v>690</v>
      </c>
      <c r="F4" s="63" t="n">
        <v>95</v>
      </c>
      <c r="G4" s="62" t="s">
        <v>449</v>
      </c>
      <c r="H4" s="62" t="s">
        <v>716</v>
      </c>
      <c r="I4" s="65" t="n">
        <v>24960</v>
      </c>
    </row>
    <row r="5" customFormat="false" ht="15" hidden="false" customHeight="false" outlineLevel="0" collapsed="false">
      <c r="A5" s="62" t="s">
        <v>719</v>
      </c>
      <c r="B5" s="62" t="s">
        <v>720</v>
      </c>
      <c r="C5" s="62" t="s">
        <v>75</v>
      </c>
      <c r="D5" s="64" t="s">
        <v>714</v>
      </c>
      <c r="E5" s="62" t="s">
        <v>690</v>
      </c>
      <c r="F5" s="63" t="n">
        <v>85</v>
      </c>
      <c r="G5" s="62" t="s">
        <v>443</v>
      </c>
      <c r="H5" s="62" t="s">
        <v>716</v>
      </c>
      <c r="I5" s="65" t="n">
        <v>18720</v>
      </c>
    </row>
    <row r="6" customFormat="false" ht="15" hidden="false" customHeight="false" outlineLevel="0" collapsed="false">
      <c r="A6" s="62" t="s">
        <v>721</v>
      </c>
      <c r="B6" s="62" t="s">
        <v>722</v>
      </c>
      <c r="C6" s="62" t="s">
        <v>75</v>
      </c>
      <c r="D6" s="64" t="s">
        <v>714</v>
      </c>
      <c r="E6" s="62" t="s">
        <v>690</v>
      </c>
      <c r="F6" s="63" t="n">
        <v>100</v>
      </c>
      <c r="G6" s="62" t="s">
        <v>496</v>
      </c>
      <c r="H6" s="62" t="s">
        <v>716</v>
      </c>
      <c r="I6" s="65" t="n">
        <v>13520</v>
      </c>
    </row>
    <row r="7" customFormat="false" ht="15" hidden="false" customHeight="false" outlineLevel="0" collapsed="false">
      <c r="A7" s="62" t="s">
        <v>723</v>
      </c>
      <c r="B7" s="62" t="s">
        <v>724</v>
      </c>
      <c r="C7" s="62" t="s">
        <v>75</v>
      </c>
      <c r="D7" s="64" t="s">
        <v>714</v>
      </c>
      <c r="E7" s="62" t="s">
        <v>690</v>
      </c>
      <c r="F7" s="63" t="n">
        <v>80</v>
      </c>
      <c r="G7" s="62" t="s">
        <v>420</v>
      </c>
      <c r="H7" s="62" t="s">
        <v>716</v>
      </c>
      <c r="I7" s="65" t="n">
        <v>11440</v>
      </c>
    </row>
  </sheetData>
  <mergeCells count="1">
    <mergeCell ref="A1:I1"/>
  </mergeCells>
  <dataValidations count="1">
    <dataValidation allowBlank="true" errorStyle="stop" operator="between" showDropDown="false" showErrorMessage="true" showInputMessage="true" sqref="C3:C1007"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4"/>
    <col collapsed="false" customWidth="true" hidden="false" outlineLevel="0" max="4" min="3" style="0" width="16"/>
    <col collapsed="false" customWidth="true" hidden="false" outlineLevel="0" max="5" min="5" style="0" width="18"/>
    <col collapsed="false" customWidth="true" hidden="false" outlineLevel="0" max="6" min="6" style="0" width="14"/>
  </cols>
  <sheetData>
    <row r="1" customFormat="false" ht="16.15" hidden="false" customHeight="false" outlineLevel="0" collapsed="false">
      <c r="A1" s="12" t="s">
        <v>725</v>
      </c>
    </row>
    <row r="2" customFormat="false" ht="26.85" hidden="false" customHeight="false" outlineLevel="0" collapsed="false">
      <c r="A2" s="18" t="s">
        <v>726</v>
      </c>
      <c r="B2" s="18" t="s">
        <v>727</v>
      </c>
      <c r="C2" s="18" t="s">
        <v>728</v>
      </c>
      <c r="D2" s="18" t="s">
        <v>729</v>
      </c>
      <c r="E2" s="18" t="s">
        <v>730</v>
      </c>
      <c r="F2" s="18" t="s">
        <v>731</v>
      </c>
    </row>
    <row r="3" customFormat="false" ht="15" hidden="false" customHeight="false" outlineLevel="0" collapsed="false">
      <c r="A3" s="0" t="s">
        <v>732</v>
      </c>
      <c r="B3" s="0" t="s">
        <v>733</v>
      </c>
      <c r="C3" s="0" t="s">
        <v>734</v>
      </c>
      <c r="D3" s="19" t="n">
        <v>19200</v>
      </c>
      <c r="E3" s="0" t="n">
        <v>90</v>
      </c>
      <c r="F3" s="0" t="n">
        <v>42000</v>
      </c>
    </row>
    <row r="4" customFormat="false" ht="15" hidden="false" customHeight="false" outlineLevel="0" collapsed="false">
      <c r="A4" s="0" t="s">
        <v>735</v>
      </c>
      <c r="B4" s="0" t="s">
        <v>736</v>
      </c>
      <c r="C4" s="0" t="s">
        <v>734</v>
      </c>
      <c r="D4" s="19" t="n">
        <v>14400</v>
      </c>
      <c r="E4" s="0" t="n">
        <v>95</v>
      </c>
      <c r="F4" s="0" t="n">
        <v>28000</v>
      </c>
    </row>
    <row r="5" customFormat="false" ht="15" hidden="false" customHeight="false" outlineLevel="0" collapsed="false">
      <c r="A5" s="0" t="s">
        <v>737</v>
      </c>
      <c r="B5" s="0" t="s">
        <v>738</v>
      </c>
      <c r="C5" s="0" t="s">
        <v>734</v>
      </c>
      <c r="D5" s="19" t="n">
        <v>14400</v>
      </c>
      <c r="E5" s="0" t="n">
        <v>85</v>
      </c>
      <c r="F5" s="0" t="n">
        <v>35000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8"/>
    <col collapsed="false" customWidth="true" hidden="false" outlineLevel="0" max="6" min="6" style="0" width="30"/>
  </cols>
  <sheetData>
    <row r="1" customFormat="false" ht="16.15" hidden="false" customHeight="false" outlineLevel="0" collapsed="false">
      <c r="A1" s="12" t="s">
        <v>739</v>
      </c>
    </row>
    <row r="2" customFormat="false" ht="26.85" hidden="false" customHeight="false" outlineLevel="0" collapsed="false">
      <c r="A2" s="18" t="s">
        <v>740</v>
      </c>
      <c r="B2" s="18" t="s">
        <v>741</v>
      </c>
      <c r="C2" s="18" t="s">
        <v>742</v>
      </c>
      <c r="D2" s="18" t="s">
        <v>743</v>
      </c>
      <c r="E2" s="18" t="s">
        <v>744</v>
      </c>
      <c r="F2" s="18" t="s">
        <v>745</v>
      </c>
    </row>
    <row r="3" customFormat="false" ht="15" hidden="false" customHeight="false" outlineLevel="0" collapsed="false">
      <c r="A3" s="0" t="s">
        <v>746</v>
      </c>
      <c r="B3" s="0" t="s">
        <v>747</v>
      </c>
      <c r="C3" s="19" t="n">
        <v>60000000</v>
      </c>
      <c r="D3" s="19" t="n">
        <v>102000000</v>
      </c>
      <c r="E3" s="34" t="s">
        <v>74</v>
      </c>
      <c r="F3" s="34" t="s">
        <v>748</v>
      </c>
    </row>
    <row r="4" customFormat="false" ht="15" hidden="false" customHeight="false" outlineLevel="0" collapsed="false">
      <c r="A4" s="0" t="s">
        <v>749</v>
      </c>
      <c r="B4" s="0" t="s">
        <v>750</v>
      </c>
      <c r="C4" s="19" t="n">
        <v>4</v>
      </c>
      <c r="D4" s="19" t="n">
        <v>7</v>
      </c>
      <c r="E4" s="34" t="s">
        <v>74</v>
      </c>
      <c r="F4" s="34" t="s">
        <v>751</v>
      </c>
    </row>
    <row r="5" customFormat="false" ht="15" hidden="false" customHeight="false" outlineLevel="0" collapsed="false">
      <c r="A5" s="0" t="s">
        <v>752</v>
      </c>
      <c r="B5" s="0" t="s">
        <v>753</v>
      </c>
      <c r="C5" s="19" t="n">
        <v>1800</v>
      </c>
      <c r="D5" s="19" t="n">
        <v>3100</v>
      </c>
      <c r="E5" s="34" t="s">
        <v>74</v>
      </c>
      <c r="F5" s="34" t="s">
        <v>754</v>
      </c>
    </row>
    <row r="6" customFormat="false" ht="15" hidden="false" customHeight="false" outlineLevel="0" collapsed="false">
      <c r="A6" s="0" t="s">
        <v>755</v>
      </c>
      <c r="B6" s="0" t="s">
        <v>756</v>
      </c>
      <c r="C6" s="19" t="n">
        <v>8</v>
      </c>
      <c r="D6" s="19" t="n">
        <v>14</v>
      </c>
      <c r="E6" s="34" t="s">
        <v>74</v>
      </c>
      <c r="F6" s="34" t="s">
        <v>757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40"/>
    <col collapsed="false" customWidth="true" hidden="false" outlineLevel="0" max="3" min="3" style="0" width="30"/>
  </cols>
  <sheetData>
    <row r="1" customFormat="false" ht="16.15" hidden="false" customHeight="false" outlineLevel="0" collapsed="false">
      <c r="A1" s="12" t="s">
        <v>758</v>
      </c>
    </row>
    <row r="3" customFormat="false" ht="15" hidden="false" customHeight="false" outlineLevel="0" collapsed="false">
      <c r="A3" s="18" t="s">
        <v>759</v>
      </c>
      <c r="B3" s="18" t="s">
        <v>760</v>
      </c>
      <c r="C3" s="18" t="s">
        <v>761</v>
      </c>
    </row>
    <row r="4" customFormat="false" ht="15" hidden="false" customHeight="false" outlineLevel="0" collapsed="false">
      <c r="A4" s="0" t="s">
        <v>762</v>
      </c>
      <c r="B4" s="0" t="s">
        <v>763</v>
      </c>
      <c r="C4" s="0" t="s">
        <v>764</v>
      </c>
    </row>
    <row r="5" customFormat="false" ht="15" hidden="false" customHeight="false" outlineLevel="0" collapsed="false">
      <c r="A5" s="0" t="s">
        <v>765</v>
      </c>
      <c r="B5" s="0" t="s">
        <v>766</v>
      </c>
      <c r="C5" s="0" t="s">
        <v>767</v>
      </c>
    </row>
    <row r="6" customFormat="false" ht="15" hidden="false" customHeight="false" outlineLevel="0" collapsed="false">
      <c r="A6" s="0" t="s">
        <v>768</v>
      </c>
      <c r="B6" s="0" t="s">
        <v>769</v>
      </c>
      <c r="C6" s="0" t="s">
        <v>770</v>
      </c>
    </row>
    <row r="7" customFormat="false" ht="15" hidden="false" customHeight="false" outlineLevel="0" collapsed="false">
      <c r="A7" s="0" t="s">
        <v>739</v>
      </c>
      <c r="B7" s="0" t="s">
        <v>771</v>
      </c>
      <c r="C7" s="0" t="s">
        <v>772</v>
      </c>
    </row>
    <row r="8" customFormat="false" ht="15" hidden="false" customHeight="false" outlineLevel="0" collapsed="false">
      <c r="A8" s="0" t="s">
        <v>725</v>
      </c>
      <c r="B8" s="0" t="s">
        <v>773</v>
      </c>
      <c r="C8" s="0" t="s">
        <v>774</v>
      </c>
    </row>
    <row r="9" customFormat="false" ht="15" hidden="false" customHeight="false" outlineLevel="0" collapsed="false">
      <c r="A9" s="0" t="s">
        <v>775</v>
      </c>
      <c r="B9" s="0" t="s">
        <v>776</v>
      </c>
      <c r="C9" s="0" t="s">
        <v>777</v>
      </c>
    </row>
    <row r="10" customFormat="false" ht="15" hidden="false" customHeight="false" outlineLevel="0" collapsed="false">
      <c r="A10" s="0" t="s">
        <v>778</v>
      </c>
      <c r="B10" s="0" t="s">
        <v>779</v>
      </c>
      <c r="C10" s="0" t="s">
        <v>780</v>
      </c>
    </row>
    <row r="12" customFormat="false" ht="53.7" hidden="false" customHeight="false" outlineLevel="0" collapsed="false">
      <c r="A12" s="77" t="s">
        <v>781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68E1A28E41A49B8674E508EA59FD2" ma:contentTypeVersion="13" ma:contentTypeDescription="Create a new document." ma:contentTypeScope="" ma:versionID="5f19f465a20af59f167148e9192f78a8">
  <xsd:schema xmlns:xsd="http://www.w3.org/2001/XMLSchema" xmlns:xs="http://www.w3.org/2001/XMLSchema" xmlns:p="http://schemas.microsoft.com/office/2006/metadata/properties" xmlns:ns2="c656622a-5208-4acd-b81a-289d56b29a6c" xmlns:ns3="dfe03c44-69f7-4c9f-9bd1-19419750fc7a" targetNamespace="http://schemas.microsoft.com/office/2006/metadata/properties" ma:root="true" ma:fieldsID="990f7652f7172dd306e0dfe48f507c05" ns2:_="" ns3:_="">
    <xsd:import namespace="c656622a-5208-4acd-b81a-289d56b29a6c"/>
    <xsd:import namespace="dfe03c44-69f7-4c9f-9bd1-19419750fc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56622a-5208-4acd-b81a-289d56b29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659b8b8-6ae3-4cc3-80ef-99276c49de0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e03c44-69f7-4c9f-9bd1-19419750fc7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05bc6c8-e8bc-47a3-96e0-1df1bf139207}" ma:internalName="TaxCatchAll" ma:showField="CatchAllData" ma:web="dfe03c44-69f7-4c9f-9bd1-19419750fc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56622a-5208-4acd-b81a-289d56b29a6c">
      <Terms xmlns="http://schemas.microsoft.com/office/infopath/2007/PartnerControls"/>
    </lcf76f155ced4ddcb4097134ff3c332f>
    <TaxCatchAll xmlns="dfe03c44-69f7-4c9f-9bd1-19419750fc7a" xsi:nil="true"/>
  </documentManagement>
</p:properties>
</file>

<file path=customXml/itemProps1.xml><?xml version="1.0" encoding="utf-8"?>
<ds:datastoreItem xmlns:ds="http://schemas.openxmlformats.org/officeDocument/2006/customXml" ds:itemID="{D93A25F6-AC10-4C81-B23A-64031682FDC5}"/>
</file>

<file path=customXml/itemProps2.xml><?xml version="1.0" encoding="utf-8"?>
<ds:datastoreItem xmlns:ds="http://schemas.openxmlformats.org/officeDocument/2006/customXml" ds:itemID="{241BBF1F-5372-4B2F-A5F0-B13B85DC54A5}"/>
</file>

<file path=customXml/itemProps3.xml><?xml version="1.0" encoding="utf-8"?>
<ds:datastoreItem xmlns:ds="http://schemas.openxmlformats.org/officeDocument/2006/customXml" ds:itemID="{D974D6D5-89A9-4597-9E3D-6197E0461896}"/>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Transcend</dc:creator>
  <dc:description/>
  <cp:lastModifiedBy>Chengetai Myezwa</cp:lastModifiedBy>
  <cp:revision>0</cp:revision>
  <dcterms:created xsi:type="dcterms:W3CDTF">2011-09-02T11:04:14Z</dcterms:created>
  <dcterms:modified xsi:type="dcterms:W3CDTF">2026-06-21T19:18:27Z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0x0101009A568E1A28E41A49B8674E508EA59FD2</vt:lpwstr>
  </property>
</Properties>
</file>