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Sector Targets" sheetId="9" state="visible" r:id="rId11"/>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<sst xmlns="http://schemas.openxmlformats.org/spreadsheetml/2006/main" count="2520" uniqueCount="746">
  <si>
    <t xml:space="preserve">Information request checklist - Khanya Digital (Pty) Ltd | ICT Sector Code - QSE scorecard</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</si>
  <si>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</si>
  <si>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</si>
  <si>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</si>
  <si>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</si>
  <si>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</si>
  <si>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</si>
  <si>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</si>
  <si>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</si>
  <si>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</si>
  <si>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</si>
  <si>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</si>
  <si>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</si>
  <si>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</si>
  <si>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</si>
  <si>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</si>
  <si>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</si>
  <si>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</si>
  <si>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</si>
  <si>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</si>
  <si>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</si>
  <si>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</si>
  <si>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</si>
  <si>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</si>
  <si>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</si>
  <si>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</si>
  <si>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Khanya Digital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</si>
  <si>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</si>
  <si>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Khanya Digital (Pty) Ltd can count towards B-BBEE. If any training is done by the international group, you would need to show that Khanya Digital (Pty) Ltd was cross-charged by Global in order for the training to count as an expense for Khanya Digital (Pty) Ltd</t>
  </si>
  <si>
    <t xml:space="preserve">d. You can complete the Skills Development tab for this purpose</t>
  </si>
  <si>
    <t xml:space="preserve">4.</t>
  </si>
  <si>
    <t xml:space="preserve">PREFERENTIAL PROCUREMENT:</t>
  </si>
  <si>
    <t xml:space="preserve">a. List of all suppliers/vendors used by Khanya Digital (Pty) Ltd (including subcontractors and freelancers) and the spend amount (excl. VAT) with each supplier – for the previous financial year (January to December 2025)</t>
  </si>
  <si>
    <t xml:space="preserve">b. List of all suppliers/vendors used by Khanya Digital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</si>
  <si>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</si>
  <si>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</si>
  <si>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</si>
  <si>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</si>
  <si>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</si>
  <si>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</si>
  <si>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</si>
  <si>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</si>
  <si>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</si>
  <si>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</si>
  <si>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</si>
  <si>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</si>
  <si>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Khanya Digital (Pty) Ltd</t>
  </si>
  <si>
    <t xml:space="preserve">Sector / Codes</t>
  </si>
  <si>
    <t xml:space="preserve">ICT Sector Code - QSE scorecard</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</si>
  <si>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</si>
  <si>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</si>
  <si>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</si>
  <si>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</si>
  <si>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</si>
  <si>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</si>
  <si>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</si>
  <si>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</si>
  <si>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</si>
  <si>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</si>
  <si>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</si>
  <si>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</si>
  <si>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</si>
  <si>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</si>
  <si>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</si>
  <si>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</si>
  <si>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</si>
  <si>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</si>
  <si>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</si>
  <si>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</si>
  <si>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</si>
  <si>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</si>
  <si>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</si>
  <si>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</si>
  <si>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</si>
  <si>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</si>
  <si>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</si>
  <si>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</si>
  <si>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</si>
  <si>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</si>
  <si>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Staff Empowerment Trust</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</si>
  <si>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</si>
  <si>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</si>
  <si>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</si>
  <si>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</si>
  <si>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</si>
  <si>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</si>
  <si>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</si>
  <si>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</si>
  <si>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</si>
  <si>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</si>
  <si>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</si>
  <si>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</si>
  <si>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</si>
  <si>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</si>
  <si>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</si>
  <si>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</si>
  <si>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</si>
  <si>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Khaya Mbatha</t>
  </si>
  <si>
    <t xml:space="preserve">Executive Director</t>
  </si>
  <si>
    <t xml:space="preserve">7803208603084</t>
  </si>
  <si>
    <t xml:space="preserve">E1001</t>
  </si>
  <si>
    <t xml:space="preserve">24/10/2022</t>
  </si>
  <si>
    <t xml:space="preserve">Lerato Maseko</t>
  </si>
  <si>
    <t xml:space="preserve">6501134923086</t>
  </si>
  <si>
    <t xml:space="preserve">E1002</t>
  </si>
  <si>
    <t xml:space="preserve">04/07/2015</t>
  </si>
  <si>
    <t xml:space="preserve">Busisiwe Tshabalala</t>
  </si>
  <si>
    <t xml:space="preserve">Non-executive Director</t>
  </si>
  <si>
    <t xml:space="preserve">7211221964089</t>
  </si>
  <si>
    <t xml:space="preserve">E1003</t>
  </si>
  <si>
    <t xml:space="preserve">05/12/2016</t>
  </si>
  <si>
    <t xml:space="preserve">Susan Steyn</t>
  </si>
  <si>
    <t xml:space="preserve">Other Executive Manager</t>
  </si>
  <si>
    <t xml:space="preserve">6507111361083</t>
  </si>
  <si>
    <t xml:space="preserve">E1004</t>
  </si>
  <si>
    <t xml:space="preserve">21/04/2022</t>
  </si>
  <si>
    <t xml:space="preserve">Khanyisile Mthembu</t>
  </si>
  <si>
    <t xml:space="preserve">6404014970089</t>
  </si>
  <si>
    <t xml:space="preserve">E1005</t>
  </si>
  <si>
    <t xml:space="preserve">07/11/2014</t>
  </si>
  <si>
    <t xml:space="preserve">Deshen Govender</t>
  </si>
  <si>
    <t xml:space="preserve">Indian</t>
  </si>
  <si>
    <t xml:space="preserve">7301167511083</t>
  </si>
  <si>
    <t xml:space="preserve">E1006</t>
  </si>
  <si>
    <t xml:space="preserve">22/10/2013</t>
  </si>
  <si>
    <t xml:space="preserve">Pieter Van der Merwe</t>
  </si>
  <si>
    <t xml:space="preserve">Senior Manager</t>
  </si>
  <si>
    <t xml:space="preserve">7901209200080</t>
  </si>
  <si>
    <t xml:space="preserve">E1007</t>
  </si>
  <si>
    <t xml:space="preserve">04/02/2019</t>
  </si>
  <si>
    <t xml:space="preserve">Katlego Radebe</t>
  </si>
  <si>
    <t xml:space="preserve">8707166814089</t>
  </si>
  <si>
    <t xml:space="preserve">E1008</t>
  </si>
  <si>
    <t xml:space="preserve">30/11/2012</t>
  </si>
  <si>
    <t xml:space="preserve">Zinhle Maseko</t>
  </si>
  <si>
    <t xml:space="preserve">8903284181085</t>
  </si>
  <si>
    <t xml:space="preserve">E1009</t>
  </si>
  <si>
    <t xml:space="preserve">25/08/2021</t>
  </si>
  <si>
    <t xml:space="preserve">Khaya Molefe</t>
  </si>
  <si>
    <t xml:space="preserve">7607055243088</t>
  </si>
  <si>
    <t xml:space="preserve">E1010</t>
  </si>
  <si>
    <t xml:space="preserve">29/04/2017</t>
  </si>
  <si>
    <t xml:space="preserve">Bianca Petersen</t>
  </si>
  <si>
    <t xml:space="preserve">Coloured</t>
  </si>
  <si>
    <t xml:space="preserve">9505030004088</t>
  </si>
  <si>
    <t xml:space="preserve">E1011</t>
  </si>
  <si>
    <t xml:space="preserve">01/09/2019</t>
  </si>
  <si>
    <t xml:space="preserve">Marlene Botha</t>
  </si>
  <si>
    <t xml:space="preserve">9507283896087</t>
  </si>
  <si>
    <t xml:space="preserve">E1012</t>
  </si>
  <si>
    <t xml:space="preserve">20/03/2025</t>
  </si>
  <si>
    <t xml:space="preserve">Dewald Venter</t>
  </si>
  <si>
    <t xml:space="preserve">Middle Manager</t>
  </si>
  <si>
    <t xml:space="preserve">9312106007081</t>
  </si>
  <si>
    <t xml:space="preserve">E1013</t>
  </si>
  <si>
    <t xml:space="preserve">18/02/2015</t>
  </si>
  <si>
    <t xml:space="preserve">Oupa Dlamini</t>
  </si>
  <si>
    <t xml:space="preserve">9501016179085</t>
  </si>
  <si>
    <t xml:space="preserve">E1014</t>
  </si>
  <si>
    <t xml:space="preserve">04/12/2024</t>
  </si>
  <si>
    <t xml:space="preserve">Phumzile Molefe</t>
  </si>
  <si>
    <t xml:space="preserve">0004090248081</t>
  </si>
  <si>
    <t xml:space="preserve">E1015</t>
  </si>
  <si>
    <t xml:space="preserve">19/11/2020</t>
  </si>
  <si>
    <t xml:space="preserve">Gift Mabaso</t>
  </si>
  <si>
    <t xml:space="preserve">9007279839084</t>
  </si>
  <si>
    <t xml:space="preserve">E1016</t>
  </si>
  <si>
    <t xml:space="preserve">05/04/2021</t>
  </si>
  <si>
    <t xml:space="preserve">Bongani Mbatha</t>
  </si>
  <si>
    <t xml:space="preserve">9905136571081</t>
  </si>
  <si>
    <t xml:space="preserve">E1017</t>
  </si>
  <si>
    <t xml:space="preserve">03/01/2025</t>
  </si>
  <si>
    <t xml:space="preserve">Precious Khoza</t>
  </si>
  <si>
    <t xml:space="preserve">7804112248081</t>
  </si>
  <si>
    <t xml:space="preserve">E1018</t>
  </si>
  <si>
    <t xml:space="preserve">13/11/2012</t>
  </si>
  <si>
    <t xml:space="preserve">Bongani Buthelezi</t>
  </si>
  <si>
    <t xml:space="preserve">7108079140087</t>
  </si>
  <si>
    <t xml:space="preserve">E1019</t>
  </si>
  <si>
    <t xml:space="preserve">19/06/2014</t>
  </si>
  <si>
    <t xml:space="preserve">Dineo Mbatha</t>
  </si>
  <si>
    <t xml:space="preserve">9109151460086</t>
  </si>
  <si>
    <t xml:space="preserve">E1020</t>
  </si>
  <si>
    <t xml:space="preserve">08/06/2024</t>
  </si>
  <si>
    <t xml:space="preserve">Lwazi Dlamini</t>
  </si>
  <si>
    <t xml:space="preserve">7002169377081</t>
  </si>
  <si>
    <t xml:space="preserve">E1021</t>
  </si>
  <si>
    <t xml:space="preserve">02/10/2024</t>
  </si>
  <si>
    <t xml:space="preserve">Zanele Dlamini</t>
  </si>
  <si>
    <t xml:space="preserve">6912033650086</t>
  </si>
  <si>
    <t xml:space="preserve">E1022</t>
  </si>
  <si>
    <t xml:space="preserve">17/12/2019</t>
  </si>
  <si>
    <t xml:space="preserve">Annelise Du Plessis</t>
  </si>
  <si>
    <t xml:space="preserve">7307124591084</t>
  </si>
  <si>
    <t xml:space="preserve">E1023</t>
  </si>
  <si>
    <t xml:space="preserve">01/12/2020</t>
  </si>
  <si>
    <t xml:space="preserve">Michelle Williams</t>
  </si>
  <si>
    <t xml:space="preserve">9605034683083</t>
  </si>
  <si>
    <t xml:space="preserve">E1024</t>
  </si>
  <si>
    <t xml:space="preserve">28/11/2019</t>
  </si>
  <si>
    <t xml:space="preserve">Dewald Fourie</t>
  </si>
  <si>
    <t xml:space="preserve">Junior Manager</t>
  </si>
  <si>
    <t xml:space="preserve">7511246897085</t>
  </si>
  <si>
    <t xml:space="preserve">E1025</t>
  </si>
  <si>
    <t xml:space="preserve">17/09/2019</t>
  </si>
  <si>
    <t xml:space="preserve">Ayanda Khumalo</t>
  </si>
  <si>
    <t xml:space="preserve">8911053493086</t>
  </si>
  <si>
    <t xml:space="preserve">E1026</t>
  </si>
  <si>
    <t xml:space="preserve">27/07/2014</t>
  </si>
  <si>
    <t xml:space="preserve">Refilwe Khoza</t>
  </si>
  <si>
    <t xml:space="preserve">0111024766086</t>
  </si>
  <si>
    <t xml:space="preserve">E1027</t>
  </si>
  <si>
    <t xml:space="preserve">16/04/2015</t>
  </si>
  <si>
    <t xml:space="preserve">Lehlohonolo Maseko</t>
  </si>
  <si>
    <t xml:space="preserve">9303157743088</t>
  </si>
  <si>
    <t xml:space="preserve">E1028</t>
  </si>
  <si>
    <t xml:space="preserve">10/01/2023</t>
  </si>
  <si>
    <t xml:space="preserve">Tshepo Mokoena</t>
  </si>
  <si>
    <t xml:space="preserve">8412165354084</t>
  </si>
  <si>
    <t xml:space="preserve">E1029</t>
  </si>
  <si>
    <t xml:space="preserve">30/10/2018</t>
  </si>
  <si>
    <t xml:space="preserve">Zanele Khumalo</t>
  </si>
  <si>
    <t xml:space="preserve">9101050658084</t>
  </si>
  <si>
    <t xml:space="preserve">E1030</t>
  </si>
  <si>
    <t xml:space="preserve">21/02/2012</t>
  </si>
  <si>
    <t xml:space="preserve">Lucky Radebe</t>
  </si>
  <si>
    <t xml:space="preserve">8503177178089</t>
  </si>
  <si>
    <t xml:space="preserve">E1031</t>
  </si>
  <si>
    <t xml:space="preserve">14/08/2017</t>
  </si>
  <si>
    <t xml:space="preserve">6903238164080</t>
  </si>
  <si>
    <t xml:space="preserve">E1032</t>
  </si>
  <si>
    <t xml:space="preserve">28/02/2021</t>
  </si>
  <si>
    <t xml:space="preserve">Clinton Adams</t>
  </si>
  <si>
    <t xml:space="preserve">8107038821083</t>
  </si>
  <si>
    <t xml:space="preserve">E1033</t>
  </si>
  <si>
    <t xml:space="preserve">10/09/2018</t>
  </si>
  <si>
    <t xml:space="preserve">Refilwe Mbatha</t>
  </si>
  <si>
    <t xml:space="preserve">9501271185082</t>
  </si>
  <si>
    <t xml:space="preserve">E1034</t>
  </si>
  <si>
    <t xml:space="preserve">24/11/2022</t>
  </si>
  <si>
    <t xml:space="preserve">Refilwe Radebe</t>
  </si>
  <si>
    <t xml:space="preserve">8609024415085</t>
  </si>
  <si>
    <t xml:space="preserve">E1035</t>
  </si>
  <si>
    <t xml:space="preserve">19/04/2020</t>
  </si>
  <si>
    <t xml:space="preserve">Bheki Radebe</t>
  </si>
  <si>
    <t xml:space="preserve">7703037969088</t>
  </si>
  <si>
    <t xml:space="preserve">E1036</t>
  </si>
  <si>
    <t xml:space="preserve">27/06/2022</t>
  </si>
  <si>
    <t xml:space="preserve">Sipho Mbatha</t>
  </si>
  <si>
    <t xml:space="preserve">8903135402086</t>
  </si>
  <si>
    <t xml:space="preserve">E1037</t>
  </si>
  <si>
    <t xml:space="preserve">31/05/2015</t>
  </si>
  <si>
    <t xml:space="preserve">8401183452087</t>
  </si>
  <si>
    <t xml:space="preserve">E1038</t>
  </si>
  <si>
    <t xml:space="preserve">04/12/2012</t>
  </si>
  <si>
    <t xml:space="preserve">Nadia Naidoo</t>
  </si>
  <si>
    <t xml:space="preserve">7204052119089</t>
  </si>
  <si>
    <t xml:space="preserve">E1039</t>
  </si>
  <si>
    <t xml:space="preserve">14/04/2025</t>
  </si>
  <si>
    <t xml:space="preserve">Refilwe Mabaso</t>
  </si>
  <si>
    <t xml:space="preserve">7111171968082</t>
  </si>
  <si>
    <t xml:space="preserve">E1040</t>
  </si>
  <si>
    <t xml:space="preserve">02/07/2019</t>
  </si>
  <si>
    <t xml:space="preserve">Gift Tshabalala</t>
  </si>
  <si>
    <t xml:space="preserve">Semi-skilled</t>
  </si>
  <si>
    <t xml:space="preserve">6801235986085</t>
  </si>
  <si>
    <t xml:space="preserve">E1041</t>
  </si>
  <si>
    <t xml:space="preserve">21/05/2014</t>
  </si>
  <si>
    <t xml:space="preserve">Johan Fourie</t>
  </si>
  <si>
    <t xml:space="preserve">9507178183088</t>
  </si>
  <si>
    <t xml:space="preserve">E1042</t>
  </si>
  <si>
    <t xml:space="preserve">17/12/2021</t>
  </si>
  <si>
    <t xml:space="preserve">Gift Mokoena</t>
  </si>
  <si>
    <t xml:space="preserve">8412116776088</t>
  </si>
  <si>
    <t xml:space="preserve">E1043</t>
  </si>
  <si>
    <t xml:space="preserve">Nonhlanhla Dlamini</t>
  </si>
  <si>
    <t xml:space="preserve">8507083514089</t>
  </si>
  <si>
    <t xml:space="preserve">E1044</t>
  </si>
  <si>
    <t xml:space="preserve">15/05/2017</t>
  </si>
  <si>
    <t xml:space="preserve">Retha Coetzee</t>
  </si>
  <si>
    <t xml:space="preserve">9904130421088</t>
  </si>
  <si>
    <t xml:space="preserve">E1045</t>
  </si>
  <si>
    <t xml:space="preserve">17/01/2017</t>
  </si>
  <si>
    <t xml:space="preserve">Phumzile Khumalo</t>
  </si>
  <si>
    <t xml:space="preserve">7807050625087</t>
  </si>
  <si>
    <t xml:space="preserve">E1046</t>
  </si>
  <si>
    <t xml:space="preserve">20/06/2023</t>
  </si>
  <si>
    <t xml:space="preserve">Vusi Mabaso</t>
  </si>
  <si>
    <t xml:space="preserve">9602069301087</t>
  </si>
  <si>
    <t xml:space="preserve">E1047</t>
  </si>
  <si>
    <t xml:space="preserve">06/06/2021</t>
  </si>
  <si>
    <t xml:space="preserve">Thabo Sibeko</t>
  </si>
  <si>
    <t xml:space="preserve">0012035599088</t>
  </si>
  <si>
    <t xml:space="preserve">E1048</t>
  </si>
  <si>
    <t xml:space="preserve">12/03/2017</t>
  </si>
  <si>
    <t xml:space="preserve">Hlengiwe Sithole</t>
  </si>
  <si>
    <t xml:space="preserve">9001203417083</t>
  </si>
  <si>
    <t xml:space="preserve">E1049</t>
  </si>
  <si>
    <t xml:space="preserve">26/04/2021</t>
  </si>
  <si>
    <t xml:space="preserve">Nkosana Tshabalala</t>
  </si>
  <si>
    <t xml:space="preserve">8112198573086</t>
  </si>
  <si>
    <t xml:space="preserve">E1050</t>
  </si>
  <si>
    <t xml:space="preserve">23/11/2022</t>
  </si>
  <si>
    <t xml:space="preserve">Ricardo Booysen</t>
  </si>
  <si>
    <t xml:space="preserve">7408079235089</t>
  </si>
  <si>
    <t xml:space="preserve">E1051</t>
  </si>
  <si>
    <t xml:space="preserve">03/03/2015</t>
  </si>
  <si>
    <t xml:space="preserve">Priya Padayachee</t>
  </si>
  <si>
    <t xml:space="preserve">8811222232086</t>
  </si>
  <si>
    <t xml:space="preserve">E1052</t>
  </si>
  <si>
    <t xml:space="preserve">08/04/2013</t>
  </si>
  <si>
    <t xml:space="preserve">Dimakatso Tshabalala</t>
  </si>
  <si>
    <t xml:space="preserve">8808070879083</t>
  </si>
  <si>
    <t xml:space="preserve">E1053</t>
  </si>
  <si>
    <t xml:space="preserve">14/07/2020</t>
  </si>
  <si>
    <t xml:space="preserve">Ashwin Arendse</t>
  </si>
  <si>
    <t xml:space="preserve">9105227501085</t>
  </si>
  <si>
    <t xml:space="preserve">E1054</t>
  </si>
  <si>
    <t xml:space="preserve">06/10/2023</t>
  </si>
  <si>
    <t xml:space="preserve">Busisiwe Khoza</t>
  </si>
  <si>
    <t xml:space="preserve">7512032308089</t>
  </si>
  <si>
    <t xml:space="preserve">E1055</t>
  </si>
  <si>
    <t xml:space="preserve">08/08/2019</t>
  </si>
  <si>
    <t xml:space="preserve">Sindiswa Radebe</t>
  </si>
  <si>
    <t xml:space="preserve">9704272175082</t>
  </si>
  <si>
    <t xml:space="preserve">E1056</t>
  </si>
  <si>
    <t xml:space="preserve">06/09/2016</t>
  </si>
  <si>
    <t xml:space="preserve">Katlego Molefe</t>
  </si>
  <si>
    <t xml:space="preserve">0005186450085</t>
  </si>
  <si>
    <t xml:space="preserve">E1057</t>
  </si>
  <si>
    <t xml:space="preserve">14/05/2021</t>
  </si>
  <si>
    <t xml:space="preserve">Karabo Maseko</t>
  </si>
  <si>
    <t xml:space="preserve">0001102465083</t>
  </si>
  <si>
    <t xml:space="preserve">E1058</t>
  </si>
  <si>
    <t xml:space="preserve">02/03/2022</t>
  </si>
  <si>
    <t xml:space="preserve">Phila Molefe</t>
  </si>
  <si>
    <t xml:space="preserve">Unskilled</t>
  </si>
  <si>
    <t xml:space="preserve">0011155088088</t>
  </si>
  <si>
    <t xml:space="preserve">E1059</t>
  </si>
  <si>
    <t xml:space="preserve">18/10/2022</t>
  </si>
  <si>
    <t xml:space="preserve">Phila Ngcobo</t>
  </si>
  <si>
    <t xml:space="preserve">7610189321085</t>
  </si>
  <si>
    <t xml:space="preserve">E1060</t>
  </si>
  <si>
    <t xml:space="preserve">02/11/2024</t>
  </si>
  <si>
    <t xml:space="preserve">Tarryn Petersen</t>
  </si>
  <si>
    <t xml:space="preserve">7708052943082</t>
  </si>
  <si>
    <t xml:space="preserve">E1061</t>
  </si>
  <si>
    <t xml:space="preserve">12/11/2012</t>
  </si>
  <si>
    <t xml:space="preserve">Tshepo Tshabalala</t>
  </si>
  <si>
    <t xml:space="preserve">7512098639088</t>
  </si>
  <si>
    <t xml:space="preserve">E1062</t>
  </si>
  <si>
    <t xml:space="preserve">22/04/2022</t>
  </si>
  <si>
    <t xml:space="preserve">Bianca Jacobs</t>
  </si>
  <si>
    <t xml:space="preserve">8302193298082</t>
  </si>
  <si>
    <t xml:space="preserve">E1063</t>
  </si>
  <si>
    <t xml:space="preserve">29/06/2016</t>
  </si>
  <si>
    <t xml:space="preserve">Nokuthula Maluleke</t>
  </si>
  <si>
    <t xml:space="preserve">8603100090086</t>
  </si>
  <si>
    <t xml:space="preserve">E1064</t>
  </si>
  <si>
    <t xml:space="preserve">23/08/2014</t>
  </si>
  <si>
    <t xml:space="preserve">Devina Padayachee</t>
  </si>
  <si>
    <t xml:space="preserve">9312064779085</t>
  </si>
  <si>
    <t xml:space="preserve">E1065</t>
  </si>
  <si>
    <t xml:space="preserve">21/01/2018</t>
  </si>
  <si>
    <t xml:space="preserve">Bheki Mbatha</t>
  </si>
  <si>
    <t xml:space="preserve">6704178210085</t>
  </si>
  <si>
    <t xml:space="preserve">E1066</t>
  </si>
  <si>
    <t xml:space="preserve">03/08/2024</t>
  </si>
  <si>
    <t xml:space="preserve">Dewald Van der Merwe</t>
  </si>
  <si>
    <t xml:space="preserve">6908206942086</t>
  </si>
  <si>
    <t xml:space="preserve">E1067</t>
  </si>
  <si>
    <t xml:space="preserve">12/06/2017</t>
  </si>
  <si>
    <t xml:space="preserve">Naledi Nkosi</t>
  </si>
  <si>
    <t xml:space="preserve">9005022950083</t>
  </si>
  <si>
    <t xml:space="preserve">E1068</t>
  </si>
  <si>
    <t xml:space="preserve">16/07/2019</t>
  </si>
  <si>
    <t xml:space="preserve">Candice Arendse</t>
  </si>
  <si>
    <t xml:space="preserve">0106282479083</t>
  </si>
  <si>
    <t xml:space="preserve">E1069</t>
  </si>
  <si>
    <t xml:space="preserve">21/12/2020</t>
  </si>
  <si>
    <t xml:space="preserve">Tshepo Sithole</t>
  </si>
  <si>
    <t xml:space="preserve">8311077114083</t>
  </si>
  <si>
    <t xml:space="preserve">E1070</t>
  </si>
  <si>
    <t xml:space="preserve">07/10/2011</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</si>
  <si>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</si>
  <si>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</si>
  <si>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</si>
  <si>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</si>
  <si>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</si>
  <si>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</si>
  <si>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</si>
  <si>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</si>
  <si>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</si>
  <si>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</si>
  <si>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</si>
  <si>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</si>
  <si>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</si>
  <si>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</si>
  <si>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</si>
  <si>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</si>
  <si>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</si>
  <si>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</si>
  <si>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</si>
  <si>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</si>
  <si>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</si>
  <si>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</si>
  <si>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</si>
  <si>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</si>
  <si>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</si>
  <si>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Informal Mentorship</t>
  </si>
  <si>
    <t xml:space="preserve">G</t>
  </si>
  <si>
    <t xml:space="preserve">Okiru Digital Academy</t>
  </si>
  <si>
    <t xml:space="preserve">Kwazulu-Natal</t>
  </si>
  <si>
    <t xml:space="preserve">Kwazulu-Natal Metro</t>
  </si>
  <si>
    <t xml:space="preserve">Dineo Sithole</t>
  </si>
  <si>
    <t xml:space="preserve">6710152347082</t>
  </si>
  <si>
    <t xml:space="preserve">15/01/2025</t>
  </si>
  <si>
    <t xml:space="preserve">30/11/2025</t>
  </si>
  <si>
    <t xml:space="preserve">Operations</t>
  </si>
  <si>
    <t xml:space="preserve">MICT SETA Learnership</t>
  </si>
  <si>
    <t xml:space="preserve">C</t>
  </si>
  <si>
    <t xml:space="preserve">Eastern Cape</t>
  </si>
  <si>
    <t xml:space="preserve">Eastern Cape Metro</t>
  </si>
  <si>
    <t xml:space="preserve">Nomvula Molefe</t>
  </si>
  <si>
    <t xml:space="preserve">0603130661086</t>
  </si>
  <si>
    <t xml:space="preserve">NQF5 Software Development</t>
  </si>
  <si>
    <t xml:space="preserve">B</t>
  </si>
  <si>
    <t xml:space="preserve">Mpumalanga</t>
  </si>
  <si>
    <t xml:space="preserve">Mpumalanga Metro</t>
  </si>
  <si>
    <t xml:space="preserve">Ayanda Zulu</t>
  </si>
  <si>
    <t xml:space="preserve">0108162832084</t>
  </si>
  <si>
    <t xml:space="preserve">Workplace DevOps Programme</t>
  </si>
  <si>
    <t xml:space="preserve">D</t>
  </si>
  <si>
    <t xml:space="preserve">Gauteng</t>
  </si>
  <si>
    <t xml:space="preserve">Gauteng Metro</t>
  </si>
  <si>
    <t xml:space="preserve">Busisiwe Molefe</t>
  </si>
  <si>
    <t xml:space="preserve">9805201290080</t>
  </si>
  <si>
    <t xml:space="preserve">Free State</t>
  </si>
  <si>
    <t xml:space="preserve">Free State Metro</t>
  </si>
  <si>
    <t xml:space="preserve">Palesa Mbatha</t>
  </si>
  <si>
    <t xml:space="preserve">6909071030080</t>
  </si>
  <si>
    <t xml:space="preserve">Hlengiwe Mokoena</t>
  </si>
  <si>
    <t xml:space="preserve">9712153043089</t>
  </si>
  <si>
    <t xml:space="preserve">Limpopo</t>
  </si>
  <si>
    <t xml:space="preserve">Limpopo Metro</t>
  </si>
  <si>
    <t xml:space="preserve">Bernadette Hendricks</t>
  </si>
  <si>
    <t xml:space="preserve">9309072483080</t>
  </si>
  <si>
    <t xml:space="preserve">Cybersecurity Induction</t>
  </si>
  <si>
    <t xml:space="preserve">F</t>
  </si>
  <si>
    <t xml:space="preserve">Western Cape</t>
  </si>
  <si>
    <t xml:space="preserve">Western Cape Metro</t>
  </si>
  <si>
    <t xml:space="preserve">Bheki Sibeko</t>
  </si>
  <si>
    <t xml:space="preserve">7206079958084</t>
  </si>
  <si>
    <t xml:space="preserve">Computer Science Bursary</t>
  </si>
  <si>
    <t xml:space="preserve">A</t>
  </si>
  <si>
    <t xml:space="preserve">Khanyisile Radebe</t>
  </si>
  <si>
    <t xml:space="preserve">6902181105082</t>
  </si>
  <si>
    <t xml:space="preserve">On-the-job Coaching</t>
  </si>
  <si>
    <t xml:space="preserve">E</t>
  </si>
  <si>
    <t xml:space="preserve">North West</t>
  </si>
  <si>
    <t xml:space="preserve">North West Metro</t>
  </si>
  <si>
    <t xml:space="preserve">Bradley Arendse</t>
  </si>
  <si>
    <t xml:space="preserve">6812109859084</t>
  </si>
  <si>
    <t xml:space="preserve">Mmabatho Dlamini</t>
  </si>
  <si>
    <t xml:space="preserve">0206110045088</t>
  </si>
  <si>
    <t xml:space="preserve">Lehlohonolo Ngcobo</t>
  </si>
  <si>
    <t xml:space="preserve">8003235956089</t>
  </si>
  <si>
    <t xml:space="preserve">Northern Cape</t>
  </si>
  <si>
    <t xml:space="preserve">Northern Cape Metro</t>
  </si>
  <si>
    <t xml:space="preserve">Tarryn September</t>
  </si>
  <si>
    <t xml:space="preserve">8901120084083</t>
  </si>
  <si>
    <t xml:space="preserve">Thabo Molefe</t>
  </si>
  <si>
    <t xml:space="preserve">0208176582087</t>
  </si>
  <si>
    <t xml:space="preserve">Lindiwe Sithole</t>
  </si>
  <si>
    <t xml:space="preserve">7105251308086</t>
  </si>
  <si>
    <t xml:space="preserve">Madelein Botha</t>
  </si>
  <si>
    <t xml:space="preserve">7611034904083</t>
  </si>
  <si>
    <t xml:space="preserve">Bheki Mokoena</t>
  </si>
  <si>
    <t xml:space="preserve">0102026907083</t>
  </si>
  <si>
    <t xml:space="preserve">Thabo Nkosi</t>
  </si>
  <si>
    <t xml:space="preserve">9504218820084</t>
  </si>
  <si>
    <t xml:space="preserve">Retha Nel</t>
  </si>
  <si>
    <t xml:space="preserve">9911043250082</t>
  </si>
  <si>
    <t xml:space="preserve">Sandile Ngcobo</t>
  </si>
  <si>
    <t xml:space="preserve">8406019175083</t>
  </si>
  <si>
    <t xml:space="preserve">Musa Khumalo</t>
  </si>
  <si>
    <t xml:space="preserve">7011126349083</t>
  </si>
  <si>
    <t xml:space="preserve">Riyaad Padayachee</t>
  </si>
  <si>
    <t xml:space="preserve">9812168739083</t>
  </si>
  <si>
    <t xml:space="preserve">Ricardo Petersen</t>
  </si>
  <si>
    <t xml:space="preserve">8706215426085</t>
  </si>
  <si>
    <t xml:space="preserve">Werner Joubert</t>
  </si>
  <si>
    <t xml:space="preserve">9904279931087</t>
  </si>
  <si>
    <t xml:space="preserve">Andile Khumalo</t>
  </si>
  <si>
    <t xml:space="preserve">6710016601088</t>
  </si>
  <si>
    <t xml:space="preserve">Sandile Buthelezi</t>
  </si>
  <si>
    <t xml:space="preserve">7109069387084</t>
  </si>
  <si>
    <t xml:space="preserve">Nomvula Mthembu</t>
  </si>
  <si>
    <t xml:space="preserve">7812250737088</t>
  </si>
  <si>
    <t xml:space="preserve">Musa Khoza</t>
  </si>
  <si>
    <t xml:space="preserve">8807176689081</t>
  </si>
  <si>
    <t xml:space="preserve">Phila Mthembu</t>
  </si>
  <si>
    <t xml:space="preserve">8108148690087</t>
  </si>
  <si>
    <t xml:space="preserve">8605070107089</t>
  </si>
  <si>
    <t xml:space="preserve">Karien Venter</t>
  </si>
  <si>
    <t xml:space="preserve">9204220846082</t>
  </si>
  <si>
    <t xml:space="preserve">Nonhlanhla Mabaso</t>
  </si>
  <si>
    <t xml:space="preserve">9302060432086</t>
  </si>
  <si>
    <t xml:space="preserve">Lerato Maluleke</t>
  </si>
  <si>
    <t xml:space="preserve">9310031559085</t>
  </si>
  <si>
    <t xml:space="preserve">Sindiswa Mabaso</t>
  </si>
  <si>
    <t xml:space="preserve">9312203551080</t>
  </si>
  <si>
    <t xml:space="preserve">Ntombi Sithole</t>
  </si>
  <si>
    <t xml:space="preserve">9805142908089</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</si>
  <si>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</si>
  <si>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</si>
  <si>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</si>
  <si>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</si>
  <si>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</si>
  <si>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</si>
  <si>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</si>
  <si>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</si>
  <si>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</si>
  <si>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</si>
  <si>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</si>
  <si>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</si>
  <si>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</si>
  <si>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</si>
  <si>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</si>
  <si>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</si>
  <si>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</si>
  <si>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</si>
  <si>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Kgwele Advisory (Pty) Ltd</t>
  </si>
  <si>
    <t xml:space="preserve">EME</t>
  </si>
  <si>
    <t xml:space="preserve">1</t>
  </si>
  <si>
    <t xml:space="preserve">4458843386</t>
  </si>
  <si>
    <t xml:space="preserve">RCoGP</t>
  </si>
  <si>
    <t xml:space="preserve">03/02/2020</t>
  </si>
  <si>
    <t xml:space="preserve">Procurement</t>
  </si>
  <si>
    <t xml:space="preserve">31/03/2026</t>
  </si>
  <si>
    <t xml:space="preserve">Sizanani Holdings (Pty) Ltd</t>
  </si>
  <si>
    <t xml:space="preserve">Large</t>
  </si>
  <si>
    <t xml:space="preserve">2</t>
  </si>
  <si>
    <t xml:space="preserve">4195372332</t>
  </si>
  <si>
    <t xml:space="preserve">Group</t>
  </si>
  <si>
    <t xml:space="preserve">Cape Holdings (Pty) Ltd</t>
  </si>
  <si>
    <t xml:space="preserve">QSE</t>
  </si>
  <si>
    <t xml:space="preserve">4135368983</t>
  </si>
  <si>
    <t xml:space="preserve">Masakhane Distributors (Pty) Ltd</t>
  </si>
  <si>
    <t xml:space="preserve">4256399992</t>
  </si>
  <si>
    <t xml:space="preserve">Drakens Solutions (Pty) Ltd</t>
  </si>
  <si>
    <t xml:space="preserve">4372520282</t>
  </si>
  <si>
    <t xml:space="preserve">Kgwele Solutions (Pty) Ltd</t>
  </si>
  <si>
    <t xml:space="preserve">4316342213</t>
  </si>
  <si>
    <t xml:space="preserve">Masakhane Logistics (Pty) Ltd</t>
  </si>
  <si>
    <t xml:space="preserve">4299817087</t>
  </si>
  <si>
    <t xml:space="preserve">Phakama Logistics (Pty) Ltd</t>
  </si>
  <si>
    <t xml:space="preserve">4273572359</t>
  </si>
  <si>
    <t xml:space="preserve">Drakens Projects (Pty) Ltd</t>
  </si>
  <si>
    <t xml:space="preserve">4327322676</t>
  </si>
  <si>
    <t xml:space="preserve">Sebenza Logistics (Pty) Ltd</t>
  </si>
  <si>
    <t xml:space="preserve">3</t>
  </si>
  <si>
    <t xml:space="preserve">4444249778</t>
  </si>
  <si>
    <t xml:space="preserve">Lethabo Logistics (Pty) Ltd</t>
  </si>
  <si>
    <t xml:space="preserve">4127079457</t>
  </si>
  <si>
    <t xml:space="preserve">Letsema Services (Pty) Ltd</t>
  </si>
  <si>
    <t xml:space="preserve">4404040182</t>
  </si>
  <si>
    <t xml:space="preserve">Rise Services (Pty) Ltd</t>
  </si>
  <si>
    <t xml:space="preserve">8</t>
  </si>
  <si>
    <t xml:space="preserve">4218619441</t>
  </si>
  <si>
    <t xml:space="preserve">Umoya Industrial (Pty) Ltd</t>
  </si>
  <si>
    <t xml:space="preserve">Non-compliant</t>
  </si>
  <si>
    <t xml:space="preserve">4193363884</t>
  </si>
  <si>
    <t xml:space="preserve">Amandla Services (Pty) Ltd</t>
  </si>
  <si>
    <t xml:space="preserve">4453720339</t>
  </si>
  <si>
    <t xml:space="preserve">Highveld Distributors (Pty) Ltd</t>
  </si>
  <si>
    <t xml:space="preserve">4140919195</t>
  </si>
  <si>
    <t xml:space="preserve">Masakhane Holdings (Pty) Ltd</t>
  </si>
  <si>
    <t xml:space="preserve">4383074921</t>
  </si>
  <si>
    <t xml:space="preserve">Lethabo Industrial (Pty) Ltd</t>
  </si>
  <si>
    <t xml:space="preserve">4</t>
  </si>
  <si>
    <t xml:space="preserve">4112724203</t>
  </si>
  <si>
    <t xml:space="preserve">Rise Industrial (Pty) Ltd</t>
  </si>
  <si>
    <t xml:space="preserve">7</t>
  </si>
  <si>
    <t xml:space="preserve">4277541941</t>
  </si>
  <si>
    <t xml:space="preserve">Morester Supplies (Pty) Ltd</t>
  </si>
  <si>
    <t xml:space="preserve">4185589384</t>
  </si>
  <si>
    <t xml:space="preserve">Masakhane Supplies (Pty) Ltd</t>
  </si>
  <si>
    <t xml:space="preserve">4228971672</t>
  </si>
  <si>
    <t xml:space="preserve">Siyakha Engineering (Pty) Ltd</t>
  </si>
  <si>
    <t xml:space="preserve">4153625218</t>
  </si>
  <si>
    <t xml:space="preserve">Drakens Group (Pty) Ltd</t>
  </si>
  <si>
    <t xml:space="preserve">4453351583</t>
  </si>
  <si>
    <t xml:space="preserve">Khanyisa Services (Pty) Ltd</t>
  </si>
  <si>
    <t xml:space="preserve">4146289913</t>
  </si>
  <si>
    <t xml:space="preserve">Umoya Projects (Pty) Ltd</t>
  </si>
  <si>
    <t xml:space="preserve">5</t>
  </si>
  <si>
    <t xml:space="preserve">4211109720</t>
  </si>
  <si>
    <t xml:space="preserve">Sebenza Industrial (Pty) Ltd</t>
  </si>
  <si>
    <t xml:space="preserve">4132154305</t>
  </si>
  <si>
    <t xml:space="preserve">Thembekile Logistics (Pty) Ltd</t>
  </si>
  <si>
    <t xml:space="preserve">4305443600</t>
  </si>
  <si>
    <t xml:space="preserve">Phakama Advisory (Pty) Ltd</t>
  </si>
  <si>
    <t xml:space="preserve">4198399183</t>
  </si>
  <si>
    <t xml:space="preserve">Morester Industrial (Pty) Ltd</t>
  </si>
  <si>
    <t xml:space="preserve">4454328840</t>
  </si>
  <si>
    <t xml:space="preserve">Morester Distributors (Pty) Ltd</t>
  </si>
  <si>
    <t xml:space="preserve">4255836331</t>
  </si>
  <si>
    <t xml:space="preserve">Lethabo Services (Pty) Ltd</t>
  </si>
  <si>
    <t xml:space="preserve">4436748014</t>
  </si>
  <si>
    <t xml:space="preserve">Drakens Services (Pty) Ltd</t>
  </si>
  <si>
    <t xml:space="preserve">4309351348</t>
  </si>
  <si>
    <t xml:space="preserve">Bophelo Solutions (Pty) Ltd</t>
  </si>
  <si>
    <t xml:space="preserve">4163280683</t>
  </si>
  <si>
    <t xml:space="preserve">Phakama Holdings (Pty) Ltd</t>
  </si>
  <si>
    <t xml:space="preserve">6</t>
  </si>
  <si>
    <t xml:space="preserve">4450757425</t>
  </si>
  <si>
    <t xml:space="preserve">Drakens Holdings (Pty) Ltd</t>
  </si>
  <si>
    <t xml:space="preserve">4260068281</t>
  </si>
  <si>
    <t xml:space="preserve">Imvula Services (Pty) Ltd</t>
  </si>
  <si>
    <t xml:space="preserve">4206663380</t>
  </si>
  <si>
    <t xml:space="preserve">Kgwele Logistics (Pty) Ltd</t>
  </si>
  <si>
    <t xml:space="preserve">4331333804</t>
  </si>
  <si>
    <t xml:space="preserve">Kusile Services (Pty) Ltd</t>
  </si>
  <si>
    <t xml:space="preserve">4376711290</t>
  </si>
  <si>
    <t xml:space="preserve">Sebenza Holdings (Pty) Ltd</t>
  </si>
  <si>
    <t xml:space="preserve">4164266666</t>
  </si>
  <si>
    <t xml:space="preserve">Thembekile Engineering (Pty) Ltd</t>
  </si>
  <si>
    <t xml:space="preserve">4138727354</t>
  </si>
  <si>
    <t xml:space="preserve">Bokamoso Advisory (Pty) Ltd</t>
  </si>
  <si>
    <t xml:space="preserve">4265154352</t>
  </si>
  <si>
    <t xml:space="preserve">Khanyisa Holdings (Pty) Ltd</t>
  </si>
  <si>
    <t xml:space="preserve">4151000979</t>
  </si>
  <si>
    <t xml:space="preserve">Cape Supplies (Pty) Ltd</t>
  </si>
  <si>
    <t xml:space="preserve">4410432618</t>
  </si>
  <si>
    <t xml:space="preserve">Bokamoso Projects (Pty) Ltd</t>
  </si>
  <si>
    <t xml:space="preserve">4187286223</t>
  </si>
  <si>
    <t xml:space="preserve">Lethabo Trading (Pty) Ltd</t>
  </si>
  <si>
    <t xml:space="preserve">4114818691</t>
  </si>
  <si>
    <t xml:space="preserve">Letsema Projects (Pty) Ltd</t>
  </si>
  <si>
    <t xml:space="preserve">4335168882</t>
  </si>
  <si>
    <t xml:space="preserve">Bophelo Services (Pty) Ltd</t>
  </si>
  <si>
    <t xml:space="preserve">4454972946</t>
  </si>
  <si>
    <t xml:space="preserve">Rise Solutions (Pty) Ltd</t>
  </si>
  <si>
    <t xml:space="preserve">4451622128</t>
  </si>
  <si>
    <t xml:space="preserve">Imvula Industrial (Pty) Ltd</t>
  </si>
  <si>
    <t xml:space="preserve">4213102850</t>
  </si>
  <si>
    <t xml:space="preserve">Morester Solutions (Pty) Ltd</t>
  </si>
  <si>
    <t xml:space="preserve">4218017308</t>
  </si>
  <si>
    <t xml:space="preserve">Sizanani Engineering (Pty) Ltd</t>
  </si>
  <si>
    <t xml:space="preserve">4172352852</t>
  </si>
  <si>
    <t xml:space="preserve">Khanyisa Logistics (Pty) Ltd</t>
  </si>
  <si>
    <t xml:space="preserve">4233730737</t>
  </si>
  <si>
    <t xml:space="preserve">Thembekile Distributors (Pty) Ltd</t>
  </si>
  <si>
    <t xml:space="preserve">4303091028</t>
  </si>
  <si>
    <t xml:space="preserve">Umoya Services (Pty) Ltd</t>
  </si>
  <si>
    <t xml:space="preserve">4306986716</t>
  </si>
  <si>
    <t xml:space="preserve">Lethabo Advisory (Pty) Ltd</t>
  </si>
  <si>
    <t xml:space="preserve">4177753141</t>
  </si>
  <si>
    <t xml:space="preserve">Letsema Logistics (Pty) Ltd</t>
  </si>
  <si>
    <t xml:space="preserve">4350397159</t>
  </si>
  <si>
    <t xml:space="preserve">Khanyisa Solutions (Pty) Ltd</t>
  </si>
  <si>
    <t xml:space="preserve">4461637469</t>
  </si>
  <si>
    <t xml:space="preserve">Tshwaranang Supplies (Pty) Ltd</t>
  </si>
  <si>
    <t xml:space="preserve">4203588482</t>
  </si>
  <si>
    <t xml:space="preserve">Rise Trading (Pty) Ltd</t>
  </si>
  <si>
    <t xml:space="preserve">4295791975</t>
  </si>
  <si>
    <t xml:space="preserve">Rise Advisory (Pty) Ltd</t>
  </si>
  <si>
    <t xml:space="preserve">4413157141</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</si>
  <si>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</si>
  <si>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</si>
  <si>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</si>
  <si>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</si>
  <si>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</si>
  <si>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</si>
  <si>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</si>
  <si>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</si>
  <si>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</si>
  <si>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</si>
  <si>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</si>
  <si>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Siyakha Solutions (Pty) Ltd</t>
  </si>
  <si>
    <t xml:space="preserve">SD beneficiary (existing supplier): Interest-free working capital loan</t>
  </si>
  <si>
    <t xml:space="preserve">12/06/2025</t>
  </si>
  <si>
    <t xml:space="preserve">Loan</t>
  </si>
  <si>
    <t xml:space="preserve">10/07/2025</t>
  </si>
  <si>
    <t xml:space="preserve">ESD</t>
  </si>
  <si>
    <t xml:space="preserve">Rise Distributors (Pty) Ltd</t>
  </si>
  <si>
    <t xml:space="preserve">SD beneficiary (existing supplier): Early-payment programme (30-day terms)</t>
  </si>
  <si>
    <t xml:space="preserve">Early payment</t>
  </si>
  <si>
    <t xml:space="preserve">Phakama Industrial (Pty) Ltd</t>
  </si>
  <si>
    <t xml:space="preserve">SD beneficiary (existing supplier): Free ERP licences and onboarding</t>
  </si>
  <si>
    <t xml:space="preserve">Grant</t>
  </si>
  <si>
    <t xml:space="preserve">Kgwele Engineering (Pty) Ltd</t>
  </si>
  <si>
    <t xml:space="preserve">SD beneficiary (existing supplier): Subsidised machinery lease</t>
  </si>
  <si>
    <t xml:space="preserve">Discount</t>
  </si>
  <si>
    <t xml:space="preserve">Letsema Group (Pty) Ltd</t>
  </si>
  <si>
    <t xml:space="preserve">SD beneficiary (existing supplier): Mentorship and systems support</t>
  </si>
  <si>
    <t xml:space="preserve">Professional services</t>
  </si>
  <si>
    <t xml:space="preserve">Letsema Trading (Pty) Ltd</t>
  </si>
  <si>
    <t xml:space="preserve">SD beneficiary (existing supplier): Bulk-buying discount facility</t>
  </si>
  <si>
    <t xml:space="preserve">Phakama Distributors (Pty) Ltd</t>
  </si>
  <si>
    <t xml:space="preserve">ENTERPRISE DEVELOPMENT (non-supplier beneficiary): Seed grant to black-owned start-up</t>
  </si>
  <si>
    <t xml:space="preserve">Letsema Supplies (Pty) Ltd</t>
  </si>
  <si>
    <t xml:space="preserve">ENTERPRISE DEVELOPMENT (non-supplier beneficiary): Equipment donation to township enterprise</t>
  </si>
  <si>
    <t xml:space="preserve">Drakens Engineering (Pty) Ltd</t>
  </si>
  <si>
    <t xml:space="preserve">ENTERPRISE DEVELOPMENT (non-supplier beneficiary): Incubation programme sponsorship</t>
  </si>
  <si>
    <t xml:space="preserve">Kgwele Services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</si>
  <si>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</si>
  <si>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</si>
  <si>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</si>
  <si>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</si>
  <si>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</si>
  <si>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</si>
  <si>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Code for Mzansi</t>
  </si>
  <si>
    <t xml:space="preserve">Coding bootcamps for township youth</t>
  </si>
  <si>
    <t xml:space="preserve">20/05/2025</t>
  </si>
  <si>
    <t xml:space="preserve">CSI</t>
  </si>
  <si>
    <t xml:space="preserve">Connected Schools</t>
  </si>
  <si>
    <t xml:space="preserve">Laptops and connectivity for rural schools</t>
  </si>
  <si>
    <t xml:space="preserve">Digital Skills for Women</t>
  </si>
  <si>
    <t xml:space="preserve">ICT upskilling for unemployed black women</t>
  </si>
  <si>
    <t xml:space="preserve">STEM Bursary Programme</t>
  </si>
  <si>
    <t xml:space="preserve">Bursaries for black ICT students</t>
  </si>
  <si>
    <t xml:space="preserve">Donation</t>
  </si>
  <si>
    <t xml:space="preserve">Community WiFi Project</t>
  </si>
  <si>
    <t xml:space="preserve">Free public WiFi in underserved areas</t>
  </si>
  <si>
    <t xml:space="preserve">Sector Targets (reference)</t>
  </si>
  <si>
    <t xml:space="preserve">Element</t>
  </si>
  <si>
    <t xml:space="preserve">Indicative Weighting / Target</t>
  </si>
  <si>
    <t xml:space="preserve">Built to</t>
  </si>
  <si>
    <t xml:space="preserve">Ownership (25 pts)</t>
  </si>
  <si>
    <t xml:space="preserve">25% black, 10% black women</t>
  </si>
  <si>
    <t xml:space="preserve">50% / 30%</t>
  </si>
  <si>
    <t xml:space="preserve">Management Control (15 pts)</t>
  </si>
  <si>
    <t xml:space="preserve">EAP-aligned at all tiers</t>
  </si>
  <si>
    <t xml:space="preserve">Cleared at every tier</t>
  </si>
  <si>
    <t xml:space="preserve">Skills Development (25 pts)</t>
  </si>
  <si>
    <t xml:space="preserve">~3% of payroll on black people</t>
  </si>
  <si>
    <t xml:space="preserve">8%+</t>
  </si>
  <si>
    <t xml:space="preserve">Enterprise &amp; Supplier Development (30 pts)</t>
  </si>
  <si>
    <t xml:space="preserve">80% PP + 2% SD + 1% ED of NPAT</t>
  </si>
  <si>
    <t xml:space="preserve">94%+ / 3.3% / 1.5%</t>
  </si>
  <si>
    <t xml:space="preserve">Socio-Economic Development (5 pts)</t>
  </si>
  <si>
    <t xml:space="preserve">1% of NPAT</t>
  </si>
  <si>
    <t xml:space="preserve">1.3%</t>
  </si>
  <si>
    <t xml:space="preserve">Reference only. The calculator applies the official ICT Sector Code - QSE scorecard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</si>
</sst>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41400000</v>
      </c>
      <c r="C6" s="16" t="n">
        <v>45000000</v>
      </c>
      <c r="D6" s="16" t="n">
        <v>48600000</v>
      </c>
    </row>
    <row r="7" customFormat="false" ht="15" hidden="false" customHeight="false" outlineLevel="0" collapsed="false">
      <c r="A7" s="13" t="s">
        <v>54</v>
      </c>
      <c r="B7" s="16" t="n">
        <v>6300000</v>
      </c>
      <c r="C7" s="16" t="n">
        <v>7000000</v>
      </c>
      <c r="D7" s="16" t="n">
        <v>7700000</v>
      </c>
    </row>
    <row r="8" customFormat="false" ht="15" hidden="false" customHeight="false" outlineLevel="0" collapsed="false">
      <c r="A8" s="13" t="s">
        <v>55</v>
      </c>
      <c r="B8" s="16" t="n">
        <v>15980000</v>
      </c>
      <c r="C8" s="16" t="n">
        <v>17000000</v>
      </c>
      <c r="D8" s="16" t="n">
        <v>18360000</v>
      </c>
    </row>
    <row r="9" customFormat="false" ht="15" hidden="false" customHeight="false" outlineLevel="0" collapsed="false">
      <c r="A9" s="13" t="s">
        <v>56</v>
      </c>
      <c r="B9" s="16" t="n">
        <v>15980000</v>
      </c>
      <c r="C9" s="16" t="n">
        <v>17000000</v>
      </c>
      <c r="D9" s="16" t="n">
        <v>18360000</v>
      </c>
    </row>
    <row r="10" customFormat="false" ht="15" hidden="false" customHeight="false" outlineLevel="0" collapsed="false">
      <c r="A10" s="13" t="s">
        <v>57</v>
      </c>
      <c r="B10" s="17" t="n">
        <f aca="false">SUM('Procurement - Suppliers'!P3:P82)</f>
        <v>18629831</v>
      </c>
      <c r="C10" s="17" t="n">
        <f aca="false">SUM('Procurement - Suppliers'!P3:P82)</f>
        <v>18629831</v>
      </c>
      <c r="D10" s="17" t="n">
        <f aca="false">SUM('Procurement - Suppliers'!P3:P82)</f>
        <v>18629831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25</v>
      </c>
      <c r="H3" s="0" t="n">
        <v>25</v>
      </c>
      <c r="I3" s="0" t="s">
        <v>76</v>
      </c>
      <c r="J3" s="19" t="n">
        <v>5625000</v>
      </c>
      <c r="K3" s="0" t="n">
        <v>0</v>
      </c>
      <c r="L3" s="19" t="n">
        <v>5625000</v>
      </c>
    </row>
    <row r="4" customFormat="false" ht="15" hidden="false" customHeight="false" outlineLevel="0" collapsed="false">
      <c r="A4" s="0" t="s">
        <v>77</v>
      </c>
      <c r="B4" s="0" t="s">
        <v>72</v>
      </c>
      <c r="C4" s="0" t="s">
        <v>78</v>
      </c>
      <c r="D4" s="0" t="s">
        <v>74</v>
      </c>
      <c r="E4" s="0" t="s">
        <v>75</v>
      </c>
      <c r="F4" s="0" t="s">
        <v>75</v>
      </c>
      <c r="G4" s="0" t="n">
        <v>20</v>
      </c>
      <c r="H4" s="0" t="n">
        <v>20</v>
      </c>
      <c r="I4" s="0" t="s">
        <v>76</v>
      </c>
      <c r="J4" s="19" t="n">
        <v>4500000</v>
      </c>
      <c r="K4" s="0" t="n">
        <v>0</v>
      </c>
      <c r="L4" s="19" t="n">
        <v>4500000</v>
      </c>
    </row>
    <row r="5" customFormat="false" ht="15" hidden="false" customHeight="false" outlineLevel="0" collapsed="false">
      <c r="A5" s="0" t="s">
        <v>79</v>
      </c>
      <c r="B5" s="0" t="s">
        <v>72</v>
      </c>
      <c r="C5" s="0" t="s">
        <v>73</v>
      </c>
      <c r="D5" s="0" t="s">
        <v>74</v>
      </c>
      <c r="E5" s="0" t="s">
        <v>75</v>
      </c>
      <c r="F5" s="0" t="s">
        <v>74</v>
      </c>
      <c r="G5" s="0" t="n">
        <v>5</v>
      </c>
      <c r="H5" s="0" t="n">
        <v>5</v>
      </c>
      <c r="I5" s="0" t="s">
        <v>76</v>
      </c>
      <c r="J5" s="19" t="n">
        <v>1125000</v>
      </c>
      <c r="K5" s="0" t="n">
        <v>0</v>
      </c>
      <c r="L5" s="19" t="n">
        <v>1125000</v>
      </c>
    </row>
    <row r="6" customFormat="false" ht="15" hidden="false" customHeight="false" outlineLevel="0" collapsed="false">
      <c r="A6" s="0" t="s">
        <v>80</v>
      </c>
      <c r="B6" s="0" t="s">
        <v>81</v>
      </c>
      <c r="C6" s="0" t="s">
        <v>78</v>
      </c>
      <c r="D6" s="0" t="s">
        <v>75</v>
      </c>
      <c r="E6" s="0" t="s">
        <v>75</v>
      </c>
      <c r="F6" s="0" t="s">
        <v>75</v>
      </c>
      <c r="G6" s="0" t="n">
        <v>50</v>
      </c>
      <c r="H6" s="0" t="n">
        <v>50</v>
      </c>
      <c r="I6" s="0" t="s">
        <v>76</v>
      </c>
      <c r="J6" s="19" t="n">
        <v>11250000</v>
      </c>
      <c r="K6" s="0" t="n">
        <v>0</v>
      </c>
      <c r="L6" s="19" t="n">
        <v>11250000</v>
      </c>
    </row>
    <row r="7" customFormat="false" ht="15" hidden="false" customHeight="false" outlineLevel="0" collapsed="false">
      <c r="A7" s="13" t="s">
        <v>82</v>
      </c>
      <c r="G7" s="20" t="n">
        <f aca="false">SUM(G3:G6)</f>
        <v>100</v>
      </c>
      <c r="H7" s="20" t="n">
        <f aca="false">SUM(H3:H6)</f>
        <v>100</v>
      </c>
    </row>
    <row r="9" customFormat="false" ht="15" hidden="false" customHeight="false" outlineLevel="0" collapsed="false">
      <c r="A9" s="13" t="s">
        <v>83</v>
      </c>
      <c r="B9" s="20" t="n">
        <f aca="false">SUMIF(B3:B6,"&lt;&gt;White",G3:G6)</f>
        <v>50</v>
      </c>
    </row>
    <row r="10" customFormat="false" ht="15" hidden="false" customHeight="false" outlineLevel="0" collapsed="false">
      <c r="A10" s="13" t="s">
        <v>84</v>
      </c>
      <c r="B10" s="20" t="n">
        <f aca="false">SUMIFS(G3:G6,B3:B6,"&lt;&gt;White",C3:C6,"Female")</f>
        <v>30</v>
      </c>
    </row>
    <row r="12" customFormat="false" ht="15" hidden="false" customHeight="false" outlineLevel="0" collapsed="false">
      <c r="A12" s="21"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86</v>
      </c>
      <c r="B1" s="25"/>
      <c r="C1" s="25"/>
      <c r="D1" s="25"/>
      <c r="E1" s="25"/>
      <c r="F1" s="25"/>
      <c r="G1" s="25"/>
      <c r="H1" s="25"/>
      <c r="I1" s="25"/>
      <c r="J1" s="25"/>
    </row>
    <row r="2" customFormat="false" ht="45" hidden="false" customHeight="true" outlineLevel="0" collapsed="false">
      <c r="A2" s="26" t="s">
        <v>87</v>
      </c>
      <c r="B2" s="27" t="s">
        <v>88</v>
      </c>
      <c r="C2" s="27" t="s">
        <v>89</v>
      </c>
      <c r="D2" s="28" t="s">
        <v>90</v>
      </c>
      <c r="E2" s="29" t="s">
        <v>91</v>
      </c>
      <c r="F2" s="29" t="s">
        <v>92</v>
      </c>
      <c r="G2" s="30" t="s">
        <v>93</v>
      </c>
      <c r="H2" s="31" t="s">
        <v>94</v>
      </c>
      <c r="I2" s="29" t="s">
        <v>95</v>
      </c>
      <c r="J2" s="32" t="s">
        <v>96</v>
      </c>
    </row>
    <row r="3" customFormat="false" ht="15" hidden="false" customHeight="false" outlineLevel="0" collapsed="false">
      <c r="A3" s="22" t="s">
        <v>97</v>
      </c>
      <c r="B3" s="22" t="s">
        <v>78</v>
      </c>
      <c r="C3" s="22" t="s">
        <v>72</v>
      </c>
      <c r="D3" s="22" t="s">
        <v>98</v>
      </c>
      <c r="E3" s="33" t="s">
        <v>74</v>
      </c>
      <c r="F3" s="33" t="s">
        <v>75</v>
      </c>
      <c r="G3" s="23" t="s">
        <v>99</v>
      </c>
      <c r="H3" s="24" t="n">
        <v>33.34</v>
      </c>
      <c r="I3" s="34" t="s">
        <v>100</v>
      </c>
      <c r="J3" s="34" t="s">
        <v>101</v>
      </c>
    </row>
    <row r="4" customFormat="false" ht="15" hidden="false" customHeight="false" outlineLevel="0" collapsed="false">
      <c r="A4" s="22" t="s">
        <v>102</v>
      </c>
      <c r="B4" s="22" t="s">
        <v>73</v>
      </c>
      <c r="C4" s="22" t="s">
        <v>72</v>
      </c>
      <c r="D4" s="22" t="s">
        <v>98</v>
      </c>
      <c r="E4" s="33" t="s">
        <v>75</v>
      </c>
      <c r="F4" s="33" t="s">
        <v>75</v>
      </c>
      <c r="G4" s="23" t="s">
        <v>103</v>
      </c>
      <c r="H4" s="24" t="n">
        <v>33.33</v>
      </c>
      <c r="I4" s="34" t="s">
        <v>104</v>
      </c>
      <c r="J4" s="34" t="s">
        <v>105</v>
      </c>
    </row>
    <row r="5" customFormat="false" ht="15" hidden="false" customHeight="false" outlineLevel="0" collapsed="false">
      <c r="A5" s="22" t="s">
        <v>106</v>
      </c>
      <c r="B5" s="22" t="s">
        <v>73</v>
      </c>
      <c r="C5" s="22" t="s">
        <v>72</v>
      </c>
      <c r="D5" s="22" t="s">
        <v>107</v>
      </c>
      <c r="E5" s="33" t="s">
        <v>75</v>
      </c>
      <c r="F5" s="33" t="s">
        <v>75</v>
      </c>
      <c r="G5" s="23" t="s">
        <v>108</v>
      </c>
      <c r="H5" s="24" t="n">
        <v>33.33</v>
      </c>
      <c r="I5" s="34" t="s">
        <v>109</v>
      </c>
      <c r="J5" s="34" t="s">
        <v>110</v>
      </c>
    </row>
    <row r="6" customFormat="false" ht="15" hidden="false" customHeight="false" outlineLevel="0" collapsed="false">
      <c r="A6" s="22" t="s">
        <v>111</v>
      </c>
      <c r="B6" s="22" t="s">
        <v>73</v>
      </c>
      <c r="C6" s="22" t="s">
        <v>81</v>
      </c>
      <c r="D6" s="22" t="s">
        <v>112</v>
      </c>
      <c r="E6" s="33" t="s">
        <v>75</v>
      </c>
      <c r="F6" s="33" t="s">
        <v>75</v>
      </c>
      <c r="G6" s="23" t="s">
        <v>113</v>
      </c>
      <c r="H6" s="24" t="n">
        <v>0</v>
      </c>
      <c r="I6" s="34" t="s">
        <v>114</v>
      </c>
      <c r="J6" s="34" t="s">
        <v>115</v>
      </c>
    </row>
    <row r="7" customFormat="false" ht="15" hidden="false" customHeight="false" outlineLevel="0" collapsed="false">
      <c r="A7" s="22" t="s">
        <v>116</v>
      </c>
      <c r="B7" s="22" t="s">
        <v>73</v>
      </c>
      <c r="C7" s="22" t="s">
        <v>72</v>
      </c>
      <c r="D7" s="22" t="s">
        <v>112</v>
      </c>
      <c r="E7" s="33" t="s">
        <v>75</v>
      </c>
      <c r="F7" s="33" t="s">
        <v>75</v>
      </c>
      <c r="G7" s="23" t="s">
        <v>117</v>
      </c>
      <c r="H7" s="24" t="n">
        <v>0</v>
      </c>
      <c r="I7" s="34" t="s">
        <v>118</v>
      </c>
      <c r="J7" s="34" t="s">
        <v>119</v>
      </c>
    </row>
    <row r="8" customFormat="false" ht="15" hidden="false" customHeight="false" outlineLevel="0" collapsed="false">
      <c r="A8" s="22" t="s">
        <v>120</v>
      </c>
      <c r="B8" s="22" t="s">
        <v>78</v>
      </c>
      <c r="C8" s="22" t="s">
        <v>121</v>
      </c>
      <c r="D8" s="22" t="s">
        <v>112</v>
      </c>
      <c r="E8" s="33" t="s">
        <v>75</v>
      </c>
      <c r="F8" s="33" t="s">
        <v>75</v>
      </c>
      <c r="G8" s="23" t="s">
        <v>122</v>
      </c>
      <c r="H8" s="24" t="n">
        <v>0</v>
      </c>
      <c r="I8" s="34" t="s">
        <v>123</v>
      </c>
      <c r="J8" s="34" t="s">
        <v>124</v>
      </c>
    </row>
    <row r="9" customFormat="false" ht="15" hidden="false" customHeight="false" outlineLevel="0" collapsed="false">
      <c r="A9" s="22" t="s">
        <v>125</v>
      </c>
      <c r="B9" s="22" t="s">
        <v>78</v>
      </c>
      <c r="C9" s="22" t="s">
        <v>81</v>
      </c>
      <c r="D9" s="22" t="s">
        <v>126</v>
      </c>
      <c r="E9" s="33" t="s">
        <v>75</v>
      </c>
      <c r="F9" s="33" t="s">
        <v>75</v>
      </c>
      <c r="G9" s="23" t="s">
        <v>127</v>
      </c>
      <c r="H9" s="24" t="n">
        <v>0</v>
      </c>
      <c r="I9" s="34" t="s">
        <v>128</v>
      </c>
      <c r="J9" s="34" t="s">
        <v>129</v>
      </c>
    </row>
    <row r="10" customFormat="false" ht="15" hidden="false" customHeight="false" outlineLevel="0" collapsed="false">
      <c r="A10" s="22" t="s">
        <v>130</v>
      </c>
      <c r="B10" s="22" t="s">
        <v>78</v>
      </c>
      <c r="C10" s="22" t="s">
        <v>72</v>
      </c>
      <c r="D10" s="22" t="s">
        <v>126</v>
      </c>
      <c r="E10" s="33" t="s">
        <v>75</v>
      </c>
      <c r="F10" s="33" t="s">
        <v>75</v>
      </c>
      <c r="G10" s="23" t="s">
        <v>131</v>
      </c>
      <c r="H10" s="24" t="n">
        <v>0</v>
      </c>
      <c r="I10" s="34" t="s">
        <v>132</v>
      </c>
      <c r="J10" s="34" t="s">
        <v>133</v>
      </c>
    </row>
    <row r="11" customFormat="false" ht="15" hidden="false" customHeight="false" outlineLevel="0" collapsed="false">
      <c r="A11" s="22" t="s">
        <v>134</v>
      </c>
      <c r="B11" s="22" t="s">
        <v>73</v>
      </c>
      <c r="C11" s="22" t="s">
        <v>72</v>
      </c>
      <c r="D11" s="22" t="s">
        <v>126</v>
      </c>
      <c r="E11" s="33" t="s">
        <v>75</v>
      </c>
      <c r="F11" s="33" t="s">
        <v>75</v>
      </c>
      <c r="G11" s="23" t="s">
        <v>135</v>
      </c>
      <c r="H11" s="24" t="n">
        <v>0</v>
      </c>
      <c r="I11" s="34" t="s">
        <v>136</v>
      </c>
      <c r="J11" s="34" t="s">
        <v>137</v>
      </c>
    </row>
    <row r="12" customFormat="false" ht="15" hidden="false" customHeight="false" outlineLevel="0" collapsed="false">
      <c r="A12" s="22" t="s">
        <v>138</v>
      </c>
      <c r="B12" s="22" t="s">
        <v>78</v>
      </c>
      <c r="C12" s="22" t="s">
        <v>72</v>
      </c>
      <c r="D12" s="22" t="s">
        <v>126</v>
      </c>
      <c r="E12" s="33" t="s">
        <v>75</v>
      </c>
      <c r="F12" s="33" t="s">
        <v>75</v>
      </c>
      <c r="G12" s="23" t="s">
        <v>139</v>
      </c>
      <c r="H12" s="24" t="n">
        <v>0</v>
      </c>
      <c r="I12" s="34" t="s">
        <v>140</v>
      </c>
      <c r="J12" s="34" t="s">
        <v>141</v>
      </c>
    </row>
    <row r="13" customFormat="false" ht="15" hidden="false" customHeight="false" outlineLevel="0" collapsed="false">
      <c r="A13" s="22" t="s">
        <v>142</v>
      </c>
      <c r="B13" s="22" t="s">
        <v>73</v>
      </c>
      <c r="C13" s="22" t="s">
        <v>143</v>
      </c>
      <c r="D13" s="22" t="s">
        <v>126</v>
      </c>
      <c r="E13" s="33" t="s">
        <v>75</v>
      </c>
      <c r="F13" s="33" t="s">
        <v>75</v>
      </c>
      <c r="G13" s="23" t="s">
        <v>144</v>
      </c>
      <c r="H13" s="24" t="n">
        <v>0</v>
      </c>
      <c r="I13" s="34" t="s">
        <v>145</v>
      </c>
      <c r="J13" s="34" t="s">
        <v>146</v>
      </c>
    </row>
    <row r="14" customFormat="false" ht="15" hidden="false" customHeight="false" outlineLevel="0" collapsed="false">
      <c r="A14" s="22" t="s">
        <v>147</v>
      </c>
      <c r="B14" s="22" t="s">
        <v>73</v>
      </c>
      <c r="C14" s="22" t="s">
        <v>81</v>
      </c>
      <c r="D14" s="22" t="s">
        <v>126</v>
      </c>
      <c r="E14" s="33" t="s">
        <v>75</v>
      </c>
      <c r="F14" s="33" t="s">
        <v>75</v>
      </c>
      <c r="G14" s="23" t="s">
        <v>148</v>
      </c>
      <c r="H14" s="24" t="n">
        <v>0</v>
      </c>
      <c r="I14" s="34" t="s">
        <v>149</v>
      </c>
      <c r="J14" s="34" t="s">
        <v>150</v>
      </c>
    </row>
    <row r="15" customFormat="false" ht="15" hidden="false" customHeight="false" outlineLevel="0" collapsed="false">
      <c r="A15" s="22" t="s">
        <v>151</v>
      </c>
      <c r="B15" s="22" t="s">
        <v>78</v>
      </c>
      <c r="C15" s="22" t="s">
        <v>81</v>
      </c>
      <c r="D15" s="22" t="s">
        <v>152</v>
      </c>
      <c r="E15" s="33" t="s">
        <v>75</v>
      </c>
      <c r="F15" s="33" t="s">
        <v>75</v>
      </c>
      <c r="G15" s="23" t="s">
        <v>153</v>
      </c>
      <c r="H15" s="24" t="n">
        <v>0</v>
      </c>
      <c r="I15" s="34" t="s">
        <v>154</v>
      </c>
      <c r="J15" s="34" t="s">
        <v>155</v>
      </c>
    </row>
    <row r="16" customFormat="false" ht="15" hidden="false" customHeight="false" outlineLevel="0" collapsed="false">
      <c r="A16" s="22" t="s">
        <v>156</v>
      </c>
      <c r="B16" s="22" t="s">
        <v>78</v>
      </c>
      <c r="C16" s="22" t="s">
        <v>72</v>
      </c>
      <c r="D16" s="22" t="s">
        <v>152</v>
      </c>
      <c r="E16" s="33" t="s">
        <v>75</v>
      </c>
      <c r="F16" s="33" t="s">
        <v>75</v>
      </c>
      <c r="G16" s="23" t="s">
        <v>157</v>
      </c>
      <c r="H16" s="24" t="n">
        <v>0</v>
      </c>
      <c r="I16" s="34" t="s">
        <v>158</v>
      </c>
      <c r="J16" s="34" t="s">
        <v>159</v>
      </c>
    </row>
    <row r="17" customFormat="false" ht="15" hidden="false" customHeight="false" outlineLevel="0" collapsed="false">
      <c r="A17" s="22" t="s">
        <v>160</v>
      </c>
      <c r="B17" s="22" t="s">
        <v>73</v>
      </c>
      <c r="C17" s="22" t="s">
        <v>72</v>
      </c>
      <c r="D17" s="22" t="s">
        <v>152</v>
      </c>
      <c r="E17" s="33" t="s">
        <v>75</v>
      </c>
      <c r="F17" s="33" t="s">
        <v>75</v>
      </c>
      <c r="G17" s="23" t="s">
        <v>161</v>
      </c>
      <c r="H17" s="24" t="n">
        <v>0</v>
      </c>
      <c r="I17" s="34" t="s">
        <v>162</v>
      </c>
      <c r="J17" s="34" t="s">
        <v>163</v>
      </c>
    </row>
    <row r="18" customFormat="false" ht="15" hidden="false" customHeight="false" outlineLevel="0" collapsed="false">
      <c r="A18" s="22" t="s">
        <v>164</v>
      </c>
      <c r="B18" s="22" t="s">
        <v>78</v>
      </c>
      <c r="C18" s="22" t="s">
        <v>72</v>
      </c>
      <c r="D18" s="22" t="s">
        <v>152</v>
      </c>
      <c r="E18" s="33" t="s">
        <v>75</v>
      </c>
      <c r="F18" s="33" t="s">
        <v>75</v>
      </c>
      <c r="G18" s="23" t="s">
        <v>165</v>
      </c>
      <c r="H18" s="24" t="n">
        <v>0</v>
      </c>
      <c r="I18" s="34" t="s">
        <v>166</v>
      </c>
      <c r="J18" s="34" t="s">
        <v>167</v>
      </c>
    </row>
    <row r="19" customFormat="false" ht="15" hidden="false" customHeight="false" outlineLevel="0" collapsed="false">
      <c r="A19" s="22" t="s">
        <v>168</v>
      </c>
      <c r="B19" s="22" t="s">
        <v>78</v>
      </c>
      <c r="C19" s="22" t="s">
        <v>72</v>
      </c>
      <c r="D19" s="22" t="s">
        <v>152</v>
      </c>
      <c r="E19" s="33" t="s">
        <v>75</v>
      </c>
      <c r="F19" s="33" t="s">
        <v>75</v>
      </c>
      <c r="G19" s="23" t="s">
        <v>169</v>
      </c>
      <c r="H19" s="24" t="n">
        <v>0</v>
      </c>
      <c r="I19" s="34" t="s">
        <v>170</v>
      </c>
      <c r="J19" s="34" t="s">
        <v>171</v>
      </c>
    </row>
    <row r="20" customFormat="false" ht="15" hidden="false" customHeight="false" outlineLevel="0" collapsed="false">
      <c r="A20" s="22" t="s">
        <v>172</v>
      </c>
      <c r="B20" s="22" t="s">
        <v>73</v>
      </c>
      <c r="C20" s="22" t="s">
        <v>72</v>
      </c>
      <c r="D20" s="22" t="s">
        <v>152</v>
      </c>
      <c r="E20" s="33" t="s">
        <v>75</v>
      </c>
      <c r="F20" s="33" t="s">
        <v>75</v>
      </c>
      <c r="G20" s="23" t="s">
        <v>173</v>
      </c>
      <c r="H20" s="24" t="n">
        <v>0</v>
      </c>
      <c r="I20" s="34" t="s">
        <v>174</v>
      </c>
      <c r="J20" s="34" t="s">
        <v>175</v>
      </c>
    </row>
    <row r="21" customFormat="false" ht="15" hidden="false" customHeight="false" outlineLevel="0" collapsed="false">
      <c r="A21" s="22" t="s">
        <v>176</v>
      </c>
      <c r="B21" s="22" t="s">
        <v>78</v>
      </c>
      <c r="C21" s="22" t="s">
        <v>72</v>
      </c>
      <c r="D21" s="22" t="s">
        <v>152</v>
      </c>
      <c r="E21" s="33" t="s">
        <v>75</v>
      </c>
      <c r="F21" s="33" t="s">
        <v>75</v>
      </c>
      <c r="G21" s="23" t="s">
        <v>177</v>
      </c>
      <c r="H21" s="24" t="n">
        <v>0</v>
      </c>
      <c r="I21" s="34" t="s">
        <v>178</v>
      </c>
      <c r="J21" s="34" t="s">
        <v>179</v>
      </c>
    </row>
    <row r="22" customFormat="false" ht="15" hidden="false" customHeight="false" outlineLevel="0" collapsed="false">
      <c r="A22" s="22" t="s">
        <v>180</v>
      </c>
      <c r="B22" s="22" t="s">
        <v>73</v>
      </c>
      <c r="C22" s="22" t="s">
        <v>72</v>
      </c>
      <c r="D22" s="22" t="s">
        <v>152</v>
      </c>
      <c r="E22" s="33" t="s">
        <v>75</v>
      </c>
      <c r="F22" s="33" t="s">
        <v>75</v>
      </c>
      <c r="G22" s="23" t="s">
        <v>181</v>
      </c>
      <c r="H22" s="24" t="n">
        <v>0</v>
      </c>
      <c r="I22" s="34" t="s">
        <v>182</v>
      </c>
      <c r="J22" s="34" t="s">
        <v>183</v>
      </c>
    </row>
    <row r="23" customFormat="false" ht="15" hidden="false" customHeight="false" outlineLevel="0" collapsed="false">
      <c r="A23" s="22" t="s">
        <v>184</v>
      </c>
      <c r="B23" s="22" t="s">
        <v>78</v>
      </c>
      <c r="C23" s="22" t="s">
        <v>72</v>
      </c>
      <c r="D23" s="22" t="s">
        <v>152</v>
      </c>
      <c r="E23" s="33" t="s">
        <v>75</v>
      </c>
      <c r="F23" s="33" t="s">
        <v>75</v>
      </c>
      <c r="G23" s="23" t="s">
        <v>185</v>
      </c>
      <c r="H23" s="24" t="n">
        <v>0</v>
      </c>
      <c r="I23" s="34" t="s">
        <v>186</v>
      </c>
      <c r="J23" s="34" t="s">
        <v>187</v>
      </c>
    </row>
    <row r="24" customFormat="false" ht="15" hidden="false" customHeight="false" outlineLevel="0" collapsed="false">
      <c r="A24" s="22" t="s">
        <v>188</v>
      </c>
      <c r="B24" s="22" t="s">
        <v>73</v>
      </c>
      <c r="C24" s="22" t="s">
        <v>72</v>
      </c>
      <c r="D24" s="22" t="s">
        <v>152</v>
      </c>
      <c r="E24" s="33" t="s">
        <v>75</v>
      </c>
      <c r="F24" s="33" t="s">
        <v>75</v>
      </c>
      <c r="G24" s="23" t="s">
        <v>189</v>
      </c>
      <c r="H24" s="24" t="n">
        <v>0</v>
      </c>
      <c r="I24" s="34" t="s">
        <v>190</v>
      </c>
      <c r="J24" s="34" t="s">
        <v>191</v>
      </c>
    </row>
    <row r="25" customFormat="false" ht="15" hidden="false" customHeight="false" outlineLevel="0" collapsed="false">
      <c r="A25" s="22" t="s">
        <v>192</v>
      </c>
      <c r="B25" s="22" t="s">
        <v>73</v>
      </c>
      <c r="C25" s="22" t="s">
        <v>81</v>
      </c>
      <c r="D25" s="22" t="s">
        <v>152</v>
      </c>
      <c r="E25" s="33" t="s">
        <v>75</v>
      </c>
      <c r="F25" s="33" t="s">
        <v>75</v>
      </c>
      <c r="G25" s="23" t="s">
        <v>193</v>
      </c>
      <c r="H25" s="24" t="n">
        <v>0</v>
      </c>
      <c r="I25" s="34" t="s">
        <v>194</v>
      </c>
      <c r="J25" s="34" t="s">
        <v>195</v>
      </c>
    </row>
    <row r="26" customFormat="false" ht="15" hidden="false" customHeight="false" outlineLevel="0" collapsed="false">
      <c r="A26" s="22" t="s">
        <v>196</v>
      </c>
      <c r="B26" s="22" t="s">
        <v>73</v>
      </c>
      <c r="C26" s="22" t="s">
        <v>143</v>
      </c>
      <c r="D26" s="22" t="s">
        <v>152</v>
      </c>
      <c r="E26" s="33" t="s">
        <v>75</v>
      </c>
      <c r="F26" s="33" t="s">
        <v>75</v>
      </c>
      <c r="G26" s="23" t="s">
        <v>197</v>
      </c>
      <c r="H26" s="24" t="n">
        <v>0</v>
      </c>
      <c r="I26" s="34" t="s">
        <v>198</v>
      </c>
      <c r="J26" s="34" t="s">
        <v>199</v>
      </c>
    </row>
    <row r="27" customFormat="false" ht="15" hidden="false" customHeight="false" outlineLevel="0" collapsed="false">
      <c r="A27" s="22" t="s">
        <v>200</v>
      </c>
      <c r="B27" s="22" t="s">
        <v>78</v>
      </c>
      <c r="C27" s="22" t="s">
        <v>81</v>
      </c>
      <c r="D27" s="22" t="s">
        <v>201</v>
      </c>
      <c r="E27" s="33" t="s">
        <v>75</v>
      </c>
      <c r="F27" s="33" t="s">
        <v>75</v>
      </c>
      <c r="G27" s="23" t="s">
        <v>202</v>
      </c>
      <c r="H27" s="24" t="n">
        <v>0</v>
      </c>
      <c r="I27" s="34" t="s">
        <v>203</v>
      </c>
      <c r="J27" s="34" t="s">
        <v>204</v>
      </c>
    </row>
    <row r="28" customFormat="false" ht="15" hidden="false" customHeight="false" outlineLevel="0" collapsed="false">
      <c r="A28" s="22" t="s">
        <v>205</v>
      </c>
      <c r="B28" s="22" t="s">
        <v>73</v>
      </c>
      <c r="C28" s="22" t="s">
        <v>72</v>
      </c>
      <c r="D28" s="22" t="s">
        <v>201</v>
      </c>
      <c r="E28" s="33" t="s">
        <v>75</v>
      </c>
      <c r="F28" s="33" t="s">
        <v>75</v>
      </c>
      <c r="G28" s="23" t="s">
        <v>206</v>
      </c>
      <c r="H28" s="24" t="n">
        <v>0</v>
      </c>
      <c r="I28" s="34" t="s">
        <v>207</v>
      </c>
      <c r="J28" s="34" t="s">
        <v>208</v>
      </c>
    </row>
    <row r="29" customFormat="false" ht="15" hidden="false" customHeight="false" outlineLevel="0" collapsed="false">
      <c r="A29" s="22" t="s">
        <v>209</v>
      </c>
      <c r="B29" s="22" t="s">
        <v>73</v>
      </c>
      <c r="C29" s="22" t="s">
        <v>72</v>
      </c>
      <c r="D29" s="22" t="s">
        <v>201</v>
      </c>
      <c r="E29" s="33" t="s">
        <v>75</v>
      </c>
      <c r="F29" s="33" t="s">
        <v>75</v>
      </c>
      <c r="G29" s="23" t="s">
        <v>210</v>
      </c>
      <c r="H29" s="24" t="n">
        <v>0</v>
      </c>
      <c r="I29" s="34" t="s">
        <v>211</v>
      </c>
      <c r="J29" s="34" t="s">
        <v>212</v>
      </c>
    </row>
    <row r="30" customFormat="false" ht="15" hidden="false" customHeight="false" outlineLevel="0" collapsed="false">
      <c r="A30" s="22" t="s">
        <v>213</v>
      </c>
      <c r="B30" s="22" t="s">
        <v>78</v>
      </c>
      <c r="C30" s="22" t="s">
        <v>72</v>
      </c>
      <c r="D30" s="22" t="s">
        <v>201</v>
      </c>
      <c r="E30" s="33" t="s">
        <v>74</v>
      </c>
      <c r="F30" s="33" t="s">
        <v>75</v>
      </c>
      <c r="G30" s="23" t="s">
        <v>214</v>
      </c>
      <c r="H30" s="24" t="n">
        <v>0</v>
      </c>
      <c r="I30" s="34" t="s">
        <v>215</v>
      </c>
      <c r="J30" s="34" t="s">
        <v>216</v>
      </c>
    </row>
    <row r="31" customFormat="false" ht="15" hidden="false" customHeight="false" outlineLevel="0" collapsed="false">
      <c r="A31" s="22" t="s">
        <v>217</v>
      </c>
      <c r="B31" s="22" t="s">
        <v>78</v>
      </c>
      <c r="C31" s="22" t="s">
        <v>72</v>
      </c>
      <c r="D31" s="22" t="s">
        <v>201</v>
      </c>
      <c r="E31" s="33" t="s">
        <v>75</v>
      </c>
      <c r="F31" s="33" t="s">
        <v>75</v>
      </c>
      <c r="G31" s="23" t="s">
        <v>218</v>
      </c>
      <c r="H31" s="24" t="n">
        <v>0</v>
      </c>
      <c r="I31" s="34" t="s">
        <v>219</v>
      </c>
      <c r="J31" s="34" t="s">
        <v>220</v>
      </c>
    </row>
    <row r="32" customFormat="false" ht="15" hidden="false" customHeight="false" outlineLevel="0" collapsed="false">
      <c r="A32" s="22" t="s">
        <v>221</v>
      </c>
      <c r="B32" s="22" t="s">
        <v>73</v>
      </c>
      <c r="C32" s="22" t="s">
        <v>72</v>
      </c>
      <c r="D32" s="22" t="s">
        <v>201</v>
      </c>
      <c r="E32" s="33" t="s">
        <v>75</v>
      </c>
      <c r="F32" s="33" t="s">
        <v>75</v>
      </c>
      <c r="G32" s="23" t="s">
        <v>222</v>
      </c>
      <c r="H32" s="24" t="n">
        <v>0</v>
      </c>
      <c r="I32" s="34" t="s">
        <v>223</v>
      </c>
      <c r="J32" s="34" t="s">
        <v>224</v>
      </c>
    </row>
    <row r="33" customFormat="false" ht="15" hidden="false" customHeight="false" outlineLevel="0" collapsed="false">
      <c r="A33" s="22" t="s">
        <v>225</v>
      </c>
      <c r="B33" s="22" t="s">
        <v>78</v>
      </c>
      <c r="C33" s="22" t="s">
        <v>72</v>
      </c>
      <c r="D33" s="22" t="s">
        <v>201</v>
      </c>
      <c r="E33" s="33" t="s">
        <v>75</v>
      </c>
      <c r="F33" s="33" t="s">
        <v>75</v>
      </c>
      <c r="G33" s="23" t="s">
        <v>226</v>
      </c>
      <c r="H33" s="24" t="n">
        <v>0</v>
      </c>
      <c r="I33" s="34" t="s">
        <v>227</v>
      </c>
      <c r="J33" s="34" t="s">
        <v>228</v>
      </c>
    </row>
    <row r="34" customFormat="false" ht="15" hidden="false" customHeight="false" outlineLevel="0" collapsed="false">
      <c r="A34" s="22" t="s">
        <v>156</v>
      </c>
      <c r="B34" s="22" t="s">
        <v>78</v>
      </c>
      <c r="C34" s="22" t="s">
        <v>72</v>
      </c>
      <c r="D34" s="22" t="s">
        <v>201</v>
      </c>
      <c r="E34" s="33" t="s">
        <v>75</v>
      </c>
      <c r="F34" s="33" t="s">
        <v>75</v>
      </c>
      <c r="G34" s="23" t="s">
        <v>229</v>
      </c>
      <c r="H34" s="24" t="n">
        <v>0</v>
      </c>
      <c r="I34" s="34" t="s">
        <v>230</v>
      </c>
      <c r="J34" s="34" t="s">
        <v>231</v>
      </c>
    </row>
    <row r="35" customFormat="false" ht="15" hidden="false" customHeight="false" outlineLevel="0" collapsed="false">
      <c r="A35" s="22" t="s">
        <v>232</v>
      </c>
      <c r="B35" s="22" t="s">
        <v>78</v>
      </c>
      <c r="C35" s="22" t="s">
        <v>143</v>
      </c>
      <c r="D35" s="22" t="s">
        <v>201</v>
      </c>
      <c r="E35" s="33" t="s">
        <v>75</v>
      </c>
      <c r="F35" s="33" t="s">
        <v>75</v>
      </c>
      <c r="G35" s="23" t="s">
        <v>233</v>
      </c>
      <c r="H35" s="24" t="n">
        <v>0</v>
      </c>
      <c r="I35" s="34" t="s">
        <v>234</v>
      </c>
      <c r="J35" s="34" t="s">
        <v>235</v>
      </c>
    </row>
    <row r="36" customFormat="false" ht="15" hidden="false" customHeight="false" outlineLevel="0" collapsed="false">
      <c r="A36" s="22" t="s">
        <v>236</v>
      </c>
      <c r="B36" s="22" t="s">
        <v>73</v>
      </c>
      <c r="C36" s="22" t="s">
        <v>72</v>
      </c>
      <c r="D36" s="22" t="s">
        <v>201</v>
      </c>
      <c r="E36" s="33" t="s">
        <v>75</v>
      </c>
      <c r="F36" s="33" t="s">
        <v>75</v>
      </c>
      <c r="G36" s="23" t="s">
        <v>237</v>
      </c>
      <c r="H36" s="24" t="n">
        <v>0</v>
      </c>
      <c r="I36" s="34" t="s">
        <v>238</v>
      </c>
      <c r="J36" s="34" t="s">
        <v>239</v>
      </c>
    </row>
    <row r="37" customFormat="false" ht="15" hidden="false" customHeight="false" outlineLevel="0" collapsed="false">
      <c r="A37" s="22" t="s">
        <v>240</v>
      </c>
      <c r="B37" s="22" t="s">
        <v>73</v>
      </c>
      <c r="C37" s="22" t="s">
        <v>72</v>
      </c>
      <c r="D37" s="22" t="s">
        <v>201</v>
      </c>
      <c r="E37" s="33" t="s">
        <v>75</v>
      </c>
      <c r="F37" s="33" t="s">
        <v>75</v>
      </c>
      <c r="G37" s="23" t="s">
        <v>241</v>
      </c>
      <c r="H37" s="24" t="n">
        <v>0</v>
      </c>
      <c r="I37" s="34" t="s">
        <v>242</v>
      </c>
      <c r="J37" s="34" t="s">
        <v>243</v>
      </c>
    </row>
    <row r="38" customFormat="false" ht="15" hidden="false" customHeight="false" outlineLevel="0" collapsed="false">
      <c r="A38" s="22" t="s">
        <v>244</v>
      </c>
      <c r="B38" s="22" t="s">
        <v>78</v>
      </c>
      <c r="C38" s="22" t="s">
        <v>72</v>
      </c>
      <c r="D38" s="22" t="s">
        <v>201</v>
      </c>
      <c r="E38" s="33" t="s">
        <v>75</v>
      </c>
      <c r="F38" s="33" t="s">
        <v>75</v>
      </c>
      <c r="G38" s="23" t="s">
        <v>245</v>
      </c>
      <c r="H38" s="24" t="n">
        <v>0</v>
      </c>
      <c r="I38" s="34" t="s">
        <v>246</v>
      </c>
      <c r="J38" s="34" t="s">
        <v>247</v>
      </c>
    </row>
    <row r="39" customFormat="false" ht="15" hidden="false" customHeight="false" outlineLevel="0" collapsed="false">
      <c r="A39" s="22" t="s">
        <v>248</v>
      </c>
      <c r="B39" s="22" t="s">
        <v>78</v>
      </c>
      <c r="C39" s="22" t="s">
        <v>72</v>
      </c>
      <c r="D39" s="22" t="s">
        <v>201</v>
      </c>
      <c r="E39" s="33" t="s">
        <v>75</v>
      </c>
      <c r="F39" s="33" t="s">
        <v>75</v>
      </c>
      <c r="G39" s="23" t="s">
        <v>249</v>
      </c>
      <c r="H39" s="24" t="n">
        <v>0</v>
      </c>
      <c r="I39" s="34" t="s">
        <v>250</v>
      </c>
      <c r="J39" s="34" t="s">
        <v>251</v>
      </c>
    </row>
    <row r="40" customFormat="false" ht="15" hidden="false" customHeight="false" outlineLevel="0" collapsed="false">
      <c r="A40" s="22" t="s">
        <v>205</v>
      </c>
      <c r="B40" s="22" t="s">
        <v>73</v>
      </c>
      <c r="C40" s="22" t="s">
        <v>72</v>
      </c>
      <c r="D40" s="22" t="s">
        <v>201</v>
      </c>
      <c r="E40" s="33" t="s">
        <v>75</v>
      </c>
      <c r="F40" s="33" t="s">
        <v>75</v>
      </c>
      <c r="G40" s="23" t="s">
        <v>252</v>
      </c>
      <c r="H40" s="24" t="n">
        <v>0</v>
      </c>
      <c r="I40" s="34" t="s">
        <v>253</v>
      </c>
      <c r="J40" s="34" t="s">
        <v>254</v>
      </c>
    </row>
    <row r="41" customFormat="false" ht="15" hidden="false" customHeight="false" outlineLevel="0" collapsed="false">
      <c r="A41" s="22" t="s">
        <v>255</v>
      </c>
      <c r="B41" s="22" t="s">
        <v>73</v>
      </c>
      <c r="C41" s="22" t="s">
        <v>121</v>
      </c>
      <c r="D41" s="22" t="s">
        <v>201</v>
      </c>
      <c r="E41" s="33" t="s">
        <v>75</v>
      </c>
      <c r="F41" s="33" t="s">
        <v>75</v>
      </c>
      <c r="G41" s="23" t="s">
        <v>256</v>
      </c>
      <c r="H41" s="24" t="n">
        <v>0</v>
      </c>
      <c r="I41" s="34" t="s">
        <v>257</v>
      </c>
      <c r="J41" s="34" t="s">
        <v>258</v>
      </c>
    </row>
    <row r="42" customFormat="false" ht="15" hidden="false" customHeight="false" outlineLevel="0" collapsed="false">
      <c r="A42" s="22" t="s">
        <v>259</v>
      </c>
      <c r="B42" s="22" t="s">
        <v>73</v>
      </c>
      <c r="C42" s="22" t="s">
        <v>72</v>
      </c>
      <c r="D42" s="22" t="s">
        <v>201</v>
      </c>
      <c r="E42" s="33" t="s">
        <v>75</v>
      </c>
      <c r="F42" s="33" t="s">
        <v>75</v>
      </c>
      <c r="G42" s="23" t="s">
        <v>260</v>
      </c>
      <c r="H42" s="24" t="n">
        <v>0</v>
      </c>
      <c r="I42" s="34" t="s">
        <v>261</v>
      </c>
      <c r="J42" s="34" t="s">
        <v>262</v>
      </c>
    </row>
    <row r="43" customFormat="false" ht="15" hidden="false" customHeight="false" outlineLevel="0" collapsed="false">
      <c r="A43" s="22" t="s">
        <v>263</v>
      </c>
      <c r="B43" s="22" t="s">
        <v>78</v>
      </c>
      <c r="C43" s="22" t="s">
        <v>72</v>
      </c>
      <c r="D43" s="22" t="s">
        <v>264</v>
      </c>
      <c r="E43" s="33" t="s">
        <v>75</v>
      </c>
      <c r="F43" s="33" t="s">
        <v>75</v>
      </c>
      <c r="G43" s="23" t="s">
        <v>265</v>
      </c>
      <c r="H43" s="24" t="n">
        <v>0</v>
      </c>
      <c r="I43" s="34" t="s">
        <v>266</v>
      </c>
      <c r="J43" s="34" t="s">
        <v>267</v>
      </c>
    </row>
    <row r="44" customFormat="false" ht="15" hidden="false" customHeight="false" outlineLevel="0" collapsed="false">
      <c r="A44" s="22" t="s">
        <v>268</v>
      </c>
      <c r="B44" s="22" t="s">
        <v>78</v>
      </c>
      <c r="C44" s="22" t="s">
        <v>81</v>
      </c>
      <c r="D44" s="22" t="s">
        <v>264</v>
      </c>
      <c r="E44" s="33" t="s">
        <v>75</v>
      </c>
      <c r="F44" s="33" t="s">
        <v>75</v>
      </c>
      <c r="G44" s="23" t="s">
        <v>269</v>
      </c>
      <c r="H44" s="24" t="n">
        <v>0</v>
      </c>
      <c r="I44" s="34" t="s">
        <v>270</v>
      </c>
      <c r="J44" s="34" t="s">
        <v>271</v>
      </c>
    </row>
    <row r="45" customFormat="false" ht="15" hidden="false" customHeight="false" outlineLevel="0" collapsed="false">
      <c r="A45" s="22" t="s">
        <v>272</v>
      </c>
      <c r="B45" s="22" t="s">
        <v>78</v>
      </c>
      <c r="C45" s="22" t="s">
        <v>72</v>
      </c>
      <c r="D45" s="22" t="s">
        <v>264</v>
      </c>
      <c r="E45" s="33" t="s">
        <v>75</v>
      </c>
      <c r="F45" s="33" t="s">
        <v>75</v>
      </c>
      <c r="G45" s="23" t="s">
        <v>273</v>
      </c>
      <c r="H45" s="24" t="n">
        <v>0</v>
      </c>
      <c r="I45" s="34" t="s">
        <v>274</v>
      </c>
      <c r="J45" s="34" t="s">
        <v>129</v>
      </c>
    </row>
    <row r="46" customFormat="false" ht="15" hidden="false" customHeight="false" outlineLevel="0" collapsed="false">
      <c r="A46" s="22" t="s">
        <v>275</v>
      </c>
      <c r="B46" s="22" t="s">
        <v>73</v>
      </c>
      <c r="C46" s="22" t="s">
        <v>72</v>
      </c>
      <c r="D46" s="22" t="s">
        <v>264</v>
      </c>
      <c r="E46" s="33" t="s">
        <v>75</v>
      </c>
      <c r="F46" s="33" t="s">
        <v>75</v>
      </c>
      <c r="G46" s="23" t="s">
        <v>276</v>
      </c>
      <c r="H46" s="24" t="n">
        <v>0</v>
      </c>
      <c r="I46" s="34" t="s">
        <v>277</v>
      </c>
      <c r="J46" s="34" t="s">
        <v>278</v>
      </c>
    </row>
    <row r="47" customFormat="false" ht="15" hidden="false" customHeight="false" outlineLevel="0" collapsed="false">
      <c r="A47" s="22" t="s">
        <v>279</v>
      </c>
      <c r="B47" s="22" t="s">
        <v>73</v>
      </c>
      <c r="C47" s="22" t="s">
        <v>81</v>
      </c>
      <c r="D47" s="22" t="s">
        <v>264</v>
      </c>
      <c r="E47" s="33" t="s">
        <v>75</v>
      </c>
      <c r="F47" s="33" t="s">
        <v>75</v>
      </c>
      <c r="G47" s="23" t="s">
        <v>280</v>
      </c>
      <c r="H47" s="24" t="n">
        <v>0</v>
      </c>
      <c r="I47" s="34" t="s">
        <v>281</v>
      </c>
      <c r="J47" s="34" t="s">
        <v>282</v>
      </c>
    </row>
    <row r="48" customFormat="false" ht="15" hidden="false" customHeight="false" outlineLevel="0" collapsed="false">
      <c r="A48" s="22" t="s">
        <v>283</v>
      </c>
      <c r="B48" s="22" t="s">
        <v>73</v>
      </c>
      <c r="C48" s="22" t="s">
        <v>72</v>
      </c>
      <c r="D48" s="22" t="s">
        <v>264</v>
      </c>
      <c r="E48" s="33" t="s">
        <v>75</v>
      </c>
      <c r="F48" s="33" t="s">
        <v>75</v>
      </c>
      <c r="G48" s="23" t="s">
        <v>284</v>
      </c>
      <c r="H48" s="24" t="n">
        <v>0</v>
      </c>
      <c r="I48" s="34" t="s">
        <v>285</v>
      </c>
      <c r="J48" s="34" t="s">
        <v>286</v>
      </c>
    </row>
    <row r="49" customFormat="false" ht="15" hidden="false" customHeight="false" outlineLevel="0" collapsed="false">
      <c r="A49" s="22" t="s">
        <v>287</v>
      </c>
      <c r="B49" s="22" t="s">
        <v>78</v>
      </c>
      <c r="C49" s="22" t="s">
        <v>72</v>
      </c>
      <c r="D49" s="22" t="s">
        <v>264</v>
      </c>
      <c r="E49" s="33" t="s">
        <v>75</v>
      </c>
      <c r="F49" s="33" t="s">
        <v>75</v>
      </c>
      <c r="G49" s="23" t="s">
        <v>288</v>
      </c>
      <c r="H49" s="24" t="n">
        <v>0</v>
      </c>
      <c r="I49" s="34" t="s">
        <v>289</v>
      </c>
      <c r="J49" s="34" t="s">
        <v>290</v>
      </c>
    </row>
    <row r="50" customFormat="false" ht="15" hidden="false" customHeight="false" outlineLevel="0" collapsed="false">
      <c r="A50" s="22" t="s">
        <v>291</v>
      </c>
      <c r="B50" s="22" t="s">
        <v>78</v>
      </c>
      <c r="C50" s="22" t="s">
        <v>72</v>
      </c>
      <c r="D50" s="22" t="s">
        <v>264</v>
      </c>
      <c r="E50" s="33" t="s">
        <v>75</v>
      </c>
      <c r="F50" s="33" t="s">
        <v>75</v>
      </c>
      <c r="G50" s="23" t="s">
        <v>292</v>
      </c>
      <c r="H50" s="24" t="n">
        <v>0</v>
      </c>
      <c r="I50" s="34" t="s">
        <v>293</v>
      </c>
      <c r="J50" s="34" t="s">
        <v>294</v>
      </c>
    </row>
    <row r="51" customFormat="false" ht="15" hidden="false" customHeight="false" outlineLevel="0" collapsed="false">
      <c r="A51" s="22" t="s">
        <v>295</v>
      </c>
      <c r="B51" s="22" t="s">
        <v>73</v>
      </c>
      <c r="C51" s="22" t="s">
        <v>72</v>
      </c>
      <c r="D51" s="22" t="s">
        <v>264</v>
      </c>
      <c r="E51" s="33" t="s">
        <v>75</v>
      </c>
      <c r="F51" s="33" t="s">
        <v>75</v>
      </c>
      <c r="G51" s="23" t="s">
        <v>296</v>
      </c>
      <c r="H51" s="24" t="n">
        <v>0</v>
      </c>
      <c r="I51" s="34" t="s">
        <v>297</v>
      </c>
      <c r="J51" s="34" t="s">
        <v>298</v>
      </c>
    </row>
    <row r="52" customFormat="false" ht="15" hidden="false" customHeight="false" outlineLevel="0" collapsed="false">
      <c r="A52" s="22" t="s">
        <v>299</v>
      </c>
      <c r="B52" s="22" t="s">
        <v>78</v>
      </c>
      <c r="C52" s="22" t="s">
        <v>72</v>
      </c>
      <c r="D52" s="22" t="s">
        <v>264</v>
      </c>
      <c r="E52" s="33" t="s">
        <v>75</v>
      </c>
      <c r="F52" s="33" t="s">
        <v>75</v>
      </c>
      <c r="G52" s="23" t="s">
        <v>300</v>
      </c>
      <c r="H52" s="24" t="n">
        <v>0</v>
      </c>
      <c r="I52" s="34" t="s">
        <v>301</v>
      </c>
      <c r="J52" s="34" t="s">
        <v>302</v>
      </c>
    </row>
    <row r="53" customFormat="false" ht="15" hidden="false" customHeight="false" outlineLevel="0" collapsed="false">
      <c r="A53" s="22" t="s">
        <v>303</v>
      </c>
      <c r="B53" s="22" t="s">
        <v>78</v>
      </c>
      <c r="C53" s="22" t="s">
        <v>143</v>
      </c>
      <c r="D53" s="22" t="s">
        <v>264</v>
      </c>
      <c r="E53" s="33" t="s">
        <v>75</v>
      </c>
      <c r="F53" s="33" t="s">
        <v>75</v>
      </c>
      <c r="G53" s="23" t="s">
        <v>304</v>
      </c>
      <c r="H53" s="24" t="n">
        <v>0</v>
      </c>
      <c r="I53" s="34" t="s">
        <v>305</v>
      </c>
      <c r="J53" s="34" t="s">
        <v>306</v>
      </c>
    </row>
    <row r="54" customFormat="false" ht="15" hidden="false" customHeight="false" outlineLevel="0" collapsed="false">
      <c r="A54" s="22" t="s">
        <v>307</v>
      </c>
      <c r="B54" s="22" t="s">
        <v>73</v>
      </c>
      <c r="C54" s="22" t="s">
        <v>121</v>
      </c>
      <c r="D54" s="22" t="s">
        <v>264</v>
      </c>
      <c r="E54" s="33" t="s">
        <v>75</v>
      </c>
      <c r="F54" s="33" t="s">
        <v>75</v>
      </c>
      <c r="G54" s="23" t="s">
        <v>308</v>
      </c>
      <c r="H54" s="24" t="n">
        <v>0</v>
      </c>
      <c r="I54" s="34" t="s">
        <v>309</v>
      </c>
      <c r="J54" s="34" t="s">
        <v>310</v>
      </c>
    </row>
    <row r="55" customFormat="false" ht="15" hidden="false" customHeight="false" outlineLevel="0" collapsed="false">
      <c r="A55" s="22" t="s">
        <v>311</v>
      </c>
      <c r="B55" s="22" t="s">
        <v>73</v>
      </c>
      <c r="C55" s="22" t="s">
        <v>72</v>
      </c>
      <c r="D55" s="22" t="s">
        <v>264</v>
      </c>
      <c r="E55" s="33" t="s">
        <v>75</v>
      </c>
      <c r="F55" s="33" t="s">
        <v>75</v>
      </c>
      <c r="G55" s="23" t="s">
        <v>312</v>
      </c>
      <c r="H55" s="24" t="n">
        <v>0</v>
      </c>
      <c r="I55" s="34" t="s">
        <v>313</v>
      </c>
      <c r="J55" s="34" t="s">
        <v>314</v>
      </c>
    </row>
    <row r="56" customFormat="false" ht="15" hidden="false" customHeight="false" outlineLevel="0" collapsed="false">
      <c r="A56" s="22" t="s">
        <v>315</v>
      </c>
      <c r="B56" s="22" t="s">
        <v>78</v>
      </c>
      <c r="C56" s="22" t="s">
        <v>143</v>
      </c>
      <c r="D56" s="22" t="s">
        <v>264</v>
      </c>
      <c r="E56" s="33" t="s">
        <v>75</v>
      </c>
      <c r="F56" s="33" t="s">
        <v>75</v>
      </c>
      <c r="G56" s="23" t="s">
        <v>316</v>
      </c>
      <c r="H56" s="24" t="n">
        <v>0</v>
      </c>
      <c r="I56" s="34" t="s">
        <v>317</v>
      </c>
      <c r="J56" s="34" t="s">
        <v>318</v>
      </c>
    </row>
    <row r="57" customFormat="false" ht="15" hidden="false" customHeight="false" outlineLevel="0" collapsed="false">
      <c r="A57" s="22" t="s">
        <v>319</v>
      </c>
      <c r="B57" s="22" t="s">
        <v>73</v>
      </c>
      <c r="C57" s="22" t="s">
        <v>72</v>
      </c>
      <c r="D57" s="22" t="s">
        <v>264</v>
      </c>
      <c r="E57" s="33" t="s">
        <v>75</v>
      </c>
      <c r="F57" s="33" t="s">
        <v>75</v>
      </c>
      <c r="G57" s="23" t="s">
        <v>320</v>
      </c>
      <c r="H57" s="24" t="n">
        <v>0</v>
      </c>
      <c r="I57" s="34" t="s">
        <v>321</v>
      </c>
      <c r="J57" s="34" t="s">
        <v>322</v>
      </c>
    </row>
    <row r="58" customFormat="false" ht="15" hidden="false" customHeight="false" outlineLevel="0" collapsed="false">
      <c r="A58" s="22" t="s">
        <v>323</v>
      </c>
      <c r="B58" s="22" t="s">
        <v>73</v>
      </c>
      <c r="C58" s="22" t="s">
        <v>72</v>
      </c>
      <c r="D58" s="22" t="s">
        <v>264</v>
      </c>
      <c r="E58" s="33" t="s">
        <v>75</v>
      </c>
      <c r="F58" s="33" t="s">
        <v>75</v>
      </c>
      <c r="G58" s="23" t="s">
        <v>324</v>
      </c>
      <c r="H58" s="24" t="n">
        <v>0</v>
      </c>
      <c r="I58" s="34" t="s">
        <v>325</v>
      </c>
      <c r="J58" s="34" t="s">
        <v>326</v>
      </c>
    </row>
    <row r="59" customFormat="false" ht="15" hidden="false" customHeight="false" outlineLevel="0" collapsed="false">
      <c r="A59" s="22" t="s">
        <v>327</v>
      </c>
      <c r="B59" s="22" t="s">
        <v>78</v>
      </c>
      <c r="C59" s="22" t="s">
        <v>72</v>
      </c>
      <c r="D59" s="22" t="s">
        <v>264</v>
      </c>
      <c r="E59" s="33" t="s">
        <v>75</v>
      </c>
      <c r="F59" s="33" t="s">
        <v>75</v>
      </c>
      <c r="G59" s="23" t="s">
        <v>328</v>
      </c>
      <c r="H59" s="24" t="n">
        <v>0</v>
      </c>
      <c r="I59" s="34" t="s">
        <v>329</v>
      </c>
      <c r="J59" s="34" t="s">
        <v>330</v>
      </c>
    </row>
    <row r="60" customFormat="false" ht="15" hidden="false" customHeight="false" outlineLevel="0" collapsed="false">
      <c r="A60" s="22" t="s">
        <v>331</v>
      </c>
      <c r="B60" s="22" t="s">
        <v>73</v>
      </c>
      <c r="C60" s="22" t="s">
        <v>72</v>
      </c>
      <c r="D60" s="22" t="s">
        <v>264</v>
      </c>
      <c r="E60" s="33" t="s">
        <v>75</v>
      </c>
      <c r="F60" s="33" t="s">
        <v>75</v>
      </c>
      <c r="G60" s="23" t="s">
        <v>332</v>
      </c>
      <c r="H60" s="24" t="n">
        <v>0</v>
      </c>
      <c r="I60" s="34" t="s">
        <v>333</v>
      </c>
      <c r="J60" s="34" t="s">
        <v>334</v>
      </c>
    </row>
    <row r="61" customFormat="false" ht="15" hidden="false" customHeight="false" outlineLevel="0" collapsed="false">
      <c r="A61" s="22" t="s">
        <v>335</v>
      </c>
      <c r="B61" s="22" t="s">
        <v>78</v>
      </c>
      <c r="C61" s="22" t="s">
        <v>72</v>
      </c>
      <c r="D61" s="22" t="s">
        <v>336</v>
      </c>
      <c r="E61" s="33" t="s">
        <v>75</v>
      </c>
      <c r="F61" s="33" t="s">
        <v>75</v>
      </c>
      <c r="G61" s="23" t="s">
        <v>337</v>
      </c>
      <c r="H61" s="24" t="n">
        <v>0</v>
      </c>
      <c r="I61" s="34" t="s">
        <v>338</v>
      </c>
      <c r="J61" s="34" t="s">
        <v>339</v>
      </c>
    </row>
    <row r="62" customFormat="false" ht="15" hidden="false" customHeight="false" outlineLevel="0" collapsed="false">
      <c r="A62" s="22" t="s">
        <v>340</v>
      </c>
      <c r="B62" s="22" t="s">
        <v>78</v>
      </c>
      <c r="C62" s="22" t="s">
        <v>72</v>
      </c>
      <c r="D62" s="22" t="s">
        <v>336</v>
      </c>
      <c r="E62" s="33" t="s">
        <v>75</v>
      </c>
      <c r="F62" s="33" t="s">
        <v>75</v>
      </c>
      <c r="G62" s="23" t="s">
        <v>341</v>
      </c>
      <c r="H62" s="24" t="n">
        <v>0</v>
      </c>
      <c r="I62" s="34" t="s">
        <v>342</v>
      </c>
      <c r="J62" s="34" t="s">
        <v>343</v>
      </c>
    </row>
    <row r="63" customFormat="false" ht="15" hidden="false" customHeight="false" outlineLevel="0" collapsed="false">
      <c r="A63" s="22" t="s">
        <v>344</v>
      </c>
      <c r="B63" s="22" t="s">
        <v>73</v>
      </c>
      <c r="C63" s="22" t="s">
        <v>143</v>
      </c>
      <c r="D63" s="22" t="s">
        <v>336</v>
      </c>
      <c r="E63" s="33" t="s">
        <v>74</v>
      </c>
      <c r="F63" s="33" t="s">
        <v>75</v>
      </c>
      <c r="G63" s="23" t="s">
        <v>345</v>
      </c>
      <c r="H63" s="24" t="n">
        <v>0</v>
      </c>
      <c r="I63" s="34" t="s">
        <v>346</v>
      </c>
      <c r="J63" s="34" t="s">
        <v>347</v>
      </c>
    </row>
    <row r="64" customFormat="false" ht="15" hidden="false" customHeight="false" outlineLevel="0" collapsed="false">
      <c r="A64" s="22" t="s">
        <v>348</v>
      </c>
      <c r="B64" s="22" t="s">
        <v>78</v>
      </c>
      <c r="C64" s="22" t="s">
        <v>72</v>
      </c>
      <c r="D64" s="22" t="s">
        <v>336</v>
      </c>
      <c r="E64" s="33" t="s">
        <v>75</v>
      </c>
      <c r="F64" s="33" t="s">
        <v>75</v>
      </c>
      <c r="G64" s="23" t="s">
        <v>349</v>
      </c>
      <c r="H64" s="24" t="n">
        <v>0</v>
      </c>
      <c r="I64" s="34" t="s">
        <v>350</v>
      </c>
      <c r="J64" s="34" t="s">
        <v>351</v>
      </c>
    </row>
    <row r="65" customFormat="false" ht="15" hidden="false" customHeight="false" outlineLevel="0" collapsed="false">
      <c r="A65" s="22" t="s">
        <v>352</v>
      </c>
      <c r="B65" s="22" t="s">
        <v>73</v>
      </c>
      <c r="C65" s="22" t="s">
        <v>143</v>
      </c>
      <c r="D65" s="22" t="s">
        <v>336</v>
      </c>
      <c r="E65" s="33" t="s">
        <v>75</v>
      </c>
      <c r="F65" s="33" t="s">
        <v>75</v>
      </c>
      <c r="G65" s="23" t="s">
        <v>353</v>
      </c>
      <c r="H65" s="24" t="n">
        <v>0</v>
      </c>
      <c r="I65" s="34" t="s">
        <v>354</v>
      </c>
      <c r="J65" s="34" t="s">
        <v>355</v>
      </c>
    </row>
    <row r="66" customFormat="false" ht="15" hidden="false" customHeight="false" outlineLevel="0" collapsed="false">
      <c r="A66" s="22" t="s">
        <v>356</v>
      </c>
      <c r="B66" s="22" t="s">
        <v>73</v>
      </c>
      <c r="C66" s="22" t="s">
        <v>72</v>
      </c>
      <c r="D66" s="22" t="s">
        <v>336</v>
      </c>
      <c r="E66" s="33" t="s">
        <v>75</v>
      </c>
      <c r="F66" s="33" t="s">
        <v>75</v>
      </c>
      <c r="G66" s="23" t="s">
        <v>357</v>
      </c>
      <c r="H66" s="24" t="n">
        <v>0</v>
      </c>
      <c r="I66" s="34" t="s">
        <v>358</v>
      </c>
      <c r="J66" s="34" t="s">
        <v>359</v>
      </c>
    </row>
    <row r="67" customFormat="false" ht="15" hidden="false" customHeight="false" outlineLevel="0" collapsed="false">
      <c r="A67" s="22" t="s">
        <v>360</v>
      </c>
      <c r="B67" s="22" t="s">
        <v>73</v>
      </c>
      <c r="C67" s="22" t="s">
        <v>121</v>
      </c>
      <c r="D67" s="22" t="s">
        <v>336</v>
      </c>
      <c r="E67" s="33" t="s">
        <v>75</v>
      </c>
      <c r="F67" s="33" t="s">
        <v>75</v>
      </c>
      <c r="G67" s="23" t="s">
        <v>361</v>
      </c>
      <c r="H67" s="24" t="n">
        <v>0</v>
      </c>
      <c r="I67" s="34" t="s">
        <v>362</v>
      </c>
      <c r="J67" s="34" t="s">
        <v>363</v>
      </c>
    </row>
    <row r="68" customFormat="false" ht="15" hidden="false" customHeight="false" outlineLevel="0" collapsed="false">
      <c r="A68" s="22" t="s">
        <v>364</v>
      </c>
      <c r="B68" s="22" t="s">
        <v>78</v>
      </c>
      <c r="C68" s="22" t="s">
        <v>72</v>
      </c>
      <c r="D68" s="22" t="s">
        <v>336</v>
      </c>
      <c r="E68" s="33" t="s">
        <v>75</v>
      </c>
      <c r="F68" s="33" t="s">
        <v>75</v>
      </c>
      <c r="G68" s="23" t="s">
        <v>365</v>
      </c>
      <c r="H68" s="24" t="n">
        <v>0</v>
      </c>
      <c r="I68" s="34" t="s">
        <v>366</v>
      </c>
      <c r="J68" s="34" t="s">
        <v>367</v>
      </c>
    </row>
    <row r="69" customFormat="false" ht="15" hidden="false" customHeight="false" outlineLevel="0" collapsed="false">
      <c r="A69" s="22" t="s">
        <v>368</v>
      </c>
      <c r="B69" s="22" t="s">
        <v>78</v>
      </c>
      <c r="C69" s="22" t="s">
        <v>81</v>
      </c>
      <c r="D69" s="22" t="s">
        <v>336</v>
      </c>
      <c r="E69" s="33" t="s">
        <v>75</v>
      </c>
      <c r="F69" s="33" t="s">
        <v>75</v>
      </c>
      <c r="G69" s="23" t="s">
        <v>369</v>
      </c>
      <c r="H69" s="24" t="n">
        <v>0</v>
      </c>
      <c r="I69" s="34" t="s">
        <v>370</v>
      </c>
      <c r="J69" s="34" t="s">
        <v>371</v>
      </c>
    </row>
    <row r="70" customFormat="false" ht="15" hidden="false" customHeight="false" outlineLevel="0" collapsed="false">
      <c r="A70" s="22" t="s">
        <v>372</v>
      </c>
      <c r="B70" s="22" t="s">
        <v>73</v>
      </c>
      <c r="C70" s="22" t="s">
        <v>72</v>
      </c>
      <c r="D70" s="22" t="s">
        <v>336</v>
      </c>
      <c r="E70" s="33" t="s">
        <v>75</v>
      </c>
      <c r="F70" s="33" t="s">
        <v>75</v>
      </c>
      <c r="G70" s="23" t="s">
        <v>373</v>
      </c>
      <c r="H70" s="24" t="n">
        <v>0</v>
      </c>
      <c r="I70" s="34" t="s">
        <v>374</v>
      </c>
      <c r="J70" s="34" t="s">
        <v>375</v>
      </c>
    </row>
    <row r="71" customFormat="false" ht="15" hidden="false" customHeight="false" outlineLevel="0" collapsed="false">
      <c r="A71" s="22" t="s">
        <v>376</v>
      </c>
      <c r="B71" s="22" t="s">
        <v>73</v>
      </c>
      <c r="C71" s="22" t="s">
        <v>143</v>
      </c>
      <c r="D71" s="22" t="s">
        <v>336</v>
      </c>
      <c r="E71" s="33" t="s">
        <v>75</v>
      </c>
      <c r="F71" s="33" t="s">
        <v>75</v>
      </c>
      <c r="G71" s="23" t="s">
        <v>377</v>
      </c>
      <c r="H71" s="24" t="n">
        <v>0</v>
      </c>
      <c r="I71" s="34" t="s">
        <v>378</v>
      </c>
      <c r="J71" s="34" t="s">
        <v>379</v>
      </c>
    </row>
    <row r="72" customFormat="false" ht="15" hidden="false" customHeight="false" outlineLevel="0" collapsed="false">
      <c r="A72" s="22" t="s">
        <v>380</v>
      </c>
      <c r="B72" s="22" t="s">
        <v>78</v>
      </c>
      <c r="C72" s="22" t="s">
        <v>72</v>
      </c>
      <c r="D72" s="22" t="s">
        <v>336</v>
      </c>
      <c r="E72" s="33" t="s">
        <v>75</v>
      </c>
      <c r="F72" s="33" t="s">
        <v>75</v>
      </c>
      <c r="G72" s="23" t="s">
        <v>381</v>
      </c>
      <c r="H72" s="24" t="n">
        <v>0</v>
      </c>
      <c r="I72" s="34" t="s">
        <v>382</v>
      </c>
      <c r="J72" s="34" t="s">
        <v>383</v>
      </c>
    </row>
    <row r="73" customFormat="false" ht="15" hidden="false" customHeight="false" outlineLevel="0" collapsed="false">
      <c r="E73" s="33"/>
      <c r="F73" s="33"/>
    </row>
    <row r="74" customFormat="false" ht="15" hidden="false" customHeight="false" outlineLevel="0" collapsed="false">
      <c r="E74" s="33"/>
      <c r="F74" s="33"/>
    </row>
    <row r="75" customFormat="false" ht="15" hidden="false" customHeight="false" outlineLevel="0" collapsed="false">
      <c r="E75" s="33"/>
      <c r="F75" s="33"/>
    </row>
    <row r="76" customFormat="false" ht="15" hidden="false" customHeight="false" outlineLevel="0" collapsed="false">
      <c r="E76" s="33"/>
      <c r="F76" s="33"/>
    </row>
    <row r="77" customFormat="false" ht="15" hidden="false" customHeight="false" outlineLevel="0" collapsed="false">
      <c r="E77" s="33"/>
      <c r="F77" s="33"/>
    </row>
    <row r="78" customFormat="false" ht="15" hidden="false" customHeight="false" outlineLevel="0" collapsed="false">
      <c r="E78" s="33"/>
      <c r="F78" s="33"/>
    </row>
    <row r="79" customFormat="false" ht="15" hidden="false" customHeight="false" outlineLevel="0" collapsed="false">
      <c r="E79" s="33"/>
      <c r="F79" s="33"/>
    </row>
    <row r="80" customFormat="false" ht="15" hidden="false" customHeight="false" outlineLevel="0" collapsed="false">
      <c r="E80" s="33"/>
      <c r="F80" s="33"/>
    </row>
    <row r="81" customFormat="false" ht="15" hidden="false" customHeight="false" outlineLevel="0" collapsed="false">
      <c r="E81" s="33"/>
      <c r="F81" s="33"/>
    </row>
    <row r="82" customFormat="false" ht="15" hidden="false" customHeight="false" outlineLevel="0" collapsed="false">
      <c r="E82" s="33"/>
      <c r="F82" s="33"/>
    </row>
    <row r="83" customFormat="false" ht="15" hidden="false" customHeight="false" outlineLevel="0" collapsed="false">
      <c r="E83" s="33"/>
      <c r="F83" s="33"/>
    </row>
    <row r="84" customFormat="false" ht="15" hidden="false" customHeight="false" outlineLevel="0" collapsed="false">
      <c r="E84" s="33"/>
      <c r="F84" s="33"/>
    </row>
    <row r="85" customFormat="false" ht="15" hidden="false" customHeight="false" outlineLevel="0" collapsed="false">
      <c r="E85" s="33"/>
      <c r="F85" s="33"/>
    </row>
    <row r="86" customFormat="false" ht="15" hidden="false" customHeight="false" outlineLevel="0" collapsed="false">
      <c r="E86" s="33"/>
      <c r="F86" s="33"/>
    </row>
    <row r="87" customFormat="false" ht="15" hidden="false" customHeight="false" outlineLevel="0" collapsed="false">
      <c r="E87" s="33"/>
      <c r="F87" s="33"/>
    </row>
    <row r="88" customFormat="false" ht="15" hidden="false" customHeight="false" outlineLevel="0" collapsed="false">
      <c r="E88" s="33"/>
      <c r="F88" s="33"/>
    </row>
    <row r="89" customFormat="false" ht="15" hidden="false" customHeight="false" outlineLevel="0" collapsed="false">
      <c r="E89" s="33"/>
      <c r="F89" s="33"/>
    </row>
    <row r="90" customFormat="false" ht="15" hidden="false" customHeight="false" outlineLevel="0" collapsed="false">
      <c r="E90" s="33"/>
      <c r="F90" s="33"/>
    </row>
    <row r="91" customFormat="false" ht="15" hidden="false" customHeight="false" outlineLevel="0" collapsed="false">
      <c r="E91" s="33"/>
      <c r="F91" s="33"/>
    </row>
    <row r="92" customFormat="false" ht="15" hidden="false" customHeight="false" outlineLevel="0" collapsed="false">
      <c r="E92" s="33"/>
      <c r="F92" s="33"/>
    </row>
    <row r="93" customFormat="false" ht="15" hidden="false" customHeight="false" outlineLevel="0" collapsed="false">
      <c r="E93" s="33"/>
      <c r="F93" s="33"/>
    </row>
    <row r="94" customFormat="false" ht="15" hidden="false" customHeight="false" outlineLevel="0" collapsed="false">
      <c r="E94" s="33"/>
      <c r="F94" s="33"/>
    </row>
    <row r="95" customFormat="false" ht="15" hidden="false" customHeight="false" outlineLevel="0" collapsed="false">
      <c r="E95" s="33"/>
      <c r="F95" s="33"/>
    </row>
    <row r="96" customFormat="false" ht="15" hidden="false" customHeight="false" outlineLevel="0" collapsed="false">
      <c r="E96" s="33"/>
      <c r="F96" s="33"/>
    </row>
    <row r="97" customFormat="false" ht="15" hidden="false" customHeight="false" outlineLevel="0" collapsed="false">
      <c r="E97" s="33"/>
      <c r="F97" s="33"/>
    </row>
    <row r="98" customFormat="false" ht="15" hidden="false" customHeight="false" outlineLevel="0" collapsed="false">
      <c r="E98" s="33"/>
      <c r="F98" s="33"/>
    </row>
    <row r="99" customFormat="false" ht="15" hidden="false" customHeight="false" outlineLevel="0" collapsed="false">
      <c r="E99" s="33"/>
      <c r="F99" s="33"/>
    </row>
    <row r="100" customFormat="false" ht="15" hidden="false" customHeight="false" outlineLevel="0" collapsed="false">
      <c r="E100" s="33"/>
      <c r="F100" s="33"/>
    </row>
    <row r="101" customFormat="false" ht="15" hidden="false" customHeight="false" outlineLevel="0" collapsed="false">
      <c r="E101" s="33"/>
      <c r="F101" s="33"/>
    </row>
    <row r="102" customFormat="false" ht="15" hidden="false" customHeight="false" outlineLevel="0" collapsed="false">
      <c r="E102" s="33"/>
      <c r="F102" s="33"/>
    </row>
    <row r="103" customFormat="false" ht="15" hidden="false" customHeight="false" outlineLevel="0" collapsed="false">
      <c r="E103" s="33"/>
      <c r="F103" s="33"/>
    </row>
    <row r="104" customFormat="false" ht="15" hidden="false" customHeight="false" outlineLevel="0" collapsed="false">
      <c r="E104" s="33"/>
      <c r="F104" s="33"/>
    </row>
    <row r="105" customFormat="false" ht="15" hidden="false" customHeight="false" outlineLevel="0" collapsed="false">
      <c r="E105" s="33"/>
      <c r="F105" s="33"/>
    </row>
    <row r="106" customFormat="false" ht="15" hidden="false" customHeight="false" outlineLevel="0" collapsed="false">
      <c r="E106" s="33"/>
      <c r="F106" s="33"/>
    </row>
    <row r="107" customFormat="false" ht="15" hidden="false" customHeight="false" outlineLevel="0" collapsed="false">
      <c r="E107" s="33"/>
      <c r="F107" s="33"/>
    </row>
    <row r="108" customFormat="false" ht="15" hidden="false" customHeight="false" outlineLevel="0" collapsed="false">
      <c r="E108" s="33"/>
      <c r="F108" s="33"/>
    </row>
    <row r="109" customFormat="false" ht="15" hidden="false" customHeight="false" outlineLevel="0" collapsed="false">
      <c r="E109" s="33"/>
      <c r="F109" s="33"/>
    </row>
    <row r="110" customFormat="false" ht="15" hidden="false" customHeight="false" outlineLevel="0" collapsed="false">
      <c r="E110" s="33"/>
      <c r="F110" s="33"/>
    </row>
    <row r="111" customFormat="false" ht="15" hidden="false" customHeight="false" outlineLevel="0" collapsed="false">
      <c r="E111" s="33"/>
      <c r="F111" s="33"/>
    </row>
    <row r="112" customFormat="false" ht="15" hidden="false" customHeight="false" outlineLevel="0" collapsed="false">
      <c r="E112" s="33"/>
      <c r="F112" s="33"/>
    </row>
    <row r="113" customFormat="false" ht="15" hidden="false" customHeight="false" outlineLevel="0" collapsed="false">
      <c r="E113" s="33"/>
      <c r="F113" s="33"/>
    </row>
    <row r="114" customFormat="false" ht="15" hidden="false" customHeight="false" outlineLevel="0" collapsed="false">
      <c r="E114" s="33"/>
      <c r="F114" s="33"/>
    </row>
    <row r="115" customFormat="false" ht="15" hidden="false" customHeight="false" outlineLevel="0" collapsed="false">
      <c r="E115" s="33"/>
      <c r="F115" s="33"/>
    </row>
    <row r="116" customFormat="false" ht="15" hidden="false" customHeight="false" outlineLevel="0" collapsed="false">
      <c r="E116" s="33"/>
      <c r="F116" s="33"/>
    </row>
    <row r="117" customFormat="false" ht="15" hidden="false" customHeight="false" outlineLevel="0" collapsed="false">
      <c r="E117" s="33"/>
      <c r="F117" s="33"/>
    </row>
    <row r="118" customFormat="false" ht="15" hidden="false" customHeight="false" outlineLevel="0" collapsed="false">
      <c r="E118" s="33"/>
      <c r="F118" s="33"/>
    </row>
    <row r="119" customFormat="false" ht="15" hidden="false" customHeight="false" outlineLevel="0" collapsed="false">
      <c r="E119" s="33"/>
      <c r="F119" s="33"/>
    </row>
    <row r="120" customFormat="false" ht="15" hidden="false" customHeight="false" outlineLevel="0" collapsed="false">
      <c r="E120" s="33"/>
      <c r="F120" s="33"/>
    </row>
    <row r="121" customFormat="false" ht="15" hidden="false" customHeight="false" outlineLevel="0" collapsed="false">
      <c r="E121" s="33"/>
      <c r="F121" s="33"/>
    </row>
    <row r="122" customFormat="false" ht="15" hidden="false" customHeight="false" outlineLevel="0" collapsed="false">
      <c r="E122" s="33"/>
      <c r="F122" s="33"/>
    </row>
    <row r="123" customFormat="false" ht="15" hidden="false" customHeight="false" outlineLevel="0" collapsed="false">
      <c r="E123" s="33"/>
      <c r="F123" s="33"/>
    </row>
    <row r="124" customFormat="false" ht="15" hidden="false" customHeight="false" outlineLevel="0" collapsed="false">
      <c r="E124" s="33"/>
      <c r="F124" s="33"/>
    </row>
    <row r="125" customFormat="false" ht="15" hidden="false" customHeight="false" outlineLevel="0" collapsed="false">
      <c r="E125" s="33"/>
      <c r="F125" s="33"/>
    </row>
    <row r="126" customFormat="false" ht="15" hidden="false" customHeight="false" outlineLevel="0" collapsed="false">
      <c r="E126" s="33"/>
      <c r="F126" s="33"/>
    </row>
    <row r="127" customFormat="false" ht="15" hidden="false" customHeight="false" outlineLevel="0" collapsed="false">
      <c r="E127" s="33"/>
      <c r="F127" s="33"/>
    </row>
    <row r="128" customFormat="false" ht="15" hidden="false" customHeight="false" outlineLevel="0" collapsed="false">
      <c r="E128" s="33"/>
      <c r="F128" s="33"/>
    </row>
    <row r="129" customFormat="false" ht="15" hidden="false" customHeight="false" outlineLevel="0" collapsed="false">
      <c r="E129" s="33"/>
      <c r="F129" s="33"/>
    </row>
    <row r="130" customFormat="false" ht="15" hidden="false" customHeight="false" outlineLevel="0" collapsed="false">
      <c r="E130" s="33"/>
      <c r="F130" s="33"/>
    </row>
    <row r="131" customFormat="false" ht="15" hidden="false" customHeight="false" outlineLevel="0" collapsed="false">
      <c r="E131" s="33"/>
      <c r="F131" s="33"/>
    </row>
    <row r="132" customFormat="false" ht="15" hidden="false" customHeight="false" outlineLevel="0" collapsed="false">
      <c r="E132" s="33"/>
      <c r="F132" s="33"/>
    </row>
    <row r="133" customFormat="false" ht="15" hidden="false" customHeight="false" outlineLevel="0" collapsed="false">
      <c r="E133" s="33"/>
      <c r="F133" s="33"/>
    </row>
    <row r="134" customFormat="false" ht="15" hidden="false" customHeight="false" outlineLevel="0" collapsed="false">
      <c r="E134" s="33"/>
      <c r="F134" s="33"/>
    </row>
    <row r="135" customFormat="false" ht="15" hidden="false" customHeight="false" outlineLevel="0" collapsed="false">
      <c r="E135" s="33"/>
      <c r="F135" s="33"/>
    </row>
    <row r="136" customFormat="false" ht="15" hidden="false" customHeight="false" outlineLevel="0" collapsed="false">
      <c r="E136" s="33"/>
      <c r="F136" s="33"/>
    </row>
    <row r="137" customFormat="false" ht="15" hidden="false" customHeight="false" outlineLevel="0" collapsed="false">
      <c r="E137" s="33"/>
      <c r="F137" s="33"/>
    </row>
    <row r="138" customFormat="false" ht="15" hidden="false" customHeight="false" outlineLevel="0" collapsed="false">
      <c r="E138" s="33"/>
      <c r="F138" s="33"/>
    </row>
    <row r="139" customFormat="false" ht="15" hidden="false" customHeight="false" outlineLevel="0" collapsed="false">
      <c r="E139" s="33"/>
      <c r="F139" s="33"/>
    </row>
    <row r="140" customFormat="false" ht="15" hidden="false" customHeight="false" outlineLevel="0" collapsed="false">
      <c r="E140" s="33"/>
      <c r="F140" s="33"/>
    </row>
    <row r="141" customFormat="false" ht="15" hidden="false" customHeight="false" outlineLevel="0" collapsed="false">
      <c r="E141" s="33"/>
      <c r="F141" s="33"/>
    </row>
    <row r="142" customFormat="false" ht="15" hidden="false" customHeight="false" outlineLevel="0" collapsed="false">
      <c r="E142" s="33"/>
      <c r="F142" s="33"/>
    </row>
    <row r="143" customFormat="false" ht="15" hidden="false" customHeight="false" outlineLevel="0" collapsed="false">
      <c r="E143" s="33"/>
      <c r="F143" s="33"/>
    </row>
    <row r="144" customFormat="false" ht="15" hidden="false" customHeight="false" outlineLevel="0" collapsed="false">
      <c r="E144" s="33"/>
      <c r="F144" s="33"/>
    </row>
    <row r="145" customFormat="false" ht="15" hidden="false" customHeight="false" outlineLevel="0" collapsed="false">
      <c r="E145" s="33"/>
      <c r="F145" s="33"/>
    </row>
    <row r="146" customFormat="false" ht="15" hidden="false" customHeight="false" outlineLevel="0" collapsed="false">
      <c r="E146" s="33"/>
      <c r="F146" s="33"/>
    </row>
    <row r="147" customFormat="false" ht="15" hidden="false" customHeight="false" outlineLevel="0" collapsed="false">
      <c r="E147" s="33"/>
      <c r="F147" s="33"/>
    </row>
    <row r="148" customFormat="false" ht="15" hidden="false" customHeight="false" outlineLevel="0" collapsed="false">
      <c r="E148" s="33"/>
      <c r="F148" s="33"/>
    </row>
    <row r="149" customFormat="false" ht="15" hidden="false" customHeight="false" outlineLevel="0" collapsed="false">
      <c r="E149" s="33"/>
      <c r="F149" s="33"/>
    </row>
    <row r="150" customFormat="false" ht="15" hidden="false" customHeight="false" outlineLevel="0" collapsed="false">
      <c r="E150" s="33"/>
      <c r="F150" s="33"/>
    </row>
    <row r="151" customFormat="false" ht="15" hidden="false" customHeight="false" outlineLevel="0" collapsed="false">
      <c r="E151" s="33"/>
      <c r="F151" s="33"/>
    </row>
    <row r="152" customFormat="false" ht="15" hidden="false" customHeight="false" outlineLevel="0" collapsed="false">
      <c r="E152" s="33"/>
      <c r="F152" s="33"/>
    </row>
    <row r="153" customFormat="false" ht="15" hidden="false" customHeight="false" outlineLevel="0" collapsed="false">
      <c r="E153" s="33"/>
      <c r="F153" s="33"/>
    </row>
    <row r="154" customFormat="false" ht="15" hidden="false" customHeight="false" outlineLevel="0" collapsed="false">
      <c r="E154" s="33"/>
      <c r="F154" s="33"/>
    </row>
    <row r="155" customFormat="false" ht="15" hidden="false" customHeight="false" outlineLevel="0" collapsed="false">
      <c r="E155" s="33"/>
      <c r="F155" s="33"/>
    </row>
    <row r="156" customFormat="false" ht="15" hidden="false" customHeight="false" outlineLevel="0" collapsed="false">
      <c r="E156" s="33"/>
      <c r="F156" s="33"/>
    </row>
    <row r="157" customFormat="false" ht="15" hidden="false" customHeight="false" outlineLevel="0" collapsed="false">
      <c r="E157" s="33"/>
      <c r="F157" s="33"/>
    </row>
    <row r="158" customFormat="false" ht="15" hidden="false" customHeight="false" outlineLevel="0" collapsed="false">
      <c r="E158" s="33"/>
      <c r="F158" s="33"/>
    </row>
    <row r="159" customFormat="false" ht="15" hidden="false" customHeight="false" outlineLevel="0" collapsed="false">
      <c r="E159" s="33"/>
      <c r="F159" s="33"/>
    </row>
    <row r="160" customFormat="false" ht="15" hidden="false" customHeight="false" outlineLevel="0" collapsed="false">
      <c r="E160" s="33"/>
      <c r="F160" s="33"/>
    </row>
    <row r="161" customFormat="false" ht="15" hidden="false" customHeight="false" outlineLevel="0" collapsed="false">
      <c r="E161" s="33"/>
      <c r="F161" s="33"/>
    </row>
    <row r="162" customFormat="false" ht="15" hidden="false" customHeight="false" outlineLevel="0" collapsed="false">
      <c r="E162" s="33"/>
      <c r="F162" s="33"/>
    </row>
    <row r="163" customFormat="false" ht="15" hidden="false" customHeight="false" outlineLevel="0" collapsed="false">
      <c r="E163" s="33"/>
      <c r="F163" s="33"/>
    </row>
    <row r="164" customFormat="false" ht="15" hidden="false" customHeight="false" outlineLevel="0" collapsed="false">
      <c r="E164" s="33"/>
      <c r="F164" s="33"/>
    </row>
    <row r="165" customFormat="false" ht="15" hidden="false" customHeight="false" outlineLevel="0" collapsed="false">
      <c r="E165" s="33"/>
      <c r="F165" s="33"/>
    </row>
    <row r="166" customFormat="false" ht="15" hidden="false" customHeight="false" outlineLevel="0" collapsed="false">
      <c r="E166" s="33"/>
      <c r="F166" s="33"/>
    </row>
    <row r="167" customFormat="false" ht="15" hidden="false" customHeight="false" outlineLevel="0" collapsed="false">
      <c r="E167" s="33"/>
      <c r="F167" s="33"/>
    </row>
    <row r="168" customFormat="false" ht="15" hidden="false" customHeight="false" outlineLevel="0" collapsed="false">
      <c r="E168" s="33"/>
      <c r="F168" s="33"/>
    </row>
    <row r="169" customFormat="false" ht="15" hidden="false" customHeight="false" outlineLevel="0" collapsed="false">
      <c r="E169" s="33"/>
      <c r="F169" s="33"/>
    </row>
    <row r="170" customFormat="false" ht="15" hidden="false" customHeight="false" outlineLevel="0" collapsed="false">
      <c r="E170" s="33"/>
      <c r="F170" s="33"/>
    </row>
    <row r="171" customFormat="false" ht="15" hidden="false" customHeight="false" outlineLevel="0" collapsed="false">
      <c r="E171" s="33"/>
      <c r="F171" s="33"/>
    </row>
    <row r="172" customFormat="false" ht="15" hidden="false" customHeight="false" outlineLevel="0" collapsed="false">
      <c r="E172" s="33"/>
      <c r="F172" s="33"/>
    </row>
    <row r="173" customFormat="false" ht="15" hidden="false" customHeight="false" outlineLevel="0" collapsed="false">
      <c r="E173" s="33"/>
      <c r="F173" s="33"/>
    </row>
    <row r="174" customFormat="false" ht="15" hidden="false" customHeight="false" outlineLevel="0" collapsed="false">
      <c r="E174" s="33"/>
      <c r="F174" s="33"/>
    </row>
    <row r="175" customFormat="false" ht="15" hidden="false" customHeight="false" outlineLevel="0" collapsed="false">
      <c r="E175" s="33"/>
      <c r="F175" s="33"/>
    </row>
    <row r="176" customFormat="false" ht="15" hidden="false" customHeight="false" outlineLevel="0" collapsed="false">
      <c r="E176" s="33"/>
      <c r="F176" s="33"/>
    </row>
    <row r="177" customFormat="false" ht="15" hidden="false" customHeight="false" outlineLevel="0" collapsed="false">
      <c r="E177" s="33"/>
      <c r="F177" s="33"/>
    </row>
    <row r="178" customFormat="false" ht="15" hidden="false" customHeight="false" outlineLevel="0" collapsed="false">
      <c r="E178" s="33"/>
      <c r="F178" s="33"/>
    </row>
    <row r="179" customFormat="false" ht="15" hidden="false" customHeight="false" outlineLevel="0" collapsed="false">
      <c r="E179" s="33"/>
      <c r="F179" s="33"/>
    </row>
    <row r="180" customFormat="false" ht="15" hidden="false" customHeight="false" outlineLevel="0" collapsed="false">
      <c r="E180" s="33"/>
      <c r="F180" s="33"/>
    </row>
    <row r="181" customFormat="false" ht="15" hidden="false" customHeight="false" outlineLevel="0" collapsed="false">
      <c r="E181" s="33"/>
      <c r="F181" s="33"/>
    </row>
    <row r="182" customFormat="false" ht="15" hidden="false" customHeight="false" outlineLevel="0" collapsed="false">
      <c r="E182" s="33"/>
      <c r="F182" s="33"/>
    </row>
    <row r="183" customFormat="false" ht="15" hidden="false" customHeight="false" outlineLevel="0" collapsed="false">
      <c r="E183" s="33"/>
      <c r="F183" s="33"/>
    </row>
    <row r="184" customFormat="false" ht="15" hidden="false" customHeight="false" outlineLevel="0" collapsed="false">
      <c r="E184" s="33"/>
      <c r="F184" s="33"/>
    </row>
    <row r="185" customFormat="false" ht="15" hidden="false" customHeight="false" outlineLevel="0" collapsed="false">
      <c r="E185" s="33"/>
      <c r="F185" s="33"/>
    </row>
    <row r="186" customFormat="false" ht="15" hidden="false" customHeight="false" outlineLevel="0" collapsed="false">
      <c r="E186" s="33"/>
      <c r="F186" s="33"/>
    </row>
    <row r="187" customFormat="false" ht="15" hidden="false" customHeight="false" outlineLevel="0" collapsed="false">
      <c r="E187" s="33"/>
      <c r="F187" s="33"/>
    </row>
    <row r="188" customFormat="false" ht="15" hidden="false" customHeight="false" outlineLevel="0" collapsed="false">
      <c r="E188" s="33"/>
      <c r="F188" s="33"/>
    </row>
    <row r="189" customFormat="false" ht="15" hidden="false" customHeight="false" outlineLevel="0" collapsed="false">
      <c r="E189" s="33"/>
      <c r="F189" s="33"/>
    </row>
    <row r="190" customFormat="false" ht="15" hidden="false" customHeight="false" outlineLevel="0" collapsed="false">
      <c r="E190" s="33"/>
      <c r="F190" s="33"/>
    </row>
    <row r="191" customFormat="false" ht="15" hidden="false" customHeight="false" outlineLevel="0" collapsed="false">
      <c r="E191" s="33"/>
      <c r="F191" s="33"/>
    </row>
    <row r="192" customFormat="false" ht="15" hidden="false" customHeight="false" outlineLevel="0" collapsed="false">
      <c r="E192" s="33"/>
      <c r="F192" s="33"/>
    </row>
    <row r="193" customFormat="false" ht="15" hidden="false" customHeight="false" outlineLevel="0" collapsed="false">
      <c r="E193" s="33"/>
      <c r="F193" s="33"/>
    </row>
    <row r="194" customFormat="false" ht="15" hidden="false" customHeight="false" outlineLevel="0" collapsed="false">
      <c r="E194" s="33"/>
      <c r="F194" s="33"/>
    </row>
    <row r="195" customFormat="false" ht="15" hidden="false" customHeight="false" outlineLevel="0" collapsed="false">
      <c r="E195" s="33"/>
      <c r="F195" s="33"/>
    </row>
    <row r="196" customFormat="false" ht="15" hidden="false" customHeight="false" outlineLevel="0" collapsed="false">
      <c r="E196" s="33"/>
      <c r="F196" s="33"/>
    </row>
    <row r="197" customFormat="false" ht="15" hidden="false" customHeight="false" outlineLevel="0" collapsed="false">
      <c r="E197" s="33"/>
      <c r="F197" s="33"/>
    </row>
    <row r="198" customFormat="false" ht="15" hidden="false" customHeight="false" outlineLevel="0" collapsed="false">
      <c r="E198" s="33"/>
      <c r="F198" s="33"/>
    </row>
    <row r="199" customFormat="false" ht="15" hidden="false" customHeight="false" outlineLevel="0" collapsed="false">
      <c r="E199" s="33"/>
      <c r="F199" s="33"/>
    </row>
    <row r="200" customFormat="false" ht="15" hidden="false" customHeight="false" outlineLevel="0" collapsed="false">
      <c r="E200" s="33"/>
      <c r="F200" s="33"/>
    </row>
    <row r="201" customFormat="false" ht="15" hidden="false" customHeight="false" outlineLevel="0" collapsed="false">
      <c r="E201" s="33"/>
      <c r="F201" s="33"/>
    </row>
    <row r="202" customFormat="false" ht="15" hidden="false" customHeight="false" outlineLevel="0" collapsed="false">
      <c r="E202" s="33"/>
      <c r="F202" s="33"/>
    </row>
    <row r="203" customFormat="false" ht="15" hidden="false" customHeight="false" outlineLevel="0" collapsed="false">
      <c r="E203" s="33"/>
      <c r="F203" s="33"/>
    </row>
    <row r="204" customFormat="false" ht="15" hidden="false" customHeight="false" outlineLevel="0" collapsed="false">
      <c r="E204" s="33"/>
      <c r="F204" s="33"/>
    </row>
    <row r="205" customFormat="false" ht="15" hidden="false" customHeight="false" outlineLevel="0" collapsed="false">
      <c r="E205" s="33"/>
      <c r="F205" s="33"/>
    </row>
    <row r="206" customFormat="false" ht="15" hidden="false" customHeight="false" outlineLevel="0" collapsed="false">
      <c r="E206" s="33"/>
      <c r="F206" s="33"/>
    </row>
    <row r="207" customFormat="false" ht="15" hidden="false" customHeight="false" outlineLevel="0" collapsed="false">
      <c r="E207" s="33"/>
      <c r="F207" s="33"/>
    </row>
    <row r="208" customFormat="false" ht="15" hidden="false" customHeight="false" outlineLevel="0" collapsed="false">
      <c r="E208" s="33"/>
      <c r="F208" s="33"/>
    </row>
    <row r="209" customFormat="false" ht="15" hidden="false" customHeight="false" outlineLevel="0" collapsed="false">
      <c r="E209" s="33"/>
      <c r="F209" s="33"/>
    </row>
    <row r="210" customFormat="false" ht="15" hidden="false" customHeight="false" outlineLevel="0" collapsed="false">
      <c r="E210" s="33"/>
      <c r="F210" s="33"/>
    </row>
    <row r="211" customFormat="false" ht="15" hidden="false" customHeight="false" outlineLevel="0" collapsed="false">
      <c r="E211" s="33"/>
      <c r="F211" s="33"/>
    </row>
    <row r="212" customFormat="false" ht="15" hidden="false" customHeight="false" outlineLevel="0" collapsed="false">
      <c r="E212" s="33"/>
      <c r="F212" s="33"/>
    </row>
    <row r="213" customFormat="false" ht="15" hidden="false" customHeight="false" outlineLevel="0" collapsed="false">
      <c r="E213" s="33"/>
      <c r="F213" s="33"/>
    </row>
    <row r="214" customFormat="false" ht="15" hidden="false" customHeight="false" outlineLevel="0" collapsed="false">
      <c r="E214" s="33"/>
      <c r="F214" s="33"/>
    </row>
    <row r="215" customFormat="false" ht="15" hidden="false" customHeight="false" outlineLevel="0" collapsed="false">
      <c r="E215" s="33"/>
      <c r="F215" s="33"/>
    </row>
    <row r="216" customFormat="false" ht="15" hidden="false" customHeight="false" outlineLevel="0" collapsed="false">
      <c r="E216" s="33"/>
      <c r="F216" s="33"/>
    </row>
    <row r="217" customFormat="false" ht="15" hidden="false" customHeight="false" outlineLevel="0" collapsed="false">
      <c r="E217" s="33"/>
      <c r="F217" s="33"/>
    </row>
    <row r="218" customFormat="false" ht="15" hidden="false" customHeight="false" outlineLevel="0" collapsed="false">
      <c r="E218" s="33"/>
      <c r="F218" s="33"/>
    </row>
    <row r="219" customFormat="false" ht="15" hidden="false" customHeight="false" outlineLevel="0" collapsed="false">
      <c r="E219" s="33"/>
      <c r="F219" s="33"/>
    </row>
    <row r="220" customFormat="false" ht="15" hidden="false" customHeight="false" outlineLevel="0" collapsed="false">
      <c r="E220" s="33"/>
      <c r="F220" s="33"/>
    </row>
    <row r="221" customFormat="false" ht="15" hidden="false" customHeight="false" outlineLevel="0" collapsed="false">
      <c r="E221" s="33"/>
      <c r="F221" s="33"/>
    </row>
    <row r="222" customFormat="false" ht="15" hidden="false" customHeight="false" outlineLevel="0" collapsed="false">
      <c r="E222" s="33"/>
      <c r="F222" s="33"/>
    </row>
    <row r="223" customFormat="false" ht="15" hidden="false" customHeight="false" outlineLevel="0" collapsed="false">
      <c r="E223" s="33"/>
      <c r="F223" s="33"/>
    </row>
    <row r="224" customFormat="false" ht="15" hidden="false" customHeight="false" outlineLevel="0" collapsed="false">
      <c r="E224" s="33"/>
      <c r="F224" s="33"/>
    </row>
    <row r="225" customFormat="false" ht="15" hidden="false" customHeight="false" outlineLevel="0" collapsed="false">
      <c r="E225" s="33"/>
      <c r="F225" s="33"/>
    </row>
    <row r="226" customFormat="false" ht="15" hidden="false" customHeight="false" outlineLevel="0" collapsed="false">
      <c r="E226" s="33"/>
      <c r="F226" s="33"/>
    </row>
    <row r="227" customFormat="false" ht="15" hidden="false" customHeight="false" outlineLevel="0" collapsed="false">
      <c r="E227" s="33"/>
      <c r="F227" s="33"/>
    </row>
    <row r="228" customFormat="false" ht="15" hidden="false" customHeight="false" outlineLevel="0" collapsed="false">
      <c r="E228" s="33"/>
      <c r="F228" s="33"/>
    </row>
    <row r="229" customFormat="false" ht="15" hidden="false" customHeight="false" outlineLevel="0" collapsed="false">
      <c r="E229" s="33"/>
      <c r="F229" s="33"/>
    </row>
    <row r="230" customFormat="false" ht="15" hidden="false" customHeight="false" outlineLevel="0" collapsed="false">
      <c r="E230" s="33"/>
      <c r="F230" s="33"/>
    </row>
    <row r="231" customFormat="false" ht="15" hidden="false" customHeight="false" outlineLevel="0" collapsed="false">
      <c r="E231" s="33"/>
      <c r="F231" s="33"/>
    </row>
    <row r="232" customFormat="false" ht="15" hidden="false" customHeight="false" outlineLevel="0" collapsed="false">
      <c r="E232" s="33"/>
      <c r="F232" s="33"/>
    </row>
    <row r="233" customFormat="false" ht="15" hidden="false" customHeight="false" outlineLevel="0" collapsed="false">
      <c r="E233" s="33"/>
      <c r="F233" s="33"/>
    </row>
    <row r="234" customFormat="false" ht="15" hidden="false" customHeight="false" outlineLevel="0" collapsed="false">
      <c r="E234" s="33"/>
      <c r="F234" s="33"/>
    </row>
    <row r="235" customFormat="false" ht="15" hidden="false" customHeight="false" outlineLevel="0" collapsed="false">
      <c r="E235" s="33"/>
      <c r="F235" s="33"/>
    </row>
    <row r="236" customFormat="false" ht="15" hidden="false" customHeight="false" outlineLevel="0" collapsed="false">
      <c r="E236" s="33"/>
      <c r="F236" s="33"/>
    </row>
    <row r="237" customFormat="false" ht="15" hidden="false" customHeight="false" outlineLevel="0" collapsed="false">
      <c r="E237" s="33"/>
      <c r="F237" s="33"/>
    </row>
    <row r="238" customFormat="false" ht="15" hidden="false" customHeight="false" outlineLevel="0" collapsed="false">
      <c r="E238" s="33"/>
      <c r="F238" s="33"/>
    </row>
    <row r="239" customFormat="false" ht="15" hidden="false" customHeight="false" outlineLevel="0" collapsed="false">
      <c r="E239" s="33"/>
      <c r="F239" s="33"/>
    </row>
    <row r="240" customFormat="false" ht="15" hidden="false" customHeight="false" outlineLevel="0" collapsed="false">
      <c r="E240" s="33"/>
      <c r="F240" s="33"/>
    </row>
    <row r="241" customFormat="false" ht="15" hidden="false" customHeight="false" outlineLevel="0" collapsed="false">
      <c r="E241" s="33"/>
      <c r="F241" s="33"/>
    </row>
    <row r="242" customFormat="false" ht="15" hidden="false" customHeight="false" outlineLevel="0" collapsed="false">
      <c r="E242" s="33"/>
      <c r="F242" s="33"/>
    </row>
    <row r="243" customFormat="false" ht="15" hidden="false" customHeight="false" outlineLevel="0" collapsed="false">
      <c r="E243" s="33"/>
      <c r="F243" s="33"/>
    </row>
    <row r="244" customFormat="false" ht="15" hidden="false" customHeight="false" outlineLevel="0" collapsed="false">
      <c r="E244" s="33"/>
      <c r="F244" s="33"/>
    </row>
    <row r="245" customFormat="false" ht="15" hidden="false" customHeight="false" outlineLevel="0" collapsed="false">
      <c r="E245" s="33"/>
      <c r="F245" s="33"/>
    </row>
    <row r="246" customFormat="false" ht="15" hidden="false" customHeight="false" outlineLevel="0" collapsed="false">
      <c r="E246" s="33"/>
      <c r="F246" s="33"/>
    </row>
    <row r="247" customFormat="false" ht="15" hidden="false" customHeight="false" outlineLevel="0" collapsed="false">
      <c r="E247" s="33"/>
      <c r="F247" s="33"/>
    </row>
    <row r="248" customFormat="false" ht="15" hidden="false" customHeight="false" outlineLevel="0" collapsed="false">
      <c r="E248" s="33"/>
      <c r="F248" s="33"/>
    </row>
    <row r="249" customFormat="false" ht="15" hidden="false" customHeight="false" outlineLevel="0" collapsed="false">
      <c r="E249" s="33"/>
      <c r="F249" s="33"/>
    </row>
    <row r="250" customFormat="false" ht="15" hidden="false" customHeight="false" outlineLevel="0" collapsed="false">
      <c r="E250" s="33"/>
      <c r="F250" s="33"/>
    </row>
    <row r="251" customFormat="false" ht="15" hidden="false" customHeight="false" outlineLevel="0" collapsed="false">
      <c r="E251" s="33"/>
      <c r="F251" s="33"/>
    </row>
    <row r="252" customFormat="false" ht="15" hidden="false" customHeight="false" outlineLevel="0" collapsed="false">
      <c r="E252" s="33"/>
      <c r="F252" s="33"/>
    </row>
    <row r="253" customFormat="false" ht="15" hidden="false" customHeight="false" outlineLevel="0" collapsed="false">
      <c r="E253" s="33"/>
      <c r="F253" s="33"/>
    </row>
    <row r="254" customFormat="false" ht="15" hidden="false" customHeight="false" outlineLevel="0" collapsed="false">
      <c r="E254" s="33"/>
      <c r="F254" s="33"/>
    </row>
    <row r="255" customFormat="false" ht="15" hidden="false" customHeight="false" outlineLevel="0" collapsed="false">
      <c r="E255" s="33"/>
      <c r="F255" s="33"/>
    </row>
    <row r="256" customFormat="false" ht="15" hidden="false" customHeight="false" outlineLevel="0" collapsed="false">
      <c r="E256" s="33"/>
      <c r="F256" s="33"/>
    </row>
    <row r="257" customFormat="false" ht="15" hidden="false" customHeight="false" outlineLevel="0" collapsed="false">
      <c r="E257" s="33"/>
      <c r="F257" s="33"/>
    </row>
    <row r="258" customFormat="false" ht="15" hidden="false" customHeight="false" outlineLevel="0" collapsed="false">
      <c r="E258" s="33"/>
      <c r="F258" s="33"/>
    </row>
    <row r="259" customFormat="false" ht="15" hidden="false" customHeight="false" outlineLevel="0" collapsed="false">
      <c r="E259" s="33"/>
      <c r="F259" s="33"/>
    </row>
    <row r="260" customFormat="false" ht="15" hidden="false" customHeight="false" outlineLevel="0" collapsed="false">
      <c r="E260" s="33"/>
      <c r="F260" s="33"/>
    </row>
    <row r="261" customFormat="false" ht="15" hidden="false" customHeight="false" outlineLevel="0" collapsed="false">
      <c r="E261" s="33"/>
      <c r="F261" s="33"/>
    </row>
    <row r="262" customFormat="false" ht="15" hidden="false" customHeight="false" outlineLevel="0" collapsed="false">
      <c r="E262" s="33"/>
      <c r="F262" s="33"/>
    </row>
    <row r="263" customFormat="false" ht="15" hidden="false" customHeight="false" outlineLevel="0" collapsed="false">
      <c r="E263" s="33"/>
      <c r="F263" s="33"/>
    </row>
    <row r="264" customFormat="false" ht="15" hidden="false" customHeight="false" outlineLevel="0" collapsed="false">
      <c r="E264" s="33"/>
      <c r="F264" s="33"/>
    </row>
    <row r="265" customFormat="false" ht="15" hidden="false" customHeight="false" outlineLevel="0" collapsed="false">
      <c r="E265" s="33"/>
      <c r="F265" s="33"/>
    </row>
    <row r="266" customFormat="false" ht="15" hidden="false" customHeight="false" outlineLevel="0" collapsed="false">
      <c r="E266" s="33"/>
      <c r="F266" s="33"/>
    </row>
    <row r="267" customFormat="false" ht="15" hidden="false" customHeight="false" outlineLevel="0" collapsed="false">
      <c r="E267" s="33"/>
      <c r="F267" s="33"/>
    </row>
    <row r="268" customFormat="false" ht="15" hidden="false" customHeight="false" outlineLevel="0" collapsed="false">
      <c r="E268" s="33"/>
      <c r="F268" s="33"/>
    </row>
    <row r="269" customFormat="false" ht="15" hidden="false" customHeight="false" outlineLevel="0" collapsed="false">
      <c r="E269" s="33"/>
      <c r="F269" s="33"/>
    </row>
    <row r="270" customFormat="false" ht="15" hidden="false" customHeight="false" outlineLevel="0" collapsed="false">
      <c r="E270" s="33"/>
      <c r="F270" s="33"/>
    </row>
    <row r="271" customFormat="false" ht="15" hidden="false" customHeight="false" outlineLevel="0" collapsed="false">
      <c r="E271" s="33"/>
      <c r="F271" s="33"/>
    </row>
    <row r="272" customFormat="false" ht="15" hidden="false" customHeight="false" outlineLevel="0" collapsed="false">
      <c r="E272" s="33"/>
      <c r="F272" s="33"/>
    </row>
    <row r="273" customFormat="false" ht="15" hidden="false" customHeight="false" outlineLevel="0" collapsed="false">
      <c r="E273" s="33"/>
      <c r="F273" s="33"/>
    </row>
    <row r="274" customFormat="false" ht="15" hidden="false" customHeight="false" outlineLevel="0" collapsed="false">
      <c r="E274" s="33"/>
      <c r="F274" s="33"/>
    </row>
    <row r="275" customFormat="false" ht="15" hidden="false" customHeight="false" outlineLevel="0" collapsed="false">
      <c r="E275" s="33"/>
      <c r="F275" s="33"/>
    </row>
    <row r="276" customFormat="false" ht="15" hidden="false" customHeight="false" outlineLevel="0" collapsed="false">
      <c r="E276" s="33"/>
      <c r="F276" s="33"/>
    </row>
    <row r="277" customFormat="false" ht="15" hidden="false" customHeight="false" outlineLevel="0" collapsed="false">
      <c r="E277" s="33"/>
      <c r="F277" s="33"/>
    </row>
    <row r="278" customFormat="false" ht="15" hidden="false" customHeight="false" outlineLevel="0" collapsed="false">
      <c r="E278" s="33"/>
      <c r="F278" s="33"/>
    </row>
    <row r="279" customFormat="false" ht="15" hidden="false" customHeight="false" outlineLevel="0" collapsed="false">
      <c r="E279" s="33"/>
      <c r="F279" s="33"/>
    </row>
    <row r="280" customFormat="false" ht="15" hidden="false" customHeight="false" outlineLevel="0" collapsed="false">
      <c r="E280" s="33"/>
      <c r="F280" s="33"/>
    </row>
    <row r="281" customFormat="false" ht="15" hidden="false" customHeight="false" outlineLevel="0" collapsed="false">
      <c r="E281" s="33"/>
      <c r="F281" s="33"/>
    </row>
    <row r="282" customFormat="false" ht="15" hidden="false" customHeight="false" outlineLevel="0" collapsed="false">
      <c r="E282" s="33"/>
      <c r="F282" s="33"/>
    </row>
    <row r="283" customFormat="false" ht="15" hidden="false" customHeight="false" outlineLevel="0" collapsed="false">
      <c r="E283" s="33"/>
      <c r="F283" s="33"/>
    </row>
    <row r="284" customFormat="false" ht="15" hidden="false" customHeight="false" outlineLevel="0" collapsed="false">
      <c r="E284" s="33"/>
      <c r="F284" s="33"/>
    </row>
    <row r="285" customFormat="false" ht="15" hidden="false" customHeight="false" outlineLevel="0" collapsed="false">
      <c r="E285" s="33"/>
      <c r="F285" s="33"/>
    </row>
    <row r="286" customFormat="false" ht="15" hidden="false" customHeight="false" outlineLevel="0" collapsed="false">
      <c r="E286" s="33"/>
      <c r="F286" s="33"/>
    </row>
    <row r="287" customFormat="false" ht="15" hidden="false" customHeight="false" outlineLevel="0" collapsed="false">
      <c r="E287" s="33"/>
      <c r="F287" s="33"/>
    </row>
    <row r="288" customFormat="false" ht="15" hidden="false" customHeight="false" outlineLevel="0" collapsed="false">
      <c r="E288" s="33"/>
      <c r="F288" s="33"/>
    </row>
    <row r="289" customFormat="false" ht="15" hidden="false" customHeight="false" outlineLevel="0" collapsed="false">
      <c r="E289" s="33"/>
      <c r="F289" s="33"/>
    </row>
    <row r="290" customFormat="false" ht="15" hidden="false" customHeight="false" outlineLevel="0" collapsed="false">
      <c r="E290" s="33"/>
      <c r="F290" s="33"/>
    </row>
    <row r="291" customFormat="false" ht="15" hidden="false" customHeight="false" outlineLevel="0" collapsed="false">
      <c r="E291" s="33"/>
      <c r="F291" s="33"/>
    </row>
    <row r="292" customFormat="false" ht="15" hidden="false" customHeight="false" outlineLevel="0" collapsed="false">
      <c r="E292" s="33"/>
      <c r="F292" s="33"/>
    </row>
    <row r="293" customFormat="false" ht="15" hidden="false" customHeight="false" outlineLevel="0" collapsed="false">
      <c r="E293" s="33"/>
      <c r="F293" s="33"/>
    </row>
    <row r="294" customFormat="false" ht="15" hidden="false" customHeight="false" outlineLevel="0" collapsed="false">
      <c r="E294" s="33"/>
      <c r="F294" s="33"/>
    </row>
    <row r="295" customFormat="false" ht="15" hidden="false" customHeight="false" outlineLevel="0" collapsed="false">
      <c r="E295" s="33"/>
      <c r="F295" s="33"/>
    </row>
    <row r="296" customFormat="false" ht="15" hidden="false" customHeight="false" outlineLevel="0" collapsed="false">
      <c r="E296" s="33"/>
      <c r="F296" s="33"/>
    </row>
    <row r="297" customFormat="false" ht="15" hidden="false" customHeight="false" outlineLevel="0" collapsed="false">
      <c r="E297" s="33"/>
      <c r="F297" s="33"/>
    </row>
    <row r="298" customFormat="false" ht="15" hidden="false" customHeight="false" outlineLevel="0" collapsed="false">
      <c r="E298" s="33"/>
      <c r="F298" s="33"/>
    </row>
    <row r="299" customFormat="false" ht="15" hidden="false" customHeight="false" outlineLevel="0" collapsed="false">
      <c r="E299" s="33"/>
      <c r="F299" s="33"/>
    </row>
    <row r="300" customFormat="false" ht="15" hidden="false" customHeight="false" outlineLevel="0" collapsed="false">
      <c r="E300" s="33"/>
      <c r="F300" s="33"/>
    </row>
    <row r="301" customFormat="false" ht="15" hidden="false" customHeight="false" outlineLevel="0" collapsed="false">
      <c r="E301" s="33"/>
      <c r="F301" s="33"/>
    </row>
    <row r="302" customFormat="false" ht="15" hidden="false" customHeight="false" outlineLevel="0" collapsed="false">
      <c r="E302" s="33"/>
      <c r="F302" s="33"/>
    </row>
    <row r="303" customFormat="false" ht="15" hidden="false" customHeight="false" outlineLevel="0" collapsed="false">
      <c r="E303" s="33"/>
      <c r="F303" s="33"/>
    </row>
    <row r="304" customFormat="false" ht="15" hidden="false" customHeight="false" outlineLevel="0" collapsed="false">
      <c r="E304" s="33"/>
      <c r="F304" s="33"/>
    </row>
    <row r="305" customFormat="false" ht="15" hidden="false" customHeight="false" outlineLevel="0" collapsed="false">
      <c r="E305" s="33"/>
      <c r="F305" s="33"/>
    </row>
    <row r="306" customFormat="false" ht="15" hidden="false" customHeight="false" outlineLevel="0" collapsed="false">
      <c r="E306" s="33"/>
      <c r="F306" s="33"/>
    </row>
    <row r="307" customFormat="false" ht="15" hidden="false" customHeight="false" outlineLevel="0" collapsed="false">
      <c r="E307" s="33"/>
      <c r="F307" s="33"/>
    </row>
    <row r="308" customFormat="false" ht="15" hidden="false" customHeight="false" outlineLevel="0" collapsed="false">
      <c r="E308" s="33"/>
      <c r="F308" s="33"/>
    </row>
    <row r="309" customFormat="false" ht="15" hidden="false" customHeight="false" outlineLevel="0" collapsed="false">
      <c r="E309" s="33"/>
      <c r="F309" s="33"/>
    </row>
    <row r="310" customFormat="false" ht="15" hidden="false" customHeight="false" outlineLevel="0" collapsed="false">
      <c r="E310" s="33"/>
      <c r="F310" s="33"/>
    </row>
    <row r="311" customFormat="false" ht="15" hidden="false" customHeight="false" outlineLevel="0" collapsed="false">
      <c r="E311" s="33"/>
      <c r="F311" s="33"/>
    </row>
    <row r="312" customFormat="false" ht="15" hidden="false" customHeight="false" outlineLevel="0" collapsed="false">
      <c r="E312" s="33"/>
      <c r="F312" s="33"/>
    </row>
    <row r="313" customFormat="false" ht="15" hidden="false" customHeight="false" outlineLevel="0" collapsed="false">
      <c r="E313" s="33"/>
      <c r="F313" s="33"/>
    </row>
    <row r="314" customFormat="false" ht="15" hidden="false" customHeight="false" outlineLevel="0" collapsed="false">
      <c r="E314" s="33"/>
      <c r="F314" s="33"/>
    </row>
    <row r="315" customFormat="false" ht="15" hidden="false" customHeight="false" outlineLevel="0" collapsed="false">
      <c r="E315" s="33"/>
      <c r="F315" s="33"/>
    </row>
    <row r="316" customFormat="false" ht="15" hidden="false" customHeight="false" outlineLevel="0" collapsed="false">
      <c r="E316" s="33"/>
      <c r="F316" s="33"/>
    </row>
    <row r="317" customFormat="false" ht="15" hidden="false" customHeight="false" outlineLevel="0" collapsed="false">
      <c r="E317" s="33"/>
      <c r="F317" s="33"/>
    </row>
    <row r="318" customFormat="false" ht="15" hidden="false" customHeight="false" outlineLevel="0" collapsed="false">
      <c r="E318" s="33"/>
      <c r="F318" s="33"/>
    </row>
    <row r="319" customFormat="false" ht="15" hidden="false" customHeight="false" outlineLevel="0" collapsed="false">
      <c r="E319" s="33"/>
      <c r="F319" s="33"/>
    </row>
    <row r="320" customFormat="false" ht="15" hidden="false" customHeight="false" outlineLevel="0" collapsed="false">
      <c r="E320" s="33"/>
      <c r="F320" s="33"/>
    </row>
    <row r="321" customFormat="false" ht="15" hidden="false" customHeight="false" outlineLevel="0" collapsed="false">
      <c r="E321" s="33"/>
      <c r="F321" s="33"/>
    </row>
    <row r="322" customFormat="false" ht="15" hidden="false" customHeight="false" outlineLevel="0" collapsed="false">
      <c r="E322" s="33"/>
      <c r="F322" s="33"/>
    </row>
    <row r="323" customFormat="false" ht="15" hidden="false" customHeight="false" outlineLevel="0" collapsed="false">
      <c r="E323" s="33"/>
      <c r="F323" s="33"/>
    </row>
    <row r="324" customFormat="false" ht="15" hidden="false" customHeight="false" outlineLevel="0" collapsed="false">
      <c r="E324" s="33"/>
      <c r="F324" s="33"/>
    </row>
    <row r="325" customFormat="false" ht="15" hidden="false" customHeight="false" outlineLevel="0" collapsed="false">
      <c r="E325" s="33"/>
      <c r="F325" s="33"/>
    </row>
    <row r="326" customFormat="false" ht="15" hidden="false" customHeight="false" outlineLevel="0" collapsed="false">
      <c r="E326" s="33"/>
      <c r="F326" s="33"/>
    </row>
    <row r="327" customFormat="false" ht="15" hidden="false" customHeight="false" outlineLevel="0" collapsed="false">
      <c r="E327" s="33"/>
      <c r="F327" s="33"/>
    </row>
    <row r="328" customFormat="false" ht="15" hidden="false" customHeight="false" outlineLevel="0" collapsed="false">
      <c r="E328" s="33"/>
      <c r="F328" s="33"/>
    </row>
    <row r="329" customFormat="false" ht="15" hidden="false" customHeight="false" outlineLevel="0" collapsed="false">
      <c r="E329" s="33"/>
      <c r="F329" s="33"/>
    </row>
    <row r="330" customFormat="false" ht="15" hidden="false" customHeight="false" outlineLevel="0" collapsed="false">
      <c r="E330" s="33"/>
      <c r="F330" s="33"/>
    </row>
    <row r="331" customFormat="false" ht="15" hidden="false" customHeight="false" outlineLevel="0" collapsed="false">
      <c r="E331" s="33"/>
      <c r="F331" s="33"/>
    </row>
    <row r="332" customFormat="false" ht="15" hidden="false" customHeight="false" outlineLevel="0" collapsed="false">
      <c r="E332" s="33"/>
      <c r="F332" s="33"/>
    </row>
    <row r="333" customFormat="false" ht="15" hidden="false" customHeight="false" outlineLevel="0" collapsed="false">
      <c r="E333" s="33"/>
      <c r="F333" s="33"/>
    </row>
    <row r="334" customFormat="false" ht="15" hidden="false" customHeight="false" outlineLevel="0" collapsed="false">
      <c r="E334" s="33"/>
      <c r="F334" s="33"/>
    </row>
    <row r="335" customFormat="false" ht="15" hidden="false" customHeight="false" outlineLevel="0" collapsed="false">
      <c r="E335" s="33"/>
      <c r="F335" s="33"/>
    </row>
    <row r="336" customFormat="false" ht="15" hidden="false" customHeight="false" outlineLevel="0" collapsed="false">
      <c r="E336" s="33"/>
      <c r="F336" s="33"/>
    </row>
    <row r="337" customFormat="false" ht="15" hidden="false" customHeight="false" outlineLevel="0" collapsed="false">
      <c r="E337" s="33"/>
      <c r="F337" s="33"/>
    </row>
    <row r="338" customFormat="false" ht="15" hidden="false" customHeight="false" outlineLevel="0" collapsed="false">
      <c r="E338" s="33"/>
      <c r="F338" s="33"/>
    </row>
    <row r="339" customFormat="false" ht="15" hidden="false" customHeight="false" outlineLevel="0" collapsed="false">
      <c r="E339" s="33"/>
      <c r="F339" s="33"/>
    </row>
    <row r="340" customFormat="false" ht="15" hidden="false" customHeight="false" outlineLevel="0" collapsed="false">
      <c r="E340" s="33"/>
      <c r="F340" s="33"/>
    </row>
    <row r="341" customFormat="false" ht="15" hidden="false" customHeight="false" outlineLevel="0" collapsed="false">
      <c r="E341" s="33"/>
      <c r="F341" s="33"/>
    </row>
    <row r="342" customFormat="false" ht="15" hidden="false" customHeight="false" outlineLevel="0" collapsed="false">
      <c r="E342" s="33"/>
      <c r="F342" s="33"/>
    </row>
    <row r="343" customFormat="false" ht="15" hidden="false" customHeight="false" outlineLevel="0" collapsed="false">
      <c r="E343" s="33"/>
      <c r="F343" s="33"/>
    </row>
    <row r="344" customFormat="false" ht="15" hidden="false" customHeight="false" outlineLevel="0" collapsed="false">
      <c r="E344" s="33"/>
      <c r="F344" s="33"/>
    </row>
    <row r="345" customFormat="false" ht="15" hidden="false" customHeight="false" outlineLevel="0" collapsed="false">
      <c r="E345" s="33"/>
      <c r="F345" s="33"/>
    </row>
    <row r="346" customFormat="false" ht="15" hidden="false" customHeight="false" outlineLevel="0" collapsed="false">
      <c r="E346" s="33"/>
      <c r="F346" s="33"/>
    </row>
    <row r="347" customFormat="false" ht="15" hidden="false" customHeight="false" outlineLevel="0" collapsed="false">
      <c r="E347" s="33"/>
      <c r="F347" s="33"/>
    </row>
    <row r="348" customFormat="false" ht="15" hidden="false" customHeight="false" outlineLevel="0" collapsed="false">
      <c r="E348" s="33"/>
      <c r="F348" s="33"/>
    </row>
    <row r="349" customFormat="false" ht="15" hidden="false" customHeight="false" outlineLevel="0" collapsed="false">
      <c r="E349" s="33"/>
      <c r="F349" s="33"/>
    </row>
    <row r="350" customFormat="false" ht="15" hidden="false" customHeight="false" outlineLevel="0" collapsed="false">
      <c r="E350" s="33"/>
      <c r="F350" s="33"/>
    </row>
    <row r="351" customFormat="false" ht="15" hidden="false" customHeight="false" outlineLevel="0" collapsed="false">
      <c r="E351" s="33"/>
      <c r="F351" s="33"/>
    </row>
    <row r="352" customFormat="false" ht="15" hidden="false" customHeight="false" outlineLevel="0" collapsed="false">
      <c r="E352" s="33"/>
      <c r="F352" s="33"/>
    </row>
    <row r="353" customFormat="false" ht="15" hidden="false" customHeight="false" outlineLevel="0" collapsed="false">
      <c r="E353" s="33"/>
      <c r="F353" s="33"/>
    </row>
    <row r="354" customFormat="false" ht="15" hidden="false" customHeight="false" outlineLevel="0" collapsed="false">
      <c r="E354" s="33"/>
      <c r="F354" s="33"/>
    </row>
    <row r="355" customFormat="false" ht="15" hidden="false" customHeight="false" outlineLevel="0" collapsed="false">
      <c r="E355" s="33"/>
      <c r="F355" s="33"/>
    </row>
    <row r="356" customFormat="false" ht="15" hidden="false" customHeight="false" outlineLevel="0" collapsed="false">
      <c r="E356" s="33"/>
      <c r="F356" s="33"/>
    </row>
    <row r="357" customFormat="false" ht="15" hidden="false" customHeight="false" outlineLevel="0" collapsed="false">
      <c r="E357" s="33"/>
      <c r="F357" s="33"/>
    </row>
    <row r="358" customFormat="false" ht="15" hidden="false" customHeight="false" outlineLevel="0" collapsed="false">
      <c r="E358" s="33"/>
      <c r="F358" s="33"/>
    </row>
    <row r="359" customFormat="false" ht="15" hidden="false" customHeight="false" outlineLevel="0" collapsed="false">
      <c r="E359" s="33"/>
      <c r="F359" s="33"/>
    </row>
    <row r="360" customFormat="false" ht="15" hidden="false" customHeight="false" outlineLevel="0" collapsed="false">
      <c r="E360" s="33"/>
      <c r="F360" s="33"/>
    </row>
    <row r="361" customFormat="false" ht="15" hidden="false" customHeight="false" outlineLevel="0" collapsed="false">
      <c r="E361" s="33"/>
      <c r="F361" s="33"/>
    </row>
    <row r="362" customFormat="false" ht="15" hidden="false" customHeight="false" outlineLevel="0" collapsed="false">
      <c r="E362" s="33"/>
      <c r="F362" s="33"/>
    </row>
    <row r="363" customFormat="false" ht="15" hidden="false" customHeight="false" outlineLevel="0" collapsed="false">
      <c r="E363" s="33"/>
      <c r="F363" s="33"/>
    </row>
    <row r="364" customFormat="false" ht="15" hidden="false" customHeight="false" outlineLevel="0" collapsed="false">
      <c r="E364" s="33"/>
      <c r="F364" s="33"/>
    </row>
    <row r="365" customFormat="false" ht="15" hidden="false" customHeight="false" outlineLevel="0" collapsed="false">
      <c r="E365" s="33"/>
      <c r="F365" s="33"/>
    </row>
    <row r="366" customFormat="false" ht="15" hidden="false" customHeight="false" outlineLevel="0" collapsed="false">
      <c r="E366" s="33"/>
      <c r="F366" s="33"/>
    </row>
    <row r="367" customFormat="false" ht="15" hidden="false" customHeight="false" outlineLevel="0" collapsed="false">
      <c r="E367" s="33"/>
      <c r="F367" s="33"/>
    </row>
    <row r="368" customFormat="false" ht="15" hidden="false" customHeight="false" outlineLevel="0" collapsed="false">
      <c r="E368" s="33"/>
      <c r="F368" s="33"/>
    </row>
    <row r="369" customFormat="false" ht="15" hidden="false" customHeight="false" outlineLevel="0" collapsed="false">
      <c r="E369" s="33"/>
      <c r="F369" s="33"/>
    </row>
    <row r="370" customFormat="false" ht="15" hidden="false" customHeight="false" outlineLevel="0" collapsed="false">
      <c r="E370" s="33"/>
      <c r="F370" s="33"/>
    </row>
    <row r="371" customFormat="false" ht="15" hidden="false" customHeight="false" outlineLevel="0" collapsed="false">
      <c r="E371" s="33"/>
      <c r="F371" s="33"/>
    </row>
    <row r="372" customFormat="false" ht="15" hidden="false" customHeight="false" outlineLevel="0" collapsed="false">
      <c r="E372" s="33"/>
      <c r="F372" s="33"/>
    </row>
    <row r="373" customFormat="false" ht="15" hidden="false" customHeight="false" outlineLevel="0" collapsed="false">
      <c r="E373" s="33"/>
      <c r="F373" s="33"/>
    </row>
    <row r="374" customFormat="false" ht="15" hidden="false" customHeight="false" outlineLevel="0" collapsed="false">
      <c r="E374" s="33"/>
      <c r="F374" s="33"/>
    </row>
    <row r="375" customFormat="false" ht="15" hidden="false" customHeight="false" outlineLevel="0" collapsed="false">
      <c r="E375" s="33"/>
      <c r="F375" s="33"/>
    </row>
    <row r="376" customFormat="false" ht="15" hidden="false" customHeight="false" outlineLevel="0" collapsed="false">
      <c r="E376" s="33"/>
      <c r="F376" s="33"/>
    </row>
    <row r="377" customFormat="false" ht="15" hidden="false" customHeight="false" outlineLevel="0" collapsed="false">
      <c r="E377" s="33"/>
      <c r="F377" s="33"/>
    </row>
    <row r="378" customFormat="false" ht="15" hidden="false" customHeight="false" outlineLevel="0" collapsed="false">
      <c r="E378" s="33"/>
      <c r="F378" s="33"/>
    </row>
    <row r="379" customFormat="false" ht="15" hidden="false" customHeight="false" outlineLevel="0" collapsed="false">
      <c r="E379" s="33"/>
      <c r="F379" s="33"/>
    </row>
    <row r="380" customFormat="false" ht="15" hidden="false" customHeight="false" outlineLevel="0" collapsed="false">
      <c r="E380" s="33"/>
      <c r="F380" s="33"/>
    </row>
    <row r="381" customFormat="false" ht="15" hidden="false" customHeight="false" outlineLevel="0" collapsed="false">
      <c r="E381" s="33"/>
      <c r="F381" s="33"/>
    </row>
    <row r="382" customFormat="false" ht="15" hidden="false" customHeight="false" outlineLevel="0" collapsed="false">
      <c r="E382" s="33"/>
      <c r="F382" s="33"/>
    </row>
    <row r="383" customFormat="false" ht="15" hidden="false" customHeight="false" outlineLevel="0" collapsed="false">
      <c r="E383" s="33"/>
      <c r="F383" s="33"/>
    </row>
    <row r="384" customFormat="false" ht="15" hidden="false" customHeight="false" outlineLevel="0" collapsed="false">
      <c r="E384" s="33"/>
      <c r="F384" s="33"/>
    </row>
    <row r="385" customFormat="false" ht="15" hidden="false" customHeight="false" outlineLevel="0" collapsed="false">
      <c r="E385" s="33"/>
      <c r="F385" s="33"/>
    </row>
    <row r="386" customFormat="false" ht="15" hidden="false" customHeight="false" outlineLevel="0" collapsed="false">
      <c r="E386" s="33"/>
      <c r="F386" s="33"/>
    </row>
    <row r="387" customFormat="false" ht="15" hidden="false" customHeight="false" outlineLevel="0" collapsed="false">
      <c r="E387" s="33"/>
      <c r="F387" s="33"/>
    </row>
    <row r="388" customFormat="false" ht="15" hidden="false" customHeight="false" outlineLevel="0" collapsed="false">
      <c r="E388" s="33"/>
      <c r="F388" s="33"/>
    </row>
    <row r="389" customFormat="false" ht="15" hidden="false" customHeight="false" outlineLevel="0" collapsed="false">
      <c r="E389" s="33"/>
      <c r="F389" s="33"/>
    </row>
    <row r="390" customFormat="false" ht="15" hidden="false" customHeight="false" outlineLevel="0" collapsed="false">
      <c r="E390" s="33"/>
      <c r="F390" s="33"/>
    </row>
    <row r="391" customFormat="false" ht="15" hidden="false" customHeight="false" outlineLevel="0" collapsed="false">
      <c r="E391" s="33"/>
      <c r="F391" s="33"/>
    </row>
    <row r="392" customFormat="false" ht="15" hidden="false" customHeight="false" outlineLevel="0" collapsed="false">
      <c r="E392" s="33"/>
      <c r="F392" s="33"/>
    </row>
    <row r="393" customFormat="false" ht="15" hidden="false" customHeight="false" outlineLevel="0" collapsed="false">
      <c r="E393" s="33"/>
      <c r="F393" s="33"/>
    </row>
    <row r="394" customFormat="false" ht="15" hidden="false" customHeight="false" outlineLevel="0" collapsed="false">
      <c r="E394" s="33"/>
      <c r="F394" s="33"/>
    </row>
    <row r="395" customFormat="false" ht="15" hidden="false" customHeight="false" outlineLevel="0" collapsed="false">
      <c r="E395" s="33"/>
      <c r="F395" s="33"/>
    </row>
    <row r="396" customFormat="false" ht="15" hidden="false" customHeight="false" outlineLevel="0" collapsed="false">
      <c r="E396" s="33"/>
      <c r="F396" s="33"/>
    </row>
    <row r="397" customFormat="false" ht="15" hidden="false" customHeight="false" outlineLevel="0" collapsed="false">
      <c r="E397" s="33"/>
      <c r="F397" s="33"/>
    </row>
    <row r="398" customFormat="false" ht="15" hidden="false" customHeight="false" outlineLevel="0" collapsed="false">
      <c r="E398" s="33"/>
      <c r="F398" s="33"/>
    </row>
    <row r="399" customFormat="false" ht="15" hidden="false" customHeight="false" outlineLevel="0" collapsed="false">
      <c r="E399" s="33"/>
      <c r="F399" s="33"/>
    </row>
    <row r="400" customFormat="false" ht="15" hidden="false" customHeight="false" outlineLevel="0" collapsed="false">
      <c r="E400" s="33"/>
      <c r="F400" s="33"/>
    </row>
    <row r="401" customFormat="false" ht="15" hidden="false" customHeight="false" outlineLevel="0" collapsed="false">
      <c r="E401" s="33"/>
      <c r="F401" s="33"/>
    </row>
    <row r="402" customFormat="false" ht="15" hidden="false" customHeight="false" outlineLevel="0" collapsed="false">
      <c r="E402" s="33"/>
      <c r="F402" s="33"/>
    </row>
    <row r="403" customFormat="false" ht="15" hidden="false" customHeight="false" outlineLevel="0" collapsed="false">
      <c r="E403" s="33"/>
      <c r="F403" s="33"/>
    </row>
    <row r="404" customFormat="false" ht="15" hidden="false" customHeight="false" outlineLevel="0" collapsed="false">
      <c r="E404" s="33"/>
      <c r="F404" s="33"/>
    </row>
    <row r="405" customFormat="false" ht="15" hidden="false" customHeight="false" outlineLevel="0" collapsed="false">
      <c r="E405" s="33"/>
      <c r="F405" s="33"/>
    </row>
    <row r="406" customFormat="false" ht="15" hidden="false" customHeight="false" outlineLevel="0" collapsed="false">
      <c r="E406" s="33"/>
      <c r="F406" s="33"/>
    </row>
    <row r="407" customFormat="false" ht="15" hidden="false" customHeight="false" outlineLevel="0" collapsed="false">
      <c r="E407" s="33"/>
      <c r="F407" s="33"/>
    </row>
    <row r="408" customFormat="false" ht="15" hidden="false" customHeight="false" outlineLevel="0" collapsed="false">
      <c r="E408" s="33"/>
      <c r="F408" s="33"/>
    </row>
    <row r="409" customFormat="false" ht="15" hidden="false" customHeight="false" outlineLevel="0" collapsed="false">
      <c r="E409" s="33"/>
      <c r="F409" s="33"/>
    </row>
    <row r="410" customFormat="false" ht="15" hidden="false" customHeight="false" outlineLevel="0" collapsed="false">
      <c r="E410" s="33"/>
      <c r="F410" s="33"/>
    </row>
    <row r="411" customFormat="false" ht="15" hidden="false" customHeight="false" outlineLevel="0" collapsed="false">
      <c r="E411" s="33"/>
      <c r="F411" s="33"/>
    </row>
    <row r="412" customFormat="false" ht="15" hidden="false" customHeight="false" outlineLevel="0" collapsed="false">
      <c r="E412" s="33"/>
      <c r="F412" s="33"/>
    </row>
    <row r="413" customFormat="false" ht="15" hidden="false" customHeight="false" outlineLevel="0" collapsed="false">
      <c r="E413" s="33"/>
      <c r="F413" s="33"/>
    </row>
    <row r="414" customFormat="false" ht="15" hidden="false" customHeight="false" outlineLevel="0" collapsed="false">
      <c r="E414" s="33"/>
      <c r="F414" s="33"/>
    </row>
    <row r="415" customFormat="false" ht="15" hidden="false" customHeight="false" outlineLevel="0" collapsed="false">
      <c r="E415" s="33"/>
      <c r="F415" s="33"/>
    </row>
    <row r="416" customFormat="false" ht="15" hidden="false" customHeight="false" outlineLevel="0" collapsed="false">
      <c r="E416" s="33"/>
      <c r="F416" s="33"/>
    </row>
    <row r="417" customFormat="false" ht="15" hidden="false" customHeight="false" outlineLevel="0" collapsed="false">
      <c r="E417" s="33"/>
      <c r="F417" s="33"/>
    </row>
    <row r="418" customFormat="false" ht="15" hidden="false" customHeight="false" outlineLevel="0" collapsed="false">
      <c r="E418" s="33"/>
      <c r="F418" s="33"/>
    </row>
    <row r="419" customFormat="false" ht="15" hidden="false" customHeight="false" outlineLevel="0" collapsed="false">
      <c r="E419" s="33"/>
      <c r="F419" s="33"/>
    </row>
    <row r="420" customFormat="false" ht="15" hidden="false" customHeight="false" outlineLevel="0" collapsed="false">
      <c r="E420" s="33"/>
      <c r="F420" s="33"/>
    </row>
    <row r="421" customFormat="false" ht="15" hidden="false" customHeight="false" outlineLevel="0" collapsed="false">
      <c r="E421" s="33"/>
      <c r="F421" s="33"/>
    </row>
    <row r="422" customFormat="false" ht="15" hidden="false" customHeight="false" outlineLevel="0" collapsed="false">
      <c r="E422" s="33"/>
      <c r="F422" s="33"/>
    </row>
    <row r="423" customFormat="false" ht="15" hidden="false" customHeight="false" outlineLevel="0" collapsed="false">
      <c r="E423" s="33"/>
      <c r="F423" s="33"/>
    </row>
    <row r="424" customFormat="false" ht="15" hidden="false" customHeight="false" outlineLevel="0" collapsed="false">
      <c r="E424" s="33"/>
      <c r="F424" s="33"/>
    </row>
    <row r="425" customFormat="false" ht="15" hidden="false" customHeight="false" outlineLevel="0" collapsed="false">
      <c r="E425" s="33"/>
      <c r="F425" s="33"/>
    </row>
    <row r="426" customFormat="false" ht="15" hidden="false" customHeight="false" outlineLevel="0" collapsed="false">
      <c r="E426" s="33"/>
      <c r="F426" s="33"/>
    </row>
    <row r="427" customFormat="false" ht="15" hidden="false" customHeight="false" outlineLevel="0" collapsed="false">
      <c r="E427" s="33"/>
      <c r="F427" s="33"/>
    </row>
    <row r="428" customFormat="false" ht="15" hidden="false" customHeight="false" outlineLevel="0" collapsed="false">
      <c r="E428" s="33"/>
      <c r="F428" s="33"/>
    </row>
    <row r="429" customFormat="false" ht="15" hidden="false" customHeight="false" outlineLevel="0" collapsed="false">
      <c r="E429" s="33"/>
      <c r="F429" s="33"/>
    </row>
    <row r="430" customFormat="false" ht="15" hidden="false" customHeight="false" outlineLevel="0" collapsed="false">
      <c r="E430" s="33"/>
      <c r="F430" s="33"/>
    </row>
    <row r="431" customFormat="false" ht="15" hidden="false" customHeight="false" outlineLevel="0" collapsed="false">
      <c r="E431" s="33"/>
      <c r="F431" s="33"/>
    </row>
    <row r="432" customFormat="false" ht="15" hidden="false" customHeight="false" outlineLevel="0" collapsed="false">
      <c r="E432" s="33"/>
      <c r="F432" s="33"/>
    </row>
    <row r="433" customFormat="false" ht="15" hidden="false" customHeight="false" outlineLevel="0" collapsed="false">
      <c r="E433" s="33"/>
      <c r="F433" s="33"/>
    </row>
    <row r="434" customFormat="false" ht="15" hidden="false" customHeight="false" outlineLevel="0" collapsed="false">
      <c r="E434" s="33"/>
      <c r="F434" s="33"/>
    </row>
    <row r="435" customFormat="false" ht="15" hidden="false" customHeight="false" outlineLevel="0" collapsed="false">
      <c r="E435" s="33"/>
      <c r="F435" s="33"/>
    </row>
    <row r="436" customFormat="false" ht="15" hidden="false" customHeight="false" outlineLevel="0" collapsed="false">
      <c r="E436" s="33"/>
      <c r="F436" s="33"/>
    </row>
    <row r="437" customFormat="false" ht="15" hidden="false" customHeight="false" outlineLevel="0" collapsed="false">
      <c r="E437" s="33"/>
      <c r="F437" s="33"/>
    </row>
    <row r="438" customFormat="false" ht="15" hidden="false" customHeight="false" outlineLevel="0" collapsed="false">
      <c r="E438" s="33"/>
      <c r="F438" s="33"/>
    </row>
    <row r="439" customFormat="false" ht="15" hidden="false" customHeight="false" outlineLevel="0" collapsed="false">
      <c r="E439" s="33"/>
      <c r="F439" s="33"/>
    </row>
    <row r="440" customFormat="false" ht="15" hidden="false" customHeight="false" outlineLevel="0" collapsed="false">
      <c r="E440" s="33"/>
      <c r="F440" s="33"/>
    </row>
    <row r="441" customFormat="false" ht="15" hidden="false" customHeight="false" outlineLevel="0" collapsed="false">
      <c r="E441" s="33"/>
      <c r="F441" s="33"/>
    </row>
    <row r="442" customFormat="false" ht="15" hidden="false" customHeight="false" outlineLevel="0" collapsed="false">
      <c r="E442" s="33"/>
      <c r="F442" s="33"/>
    </row>
    <row r="443" customFormat="false" ht="15" hidden="false" customHeight="false" outlineLevel="0" collapsed="false">
      <c r="E443" s="33"/>
      <c r="F443" s="33"/>
    </row>
    <row r="444" customFormat="false" ht="15" hidden="false" customHeight="false" outlineLevel="0" collapsed="false">
      <c r="E444" s="33"/>
      <c r="F444" s="33"/>
    </row>
    <row r="445" customFormat="false" ht="15" hidden="false" customHeight="false" outlineLevel="0" collapsed="false">
      <c r="E445" s="33"/>
      <c r="F445" s="33"/>
    </row>
    <row r="446" customFormat="false" ht="15" hidden="false" customHeight="false" outlineLevel="0" collapsed="false">
      <c r="E446" s="33"/>
      <c r="F446" s="33"/>
    </row>
    <row r="447" customFormat="false" ht="15" hidden="false" customHeight="false" outlineLevel="0" collapsed="false">
      <c r="E447" s="33"/>
      <c r="F447" s="33"/>
    </row>
    <row r="448" customFormat="false" ht="15" hidden="false" customHeight="false" outlineLevel="0" collapsed="false">
      <c r="E448" s="33"/>
      <c r="F448" s="33"/>
    </row>
    <row r="449" customFormat="false" ht="15" hidden="false" customHeight="false" outlineLevel="0" collapsed="false">
      <c r="E449" s="33"/>
      <c r="F449" s="33"/>
    </row>
    <row r="450" customFormat="false" ht="15" hidden="false" customHeight="false" outlineLevel="0" collapsed="false">
      <c r="E450" s="33"/>
      <c r="F450" s="33"/>
    </row>
    <row r="451" customFormat="false" ht="15" hidden="false" customHeight="false" outlineLevel="0" collapsed="false">
      <c r="E451" s="33"/>
      <c r="F451" s="33"/>
    </row>
    <row r="452" customFormat="false" ht="15" hidden="false" customHeight="false" outlineLevel="0" collapsed="false">
      <c r="E452" s="33"/>
      <c r="F452" s="33"/>
    </row>
    <row r="453" customFormat="false" ht="15" hidden="false" customHeight="false" outlineLevel="0" collapsed="false">
      <c r="E453" s="33"/>
      <c r="F453" s="33"/>
    </row>
    <row r="454" customFormat="false" ht="15" hidden="false" customHeight="false" outlineLevel="0" collapsed="false">
      <c r="E454" s="33"/>
      <c r="F454" s="33"/>
    </row>
    <row r="455" customFormat="false" ht="15" hidden="false" customHeight="false" outlineLevel="0" collapsed="false">
      <c r="E455" s="33"/>
      <c r="F455" s="33"/>
    </row>
    <row r="456" customFormat="false" ht="15" hidden="false" customHeight="false" outlineLevel="0" collapsed="false">
      <c r="E456" s="33"/>
      <c r="F456" s="33"/>
    </row>
    <row r="457" customFormat="false" ht="15" hidden="false" customHeight="false" outlineLevel="0" collapsed="false">
      <c r="E457" s="33"/>
      <c r="F457" s="33"/>
    </row>
    <row r="458" customFormat="false" ht="15" hidden="false" customHeight="false" outlineLevel="0" collapsed="false">
      <c r="E458" s="33"/>
      <c r="F458" s="33"/>
    </row>
    <row r="459" customFormat="false" ht="15" hidden="false" customHeight="false" outlineLevel="0" collapsed="false">
      <c r="E459" s="33"/>
      <c r="F459" s="33"/>
    </row>
    <row r="460" customFormat="false" ht="15" hidden="false" customHeight="false" outlineLevel="0" collapsed="false">
      <c r="E460" s="33"/>
      <c r="F460" s="33"/>
    </row>
    <row r="461" customFormat="false" ht="15" hidden="false" customHeight="false" outlineLevel="0" collapsed="false">
      <c r="E461" s="33"/>
      <c r="F461" s="33"/>
    </row>
    <row r="462" customFormat="false" ht="15" hidden="false" customHeight="false" outlineLevel="0" collapsed="false">
      <c r="E462" s="33"/>
      <c r="F462" s="33"/>
    </row>
    <row r="463" customFormat="false" ht="15" hidden="false" customHeight="false" outlineLevel="0" collapsed="false">
      <c r="E463" s="33"/>
      <c r="F463" s="33"/>
    </row>
    <row r="464" customFormat="false" ht="15" hidden="false" customHeight="false" outlineLevel="0" collapsed="false">
      <c r="E464" s="33"/>
      <c r="F464" s="33"/>
    </row>
    <row r="465" customFormat="false" ht="15" hidden="false" customHeight="false" outlineLevel="0" collapsed="false">
      <c r="E465" s="33"/>
      <c r="F465" s="33"/>
    </row>
    <row r="466" customFormat="false" ht="15" hidden="false" customHeight="false" outlineLevel="0" collapsed="false">
      <c r="E466" s="33"/>
      <c r="F466" s="33"/>
    </row>
    <row r="467" customFormat="false" ht="15" hidden="false" customHeight="false" outlineLevel="0" collapsed="false">
      <c r="E467" s="33"/>
      <c r="F467" s="33"/>
    </row>
    <row r="468" customFormat="false" ht="15" hidden="false" customHeight="false" outlineLevel="0" collapsed="false">
      <c r="E468" s="33"/>
      <c r="F468" s="33"/>
    </row>
    <row r="469" customFormat="false" ht="15" hidden="false" customHeight="false" outlineLevel="0" collapsed="false">
      <c r="E469" s="33"/>
      <c r="F469" s="33"/>
    </row>
    <row r="470" customFormat="false" ht="15" hidden="false" customHeight="false" outlineLevel="0" collapsed="false">
      <c r="E470" s="33"/>
      <c r="F470" s="33"/>
    </row>
    <row r="471" customFormat="false" ht="15" hidden="false" customHeight="false" outlineLevel="0" collapsed="false">
      <c r="E471" s="33"/>
      <c r="F471" s="33"/>
    </row>
    <row r="472" customFormat="false" ht="15" hidden="false" customHeight="false" outlineLevel="0" collapsed="false">
      <c r="E472" s="33"/>
      <c r="F472" s="33"/>
    </row>
    <row r="473" customFormat="false" ht="15" hidden="false" customHeight="false" outlineLevel="0" collapsed="false">
      <c r="E473" s="33"/>
      <c r="F473" s="33"/>
    </row>
    <row r="474" customFormat="false" ht="15" hidden="false" customHeight="false" outlineLevel="0" collapsed="false">
      <c r="E474" s="33"/>
      <c r="F474" s="33"/>
    </row>
    <row r="475" customFormat="false" ht="15" hidden="false" customHeight="false" outlineLevel="0" collapsed="false">
      <c r="E475" s="33"/>
      <c r="F475" s="33"/>
    </row>
    <row r="476" customFormat="false" ht="15" hidden="false" customHeight="false" outlineLevel="0" collapsed="false">
      <c r="E476" s="33"/>
      <c r="F476" s="33"/>
    </row>
    <row r="477" customFormat="false" ht="15" hidden="false" customHeight="false" outlineLevel="0" collapsed="false">
      <c r="E477" s="33"/>
      <c r="F477" s="33"/>
    </row>
    <row r="478" customFormat="false" ht="15" hidden="false" customHeight="false" outlineLevel="0" collapsed="false">
      <c r="E478" s="33"/>
      <c r="F478" s="33"/>
    </row>
    <row r="479" customFormat="false" ht="15" hidden="false" customHeight="false" outlineLevel="0" collapsed="false">
      <c r="E479" s="33"/>
      <c r="F479" s="33"/>
    </row>
    <row r="480" customFormat="false" ht="15" hidden="false" customHeight="false" outlineLevel="0" collapsed="false">
      <c r="E480" s="33"/>
      <c r="F480" s="33"/>
    </row>
    <row r="481" customFormat="false" ht="15" hidden="false" customHeight="false" outlineLevel="0" collapsed="false">
      <c r="E481" s="33"/>
      <c r="F481" s="33"/>
    </row>
    <row r="482" customFormat="false" ht="15" hidden="false" customHeight="false" outlineLevel="0" collapsed="false">
      <c r="E482" s="33"/>
      <c r="F482" s="33"/>
    </row>
    <row r="483" customFormat="false" ht="15" hidden="false" customHeight="false" outlineLevel="0" collapsed="false">
      <c r="E483" s="33"/>
      <c r="F483" s="33"/>
    </row>
    <row r="484" customFormat="false" ht="15" hidden="false" customHeight="false" outlineLevel="0" collapsed="false">
      <c r="E484" s="33"/>
      <c r="F484" s="33"/>
    </row>
    <row r="485" customFormat="false" ht="15" hidden="false" customHeight="false" outlineLevel="0" collapsed="false">
      <c r="E485" s="33"/>
      <c r="F485" s="33"/>
    </row>
    <row r="486" customFormat="false" ht="15" hidden="false" customHeight="false" outlineLevel="0" collapsed="false">
      <c r="E486" s="33"/>
      <c r="F486" s="33"/>
    </row>
    <row r="487" customFormat="false" ht="15" hidden="false" customHeight="false" outlineLevel="0" collapsed="false">
      <c r="E487" s="33"/>
      <c r="F487" s="33"/>
    </row>
    <row r="488" customFormat="false" ht="15" hidden="false" customHeight="false" outlineLevel="0" collapsed="false">
      <c r="E488" s="33"/>
      <c r="F488" s="33"/>
    </row>
    <row r="489" customFormat="false" ht="15" hidden="false" customHeight="false" outlineLevel="0" collapsed="false">
      <c r="E489" s="33"/>
      <c r="F489" s="33"/>
    </row>
    <row r="490" customFormat="false" ht="15" hidden="false" customHeight="false" outlineLevel="0" collapsed="false">
      <c r="E490" s="33"/>
      <c r="F490" s="33"/>
    </row>
    <row r="491" customFormat="false" ht="15" hidden="false" customHeight="false" outlineLevel="0" collapsed="false">
      <c r="E491" s="33"/>
      <c r="F491" s="33"/>
    </row>
    <row r="492" customFormat="false" ht="15" hidden="false" customHeight="false" outlineLevel="0" collapsed="false">
      <c r="E492" s="33"/>
      <c r="F492" s="33"/>
    </row>
    <row r="493" customFormat="false" ht="15" hidden="false" customHeight="false" outlineLevel="0" collapsed="false">
      <c r="E493" s="33"/>
      <c r="F493" s="33"/>
    </row>
    <row r="494" customFormat="false" ht="15" hidden="false" customHeight="false" outlineLevel="0" collapsed="false">
      <c r="E494" s="33"/>
      <c r="F494" s="33"/>
    </row>
    <row r="495" customFormat="false" ht="15" hidden="false" customHeight="false" outlineLevel="0" collapsed="false">
      <c r="E495" s="33"/>
      <c r="F495" s="33"/>
    </row>
    <row r="496" customFormat="false" ht="15" hidden="false" customHeight="false" outlineLevel="0" collapsed="false">
      <c r="E496" s="33"/>
      <c r="F496" s="33"/>
    </row>
    <row r="497" customFormat="false" ht="15" hidden="false" customHeight="false" outlineLevel="0" collapsed="false">
      <c r="E497" s="33"/>
      <c r="F497" s="33"/>
    </row>
    <row r="498" customFormat="false" ht="15" hidden="false" customHeight="false" outlineLevel="0" collapsed="false">
      <c r="E498" s="33"/>
      <c r="F498" s="33"/>
    </row>
    <row r="499" customFormat="false" ht="15" hidden="false" customHeight="false" outlineLevel="0" collapsed="false">
      <c r="E499" s="33"/>
      <c r="F499" s="33"/>
    </row>
    <row r="500" customFormat="false" ht="15" hidden="false" customHeight="false" outlineLevel="0" collapsed="false">
      <c r="E500" s="33"/>
      <c r="F500" s="33"/>
    </row>
    <row r="501" customFormat="false" ht="15" hidden="false" customHeight="false" outlineLevel="0" collapsed="false">
      <c r="E501" s="33"/>
      <c r="F501" s="33"/>
    </row>
    <row r="502" customFormat="false" ht="15" hidden="false" customHeight="false" outlineLevel="0" collapsed="false">
      <c r="E502" s="33"/>
      <c r="F502" s="33"/>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sheetData>
  <mergeCells count="1">
    <mergeCell ref="A1:J1"/>
  </mergeCells>
  <dataValidations count="4">
    <dataValidation allowBlank="true" errorStyle="stop" operator="between" showDropDown="false" showErrorMessage="true" showInputMessage="true" sqref="E3:F1072" type="list">
      <formula1>"Yes,No"</formula1>
      <formula2>0</formula2>
    </dataValidation>
    <dataValidation allowBlank="true" errorStyle="stop" operator="between" showDropDown="false" showErrorMessage="true" showInputMessage="true" sqref="B3:B1072" type="list">
      <formula1>"Male,Female"</formula1>
      <formula2>0</formula2>
    </dataValidation>
    <dataValidation allowBlank="true" errorStyle="stop" operator="between" showDropDown="false" showErrorMessage="true" showInputMessage="true" sqref="C3:C1072" type="list">
      <formula1>"African,Coloured,Indian,White"</formula1>
      <formula2>0</formula2>
    </dataValidation>
    <dataValidation allowBlank="true" errorStyle="stop" operator="between" showDropDown="false" showErrorMessage="true" showInputMessage="true" sqref="D3:D107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384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385</v>
      </c>
      <c r="B2" s="39" t="s">
        <v>386</v>
      </c>
      <c r="C2" s="40" t="s">
        <v>387</v>
      </c>
      <c r="D2" s="40" t="s">
        <v>388</v>
      </c>
      <c r="E2" s="40" t="s">
        <v>389</v>
      </c>
      <c r="F2" s="39" t="s">
        <v>390</v>
      </c>
      <c r="G2" s="41" t="s">
        <v>93</v>
      </c>
      <c r="H2" s="39" t="s">
        <v>88</v>
      </c>
      <c r="I2" s="42" t="s">
        <v>89</v>
      </c>
      <c r="J2" s="43" t="s">
        <v>91</v>
      </c>
      <c r="K2" s="43" t="s">
        <v>92</v>
      </c>
      <c r="L2" s="40" t="s">
        <v>391</v>
      </c>
      <c r="M2" s="40" t="s">
        <v>392</v>
      </c>
      <c r="N2" s="40" t="s">
        <v>393</v>
      </c>
      <c r="O2" s="40" t="s">
        <v>394</v>
      </c>
      <c r="P2" s="43" t="s">
        <v>395</v>
      </c>
      <c r="Q2" s="40" t="s">
        <v>396</v>
      </c>
      <c r="R2" s="40" t="s">
        <v>397</v>
      </c>
      <c r="S2" s="40" t="s">
        <v>398</v>
      </c>
      <c r="T2" s="40" t="s">
        <v>399</v>
      </c>
      <c r="U2" s="40" t="s">
        <v>400</v>
      </c>
      <c r="V2" s="40" t="s">
        <v>401</v>
      </c>
      <c r="W2" s="40" t="s">
        <v>402</v>
      </c>
      <c r="X2" s="40" t="s">
        <v>403</v>
      </c>
      <c r="Y2" s="40" t="s">
        <v>404</v>
      </c>
      <c r="Z2" s="40" t="s">
        <v>405</v>
      </c>
      <c r="AA2" s="44" t="s">
        <v>406</v>
      </c>
      <c r="AB2" s="44" t="s">
        <v>407</v>
      </c>
      <c r="AC2" s="44" t="s">
        <v>408</v>
      </c>
      <c r="AD2" s="44" t="s">
        <v>95</v>
      </c>
      <c r="AMI2" s="35"/>
    </row>
    <row r="3" customFormat="false" ht="12.75" hidden="false" customHeight="false" outlineLevel="0" collapsed="false">
      <c r="A3" s="35" t="s">
        <v>409</v>
      </c>
      <c r="B3" s="35" t="s">
        <v>410</v>
      </c>
      <c r="C3" s="35" t="s">
        <v>411</v>
      </c>
      <c r="D3" s="35" t="s">
        <v>412</v>
      </c>
      <c r="E3" s="35" t="s">
        <v>413</v>
      </c>
      <c r="F3" s="35" t="s">
        <v>414</v>
      </c>
      <c r="G3" s="36" t="s">
        <v>415</v>
      </c>
      <c r="H3" s="35" t="s">
        <v>73</v>
      </c>
      <c r="I3" s="35" t="s">
        <v>72</v>
      </c>
      <c r="J3" s="35" t="s">
        <v>75</v>
      </c>
      <c r="K3" s="35" t="s">
        <v>75</v>
      </c>
      <c r="L3" s="35" t="n">
        <v>58</v>
      </c>
      <c r="M3" s="35" t="s">
        <v>74</v>
      </c>
      <c r="N3" s="35" t="s">
        <v>74</v>
      </c>
      <c r="O3" s="35" t="s">
        <v>75</v>
      </c>
      <c r="P3" s="35" t="n">
        <v>49369</v>
      </c>
      <c r="Q3" s="35" t="n">
        <v>1975</v>
      </c>
      <c r="R3" s="35" t="n">
        <v>0</v>
      </c>
      <c r="S3" s="35" t="n">
        <v>1481</v>
      </c>
      <c r="T3" s="35" t="n">
        <v>987</v>
      </c>
      <c r="U3" s="35" t="n">
        <v>0</v>
      </c>
      <c r="V3" s="35" t="n">
        <v>0</v>
      </c>
      <c r="W3" s="35" t="n">
        <v>0</v>
      </c>
      <c r="X3" s="35" t="s">
        <v>416</v>
      </c>
      <c r="Y3" s="35" t="s">
        <v>417</v>
      </c>
      <c r="AA3" s="35" t="n">
        <v>0</v>
      </c>
      <c r="AB3" s="35" t="s">
        <v>412</v>
      </c>
      <c r="AC3" s="35" t="s">
        <v>418</v>
      </c>
      <c r="AD3" s="35" t="s">
        <v>132</v>
      </c>
    </row>
    <row r="4" customFormat="false" ht="12.75" hidden="false" customHeight="false" outlineLevel="0" collapsed="false">
      <c r="A4" s="35" t="s">
        <v>419</v>
      </c>
      <c r="B4" s="35" t="s">
        <v>420</v>
      </c>
      <c r="C4" s="35" t="s">
        <v>411</v>
      </c>
      <c r="D4" s="35" t="s">
        <v>421</v>
      </c>
      <c r="E4" s="35" t="s">
        <v>422</v>
      </c>
      <c r="F4" s="35" t="s">
        <v>423</v>
      </c>
      <c r="G4" s="36" t="s">
        <v>424</v>
      </c>
      <c r="H4" s="35" t="s">
        <v>73</v>
      </c>
      <c r="I4" s="35" t="s">
        <v>72</v>
      </c>
      <c r="J4" s="35" t="s">
        <v>75</v>
      </c>
      <c r="K4" s="35" t="s">
        <v>75</v>
      </c>
      <c r="L4" s="35" t="n">
        <v>19</v>
      </c>
      <c r="M4" s="35" t="s">
        <v>75</v>
      </c>
      <c r="N4" s="35" t="s">
        <v>74</v>
      </c>
      <c r="O4" s="35" t="s">
        <v>74</v>
      </c>
      <c r="P4" s="35" t="n">
        <v>35725</v>
      </c>
      <c r="Q4" s="35" t="n">
        <v>1429</v>
      </c>
      <c r="R4" s="35" t="n">
        <v>1786</v>
      </c>
      <c r="S4" s="35" t="n">
        <v>1072</v>
      </c>
      <c r="T4" s="35" t="n">
        <v>714</v>
      </c>
      <c r="U4" s="35" t="n">
        <v>2144</v>
      </c>
      <c r="V4" s="35" t="n">
        <v>8931</v>
      </c>
      <c r="W4" s="35" t="n">
        <v>0</v>
      </c>
      <c r="X4" s="35" t="s">
        <v>416</v>
      </c>
      <c r="Y4" s="35" t="s">
        <v>417</v>
      </c>
      <c r="AA4" s="35" t="n">
        <v>1200</v>
      </c>
      <c r="AB4" s="35" t="s">
        <v>421</v>
      </c>
      <c r="AC4" s="35" t="s">
        <v>418</v>
      </c>
    </row>
    <row r="5" customFormat="false" ht="12.75" hidden="false" customHeight="false" outlineLevel="0" collapsed="false">
      <c r="A5" s="35" t="s">
        <v>425</v>
      </c>
      <c r="B5" s="35" t="s">
        <v>426</v>
      </c>
      <c r="C5" s="35" t="s">
        <v>411</v>
      </c>
      <c r="D5" s="35" t="s">
        <v>427</v>
      </c>
      <c r="E5" s="35" t="s">
        <v>428</v>
      </c>
      <c r="F5" s="35" t="s">
        <v>429</v>
      </c>
      <c r="G5" s="36" t="s">
        <v>430</v>
      </c>
      <c r="H5" s="35" t="s">
        <v>73</v>
      </c>
      <c r="I5" s="35" t="s">
        <v>72</v>
      </c>
      <c r="J5" s="35" t="s">
        <v>75</v>
      </c>
      <c r="K5" s="35" t="s">
        <v>75</v>
      </c>
      <c r="L5" s="35" t="n">
        <v>24</v>
      </c>
      <c r="M5" s="35" t="s">
        <v>74</v>
      </c>
      <c r="N5" s="35" t="s">
        <v>74</v>
      </c>
      <c r="O5" s="35" t="s">
        <v>75</v>
      </c>
      <c r="P5" s="35" t="n">
        <v>52589</v>
      </c>
      <c r="Q5" s="35" t="n">
        <v>2104</v>
      </c>
      <c r="R5" s="35" t="n">
        <v>0</v>
      </c>
      <c r="S5" s="35" t="n">
        <v>1578</v>
      </c>
      <c r="T5" s="35" t="n">
        <v>1052</v>
      </c>
      <c r="U5" s="35" t="n">
        <v>3155</v>
      </c>
      <c r="V5" s="35" t="n">
        <v>13147</v>
      </c>
      <c r="W5" s="35" t="n">
        <v>0</v>
      </c>
      <c r="X5" s="35" t="s">
        <v>416</v>
      </c>
      <c r="Y5" s="35" t="s">
        <v>417</v>
      </c>
      <c r="AA5" s="35" t="n">
        <v>480</v>
      </c>
      <c r="AB5" s="35" t="s">
        <v>427</v>
      </c>
      <c r="AC5" s="35" t="s">
        <v>418</v>
      </c>
      <c r="AD5" s="35" t="s">
        <v>215</v>
      </c>
    </row>
    <row r="6" customFormat="false" ht="12.75" hidden="false" customHeight="false" outlineLevel="0" collapsed="false">
      <c r="A6" s="35" t="s">
        <v>431</v>
      </c>
      <c r="B6" s="35" t="s">
        <v>432</v>
      </c>
      <c r="C6" s="35" t="s">
        <v>411</v>
      </c>
      <c r="D6" s="35" t="s">
        <v>433</v>
      </c>
      <c r="E6" s="35" t="s">
        <v>434</v>
      </c>
      <c r="F6" s="35" t="s">
        <v>435</v>
      </c>
      <c r="G6" s="36" t="s">
        <v>436</v>
      </c>
      <c r="H6" s="35" t="s">
        <v>73</v>
      </c>
      <c r="I6" s="35" t="s">
        <v>72</v>
      </c>
      <c r="J6" s="35" t="s">
        <v>75</v>
      </c>
      <c r="K6" s="35" t="s">
        <v>75</v>
      </c>
      <c r="L6" s="35" t="n">
        <v>27</v>
      </c>
      <c r="M6" s="35" t="s">
        <v>75</v>
      </c>
      <c r="N6" s="35" t="s">
        <v>74</v>
      </c>
      <c r="O6" s="35" t="s">
        <v>74</v>
      </c>
      <c r="P6" s="35" t="n">
        <v>34632</v>
      </c>
      <c r="Q6" s="35" t="n">
        <v>1385</v>
      </c>
      <c r="R6" s="35" t="n">
        <v>1732</v>
      </c>
      <c r="S6" s="35" t="n">
        <v>1039</v>
      </c>
      <c r="T6" s="35" t="n">
        <v>693</v>
      </c>
      <c r="U6" s="35" t="n">
        <v>2078</v>
      </c>
      <c r="V6" s="35" t="n">
        <v>8658</v>
      </c>
      <c r="W6" s="35" t="n">
        <v>0</v>
      </c>
      <c r="X6" s="35" t="s">
        <v>416</v>
      </c>
      <c r="Y6" s="35" t="s">
        <v>417</v>
      </c>
      <c r="AA6" s="35" t="n">
        <v>960</v>
      </c>
      <c r="AB6" s="35" t="s">
        <v>433</v>
      </c>
      <c r="AC6" s="35" t="s">
        <v>418</v>
      </c>
    </row>
    <row r="7" customFormat="false" ht="12.75" hidden="false" customHeight="false" outlineLevel="0" collapsed="false">
      <c r="A7" s="35" t="s">
        <v>431</v>
      </c>
      <c r="B7" s="35" t="s">
        <v>432</v>
      </c>
      <c r="C7" s="35" t="s">
        <v>411</v>
      </c>
      <c r="D7" s="35" t="s">
        <v>437</v>
      </c>
      <c r="E7" s="35" t="s">
        <v>438</v>
      </c>
      <c r="F7" s="35" t="s">
        <v>439</v>
      </c>
      <c r="G7" s="36" t="s">
        <v>440</v>
      </c>
      <c r="H7" s="35" t="s">
        <v>73</v>
      </c>
      <c r="I7" s="35" t="s">
        <v>72</v>
      </c>
      <c r="J7" s="35" t="s">
        <v>75</v>
      </c>
      <c r="K7" s="35" t="s">
        <v>75</v>
      </c>
      <c r="L7" s="35" t="n">
        <v>56</v>
      </c>
      <c r="M7" s="35" t="s">
        <v>74</v>
      </c>
      <c r="N7" s="35" t="s">
        <v>74</v>
      </c>
      <c r="O7" s="35" t="s">
        <v>75</v>
      </c>
      <c r="P7" s="35" t="n">
        <v>37218</v>
      </c>
      <c r="Q7" s="35" t="n">
        <v>1489</v>
      </c>
      <c r="R7" s="35" t="n">
        <v>1861</v>
      </c>
      <c r="S7" s="35" t="n">
        <v>1117</v>
      </c>
      <c r="T7" s="35" t="n">
        <v>744</v>
      </c>
      <c r="U7" s="35" t="n">
        <v>2233</v>
      </c>
      <c r="V7" s="35" t="n">
        <v>9304</v>
      </c>
      <c r="W7" s="35" t="n">
        <v>0</v>
      </c>
      <c r="X7" s="35" t="s">
        <v>416</v>
      </c>
      <c r="Y7" s="35" t="s">
        <v>417</v>
      </c>
      <c r="AA7" s="35" t="n">
        <v>640</v>
      </c>
      <c r="AB7" s="35" t="s">
        <v>437</v>
      </c>
      <c r="AC7" s="35" t="s">
        <v>418</v>
      </c>
      <c r="AD7" s="35" t="s">
        <v>250</v>
      </c>
    </row>
    <row r="8" customFormat="false" ht="12.75" hidden="false" customHeight="false" outlineLevel="0" collapsed="false">
      <c r="A8" s="35" t="s">
        <v>431</v>
      </c>
      <c r="B8" s="35" t="s">
        <v>432</v>
      </c>
      <c r="C8" s="35" t="s">
        <v>411</v>
      </c>
      <c r="D8" s="35" t="s">
        <v>437</v>
      </c>
      <c r="E8" s="35" t="s">
        <v>438</v>
      </c>
      <c r="F8" s="35" t="s">
        <v>441</v>
      </c>
      <c r="G8" s="36" t="s">
        <v>442</v>
      </c>
      <c r="H8" s="35" t="s">
        <v>73</v>
      </c>
      <c r="I8" s="35" t="s">
        <v>72</v>
      </c>
      <c r="J8" s="35" t="s">
        <v>75</v>
      </c>
      <c r="K8" s="35" t="s">
        <v>75</v>
      </c>
      <c r="L8" s="35" t="n">
        <v>28</v>
      </c>
      <c r="M8" s="35" t="s">
        <v>74</v>
      </c>
      <c r="N8" s="35" t="s">
        <v>74</v>
      </c>
      <c r="O8" s="35" t="s">
        <v>75</v>
      </c>
      <c r="P8" s="35" t="n">
        <v>39920</v>
      </c>
      <c r="Q8" s="35" t="n">
        <v>1597</v>
      </c>
      <c r="R8" s="35" t="n">
        <v>1996</v>
      </c>
      <c r="S8" s="35" t="n">
        <v>1198</v>
      </c>
      <c r="T8" s="35" t="n">
        <v>798</v>
      </c>
      <c r="U8" s="35" t="n">
        <v>2395</v>
      </c>
      <c r="V8" s="35" t="n">
        <v>9980</v>
      </c>
      <c r="W8" s="35" t="n">
        <v>0</v>
      </c>
      <c r="X8" s="35" t="s">
        <v>416</v>
      </c>
      <c r="Y8" s="35" t="s">
        <v>417</v>
      </c>
      <c r="AA8" s="35" t="n">
        <v>960</v>
      </c>
      <c r="AB8" s="35" t="s">
        <v>437</v>
      </c>
      <c r="AC8" s="35" t="s">
        <v>418</v>
      </c>
      <c r="AD8" s="35" t="s">
        <v>358</v>
      </c>
    </row>
    <row r="9" customFormat="false" ht="12.75" hidden="false" customHeight="false" outlineLevel="0" collapsed="false">
      <c r="A9" s="35" t="s">
        <v>431</v>
      </c>
      <c r="B9" s="35" t="s">
        <v>432</v>
      </c>
      <c r="C9" s="35" t="s">
        <v>411</v>
      </c>
      <c r="D9" s="35" t="s">
        <v>443</v>
      </c>
      <c r="E9" s="35" t="s">
        <v>444</v>
      </c>
      <c r="F9" s="35" t="s">
        <v>445</v>
      </c>
      <c r="G9" s="36" t="s">
        <v>446</v>
      </c>
      <c r="H9" s="35" t="s">
        <v>73</v>
      </c>
      <c r="I9" s="35" t="s">
        <v>143</v>
      </c>
      <c r="J9" s="35" t="s">
        <v>75</v>
      </c>
      <c r="K9" s="35" t="s">
        <v>75</v>
      </c>
      <c r="L9" s="35" t="n">
        <v>32</v>
      </c>
      <c r="M9" s="35" t="s">
        <v>74</v>
      </c>
      <c r="N9" s="35" t="s">
        <v>74</v>
      </c>
      <c r="O9" s="35" t="s">
        <v>75</v>
      </c>
      <c r="P9" s="35" t="n">
        <v>42858</v>
      </c>
      <c r="Q9" s="35" t="n">
        <v>1714</v>
      </c>
      <c r="R9" s="35" t="n">
        <v>2143</v>
      </c>
      <c r="S9" s="35" t="n">
        <v>1286</v>
      </c>
      <c r="T9" s="35" t="n">
        <v>857</v>
      </c>
      <c r="U9" s="35" t="n">
        <v>2571</v>
      </c>
      <c r="V9" s="35" t="n">
        <v>10714</v>
      </c>
      <c r="W9" s="35" t="n">
        <v>0</v>
      </c>
      <c r="X9" s="35" t="s">
        <v>416</v>
      </c>
      <c r="Y9" s="35" t="s">
        <v>417</v>
      </c>
      <c r="AA9" s="35" t="n">
        <v>480</v>
      </c>
      <c r="AB9" s="35" t="s">
        <v>443</v>
      </c>
      <c r="AC9" s="35" t="s">
        <v>418</v>
      </c>
      <c r="AD9" s="35" t="s">
        <v>333</v>
      </c>
    </row>
    <row r="10" customFormat="false" ht="12.75" hidden="false" customHeight="false" outlineLevel="0" collapsed="false">
      <c r="A10" s="35" t="s">
        <v>447</v>
      </c>
      <c r="B10" s="35" t="s">
        <v>448</v>
      </c>
      <c r="C10" s="35" t="s">
        <v>411</v>
      </c>
      <c r="D10" s="35" t="s">
        <v>449</v>
      </c>
      <c r="E10" s="35" t="s">
        <v>450</v>
      </c>
      <c r="F10" s="35" t="s">
        <v>451</v>
      </c>
      <c r="G10" s="36" t="s">
        <v>452</v>
      </c>
      <c r="H10" s="35" t="s">
        <v>78</v>
      </c>
      <c r="I10" s="35" t="s">
        <v>72</v>
      </c>
      <c r="J10" s="35" t="s">
        <v>75</v>
      </c>
      <c r="K10" s="35" t="s">
        <v>75</v>
      </c>
      <c r="L10" s="35" t="n">
        <v>53</v>
      </c>
      <c r="M10" s="35" t="s">
        <v>74</v>
      </c>
      <c r="N10" s="35" t="s">
        <v>74</v>
      </c>
      <c r="O10" s="35" t="s">
        <v>75</v>
      </c>
      <c r="P10" s="35" t="n">
        <v>43641</v>
      </c>
      <c r="Q10" s="35" t="n">
        <v>1746</v>
      </c>
      <c r="R10" s="35" t="n">
        <v>0</v>
      </c>
      <c r="S10" s="35" t="n">
        <v>1309</v>
      </c>
      <c r="T10" s="35" t="n">
        <v>873</v>
      </c>
      <c r="U10" s="35" t="n">
        <v>0</v>
      </c>
      <c r="V10" s="35" t="n">
        <v>0</v>
      </c>
      <c r="W10" s="35" t="n">
        <v>0</v>
      </c>
      <c r="X10" s="35" t="s">
        <v>416</v>
      </c>
      <c r="Y10" s="35" t="s">
        <v>417</v>
      </c>
      <c r="AA10" s="35" t="n">
        <v>0</v>
      </c>
      <c r="AB10" s="35" t="s">
        <v>449</v>
      </c>
      <c r="AC10" s="35" t="s">
        <v>418</v>
      </c>
      <c r="AD10" s="35" t="s">
        <v>190</v>
      </c>
    </row>
    <row r="11" customFormat="false" ht="12.75" hidden="false" customHeight="false" outlineLevel="0" collapsed="false">
      <c r="A11" s="35" t="s">
        <v>453</v>
      </c>
      <c r="B11" s="35" t="s">
        <v>454</v>
      </c>
      <c r="C11" s="35" t="s">
        <v>411</v>
      </c>
      <c r="D11" s="35" t="s">
        <v>443</v>
      </c>
      <c r="E11" s="35" t="s">
        <v>444</v>
      </c>
      <c r="F11" s="35" t="s">
        <v>455</v>
      </c>
      <c r="G11" s="36" t="s">
        <v>456</v>
      </c>
      <c r="H11" s="35" t="s">
        <v>73</v>
      </c>
      <c r="I11" s="35" t="s">
        <v>72</v>
      </c>
      <c r="J11" s="35" t="s">
        <v>75</v>
      </c>
      <c r="K11" s="35" t="s">
        <v>75</v>
      </c>
      <c r="L11" s="35" t="n">
        <v>56</v>
      </c>
      <c r="M11" s="35" t="s">
        <v>74</v>
      </c>
      <c r="N11" s="35" t="s">
        <v>74</v>
      </c>
      <c r="O11" s="35" t="s">
        <v>75</v>
      </c>
      <c r="P11" s="35" t="n">
        <v>38227</v>
      </c>
      <c r="Q11" s="35" t="n">
        <v>1529</v>
      </c>
      <c r="R11" s="35" t="n">
        <v>0</v>
      </c>
      <c r="S11" s="35" t="n">
        <v>1147</v>
      </c>
      <c r="T11" s="35" t="n">
        <v>765</v>
      </c>
      <c r="U11" s="35" t="n">
        <v>0</v>
      </c>
      <c r="V11" s="35" t="n">
        <v>0</v>
      </c>
      <c r="W11" s="35" t="n">
        <v>0</v>
      </c>
      <c r="X11" s="35" t="s">
        <v>416</v>
      </c>
      <c r="Y11" s="35" t="s">
        <v>417</v>
      </c>
      <c r="AA11" s="35" t="n">
        <v>0</v>
      </c>
      <c r="AB11" s="35" t="s">
        <v>443</v>
      </c>
      <c r="AC11" s="35" t="s">
        <v>418</v>
      </c>
      <c r="AD11" s="35" t="s">
        <v>285</v>
      </c>
    </row>
    <row r="12" customFormat="false" ht="12.75" hidden="false" customHeight="false" outlineLevel="0" collapsed="false">
      <c r="A12" s="35" t="s">
        <v>457</v>
      </c>
      <c r="B12" s="35" t="s">
        <v>458</v>
      </c>
      <c r="C12" s="35" t="s">
        <v>411</v>
      </c>
      <c r="D12" s="35" t="s">
        <v>459</v>
      </c>
      <c r="E12" s="35" t="s">
        <v>460</v>
      </c>
      <c r="F12" s="35" t="s">
        <v>461</v>
      </c>
      <c r="G12" s="36" t="s">
        <v>462</v>
      </c>
      <c r="H12" s="35" t="s">
        <v>78</v>
      </c>
      <c r="I12" s="35" t="s">
        <v>143</v>
      </c>
      <c r="J12" s="35" t="s">
        <v>75</v>
      </c>
      <c r="K12" s="35" t="s">
        <v>75</v>
      </c>
      <c r="L12" s="35" t="n">
        <v>57</v>
      </c>
      <c r="M12" s="35" t="s">
        <v>74</v>
      </c>
      <c r="N12" s="35" t="s">
        <v>74</v>
      </c>
      <c r="O12" s="35" t="s">
        <v>75</v>
      </c>
      <c r="P12" s="35" t="n">
        <v>39834</v>
      </c>
      <c r="Q12" s="35" t="n">
        <v>1593</v>
      </c>
      <c r="R12" s="35" t="n">
        <v>0</v>
      </c>
      <c r="S12" s="35" t="n">
        <v>1195</v>
      </c>
      <c r="T12" s="35" t="n">
        <v>797</v>
      </c>
      <c r="U12" s="35" t="n">
        <v>0</v>
      </c>
      <c r="V12" s="35" t="n">
        <v>0</v>
      </c>
      <c r="W12" s="35" t="n">
        <v>0</v>
      </c>
      <c r="X12" s="35" t="s">
        <v>416</v>
      </c>
      <c r="Y12" s="35" t="s">
        <v>417</v>
      </c>
      <c r="AA12" s="35" t="n">
        <v>0</v>
      </c>
      <c r="AB12" s="35" t="s">
        <v>459</v>
      </c>
      <c r="AC12" s="35" t="s">
        <v>418</v>
      </c>
      <c r="AD12" s="35" t="s">
        <v>309</v>
      </c>
    </row>
    <row r="13" customFormat="false" ht="12.75" hidden="false" customHeight="false" outlineLevel="0" collapsed="false">
      <c r="A13" s="35" t="s">
        <v>431</v>
      </c>
      <c r="B13" s="35" t="s">
        <v>432</v>
      </c>
      <c r="C13" s="35" t="s">
        <v>411</v>
      </c>
      <c r="D13" s="35" t="s">
        <v>459</v>
      </c>
      <c r="E13" s="35" t="s">
        <v>460</v>
      </c>
      <c r="F13" s="35" t="s">
        <v>463</v>
      </c>
      <c r="G13" s="36" t="s">
        <v>464</v>
      </c>
      <c r="H13" s="35" t="s">
        <v>73</v>
      </c>
      <c r="I13" s="35" t="s">
        <v>72</v>
      </c>
      <c r="J13" s="35" t="s">
        <v>75</v>
      </c>
      <c r="K13" s="35" t="s">
        <v>75</v>
      </c>
      <c r="L13" s="35" t="n">
        <v>23</v>
      </c>
      <c r="M13" s="35" t="s">
        <v>75</v>
      </c>
      <c r="N13" s="35" t="s">
        <v>74</v>
      </c>
      <c r="O13" s="35" t="s">
        <v>75</v>
      </c>
      <c r="P13" s="35" t="n">
        <v>32730</v>
      </c>
      <c r="Q13" s="35" t="n">
        <v>1309</v>
      </c>
      <c r="R13" s="35" t="n">
        <v>1636</v>
      </c>
      <c r="S13" s="35" t="n">
        <v>982</v>
      </c>
      <c r="T13" s="35" t="n">
        <v>655</v>
      </c>
      <c r="U13" s="35" t="n">
        <v>1964</v>
      </c>
      <c r="V13" s="35" t="n">
        <v>8182</v>
      </c>
      <c r="W13" s="35" t="n">
        <v>0</v>
      </c>
      <c r="X13" s="35" t="s">
        <v>416</v>
      </c>
      <c r="Y13" s="35" t="s">
        <v>417</v>
      </c>
      <c r="AA13" s="35" t="n">
        <v>480</v>
      </c>
      <c r="AB13" s="35" t="s">
        <v>459</v>
      </c>
      <c r="AC13" s="35" t="s">
        <v>418</v>
      </c>
    </row>
    <row r="14" customFormat="false" ht="12.75" hidden="false" customHeight="false" outlineLevel="0" collapsed="false">
      <c r="A14" s="35" t="s">
        <v>419</v>
      </c>
      <c r="B14" s="35" t="s">
        <v>420</v>
      </c>
      <c r="C14" s="35" t="s">
        <v>411</v>
      </c>
      <c r="D14" s="35" t="s">
        <v>443</v>
      </c>
      <c r="E14" s="35" t="s">
        <v>444</v>
      </c>
      <c r="F14" s="35" t="s">
        <v>465</v>
      </c>
      <c r="G14" s="36" t="s">
        <v>466</v>
      </c>
      <c r="H14" s="35" t="s">
        <v>78</v>
      </c>
      <c r="I14" s="35" t="s">
        <v>72</v>
      </c>
      <c r="J14" s="35" t="s">
        <v>74</v>
      </c>
      <c r="K14" s="35" t="s">
        <v>75</v>
      </c>
      <c r="L14" s="35" t="n">
        <v>45</v>
      </c>
      <c r="M14" s="35" t="s">
        <v>74</v>
      </c>
      <c r="N14" s="35" t="s">
        <v>74</v>
      </c>
      <c r="O14" s="35" t="s">
        <v>75</v>
      </c>
      <c r="P14" s="35" t="n">
        <v>41660</v>
      </c>
      <c r="Q14" s="35" t="n">
        <v>1666</v>
      </c>
      <c r="R14" s="35" t="n">
        <v>2083</v>
      </c>
      <c r="S14" s="35" t="n">
        <v>1250</v>
      </c>
      <c r="T14" s="35" t="n">
        <v>833</v>
      </c>
      <c r="U14" s="35" t="n">
        <v>2500</v>
      </c>
      <c r="V14" s="35" t="n">
        <v>10415</v>
      </c>
      <c r="W14" s="35" t="n">
        <v>0</v>
      </c>
      <c r="X14" s="35" t="s">
        <v>416</v>
      </c>
      <c r="Y14" s="35" t="s">
        <v>417</v>
      </c>
      <c r="AA14" s="35" t="n">
        <v>1200</v>
      </c>
      <c r="AB14" s="35" t="s">
        <v>443</v>
      </c>
      <c r="AC14" s="35" t="s">
        <v>418</v>
      </c>
      <c r="AD14" s="35" t="s">
        <v>346</v>
      </c>
    </row>
    <row r="15" customFormat="false" ht="12.75" hidden="false" customHeight="false" outlineLevel="0" collapsed="false">
      <c r="A15" s="35" t="s">
        <v>419</v>
      </c>
      <c r="B15" s="35" t="s">
        <v>420</v>
      </c>
      <c r="C15" s="35" t="s">
        <v>411</v>
      </c>
      <c r="D15" s="35" t="s">
        <v>467</v>
      </c>
      <c r="E15" s="35" t="s">
        <v>468</v>
      </c>
      <c r="F15" s="35" t="s">
        <v>469</v>
      </c>
      <c r="G15" s="36" t="s">
        <v>470</v>
      </c>
      <c r="H15" s="35" t="s">
        <v>73</v>
      </c>
      <c r="I15" s="35" t="s">
        <v>143</v>
      </c>
      <c r="J15" s="35" t="s">
        <v>75</v>
      </c>
      <c r="K15" s="35" t="s">
        <v>75</v>
      </c>
      <c r="L15" s="35" t="n">
        <v>36</v>
      </c>
      <c r="M15" s="35" t="s">
        <v>74</v>
      </c>
      <c r="N15" s="35" t="s">
        <v>74</v>
      </c>
      <c r="O15" s="35" t="s">
        <v>75</v>
      </c>
      <c r="P15" s="35" t="n">
        <v>37626</v>
      </c>
      <c r="Q15" s="35" t="n">
        <v>1505</v>
      </c>
      <c r="R15" s="35" t="n">
        <v>1881</v>
      </c>
      <c r="S15" s="35" t="n">
        <v>1129</v>
      </c>
      <c r="T15" s="35" t="n">
        <v>753</v>
      </c>
      <c r="U15" s="35" t="n">
        <v>2258</v>
      </c>
      <c r="V15" s="35" t="n">
        <v>9406</v>
      </c>
      <c r="W15" s="35" t="n">
        <v>0</v>
      </c>
      <c r="X15" s="35" t="s">
        <v>416</v>
      </c>
      <c r="Y15" s="35" t="s">
        <v>417</v>
      </c>
      <c r="AA15" s="35" t="n">
        <v>960</v>
      </c>
      <c r="AB15" s="35" t="s">
        <v>467</v>
      </c>
      <c r="AC15" s="35" t="s">
        <v>418</v>
      </c>
      <c r="AD15" s="35" t="s">
        <v>261</v>
      </c>
    </row>
    <row r="16" customFormat="false" ht="12.75" hidden="false" customHeight="false" outlineLevel="0" collapsed="false">
      <c r="A16" s="35" t="s">
        <v>409</v>
      </c>
      <c r="B16" s="35" t="s">
        <v>410</v>
      </c>
      <c r="C16" s="35" t="s">
        <v>411</v>
      </c>
      <c r="D16" s="35" t="s">
        <v>467</v>
      </c>
      <c r="E16" s="35" t="s">
        <v>468</v>
      </c>
      <c r="F16" s="35" t="s">
        <v>471</v>
      </c>
      <c r="G16" s="36" t="s">
        <v>472</v>
      </c>
      <c r="H16" s="35" t="s">
        <v>78</v>
      </c>
      <c r="I16" s="35" t="s">
        <v>72</v>
      </c>
      <c r="J16" s="35" t="s">
        <v>75</v>
      </c>
      <c r="K16" s="35" t="s">
        <v>75</v>
      </c>
      <c r="L16" s="35" t="n">
        <v>23</v>
      </c>
      <c r="M16" s="35" t="s">
        <v>74</v>
      </c>
      <c r="N16" s="35" t="s">
        <v>74</v>
      </c>
      <c r="O16" s="35" t="s">
        <v>75</v>
      </c>
      <c r="P16" s="35" t="n">
        <v>46617</v>
      </c>
      <c r="Q16" s="35" t="n">
        <v>1865</v>
      </c>
      <c r="R16" s="35" t="n">
        <v>0</v>
      </c>
      <c r="S16" s="35" t="n">
        <v>1399</v>
      </c>
      <c r="T16" s="35" t="n">
        <v>932</v>
      </c>
      <c r="U16" s="35" t="n">
        <v>0</v>
      </c>
      <c r="V16" s="35" t="n">
        <v>0</v>
      </c>
      <c r="W16" s="35" t="n">
        <v>0</v>
      </c>
      <c r="X16" s="35" t="s">
        <v>416</v>
      </c>
      <c r="Y16" s="35" t="s">
        <v>417</v>
      </c>
      <c r="AA16" s="35" t="n">
        <v>0</v>
      </c>
      <c r="AB16" s="35" t="s">
        <v>467</v>
      </c>
      <c r="AC16" s="35" t="s">
        <v>418</v>
      </c>
      <c r="AD16" s="35" t="s">
        <v>132</v>
      </c>
    </row>
    <row r="17" customFormat="false" ht="12.75" hidden="false" customHeight="false" outlineLevel="0" collapsed="false">
      <c r="A17" s="35" t="s">
        <v>419</v>
      </c>
      <c r="B17" s="35" t="s">
        <v>420</v>
      </c>
      <c r="C17" s="35" t="s">
        <v>411</v>
      </c>
      <c r="D17" s="35" t="s">
        <v>427</v>
      </c>
      <c r="E17" s="35" t="s">
        <v>428</v>
      </c>
      <c r="F17" s="35" t="s">
        <v>473</v>
      </c>
      <c r="G17" s="36" t="s">
        <v>474</v>
      </c>
      <c r="H17" s="35" t="s">
        <v>73</v>
      </c>
      <c r="I17" s="35" t="s">
        <v>72</v>
      </c>
      <c r="J17" s="35" t="s">
        <v>75</v>
      </c>
      <c r="K17" s="35" t="s">
        <v>75</v>
      </c>
      <c r="L17" s="35" t="n">
        <v>54</v>
      </c>
      <c r="M17" s="35" t="s">
        <v>74</v>
      </c>
      <c r="N17" s="35" t="s">
        <v>74</v>
      </c>
      <c r="O17" s="35" t="s">
        <v>75</v>
      </c>
      <c r="P17" s="35" t="n">
        <v>51505</v>
      </c>
      <c r="Q17" s="35" t="n">
        <v>2060</v>
      </c>
      <c r="R17" s="35" t="n">
        <v>2575</v>
      </c>
      <c r="S17" s="35" t="n">
        <v>1545</v>
      </c>
      <c r="T17" s="35" t="n">
        <v>1030</v>
      </c>
      <c r="U17" s="35" t="n">
        <v>3090</v>
      </c>
      <c r="V17" s="35" t="n">
        <v>12876</v>
      </c>
      <c r="W17" s="35" t="n">
        <v>0</v>
      </c>
      <c r="X17" s="35" t="s">
        <v>416</v>
      </c>
      <c r="Y17" s="35" t="s">
        <v>417</v>
      </c>
      <c r="AA17" s="35" t="n">
        <v>1200</v>
      </c>
      <c r="AB17" s="35" t="s">
        <v>427</v>
      </c>
      <c r="AC17" s="35" t="s">
        <v>418</v>
      </c>
      <c r="AD17" s="35" t="s">
        <v>166</v>
      </c>
    </row>
    <row r="18" customFormat="false" ht="12.75" hidden="false" customHeight="false" outlineLevel="0" collapsed="false">
      <c r="A18" s="35" t="s">
        <v>457</v>
      </c>
      <c r="B18" s="35" t="s">
        <v>458</v>
      </c>
      <c r="C18" s="35" t="s">
        <v>411</v>
      </c>
      <c r="D18" s="35" t="s">
        <v>437</v>
      </c>
      <c r="E18" s="35" t="s">
        <v>438</v>
      </c>
      <c r="F18" s="35" t="s">
        <v>475</v>
      </c>
      <c r="G18" s="36" t="s">
        <v>476</v>
      </c>
      <c r="H18" s="35" t="s">
        <v>73</v>
      </c>
      <c r="I18" s="35" t="s">
        <v>81</v>
      </c>
      <c r="J18" s="35" t="s">
        <v>75</v>
      </c>
      <c r="K18" s="35" t="s">
        <v>75</v>
      </c>
      <c r="L18" s="35" t="n">
        <v>49</v>
      </c>
      <c r="M18" s="35" t="s">
        <v>74</v>
      </c>
      <c r="N18" s="35" t="s">
        <v>74</v>
      </c>
      <c r="O18" s="35" t="s">
        <v>75</v>
      </c>
      <c r="P18" s="35" t="n">
        <v>22703</v>
      </c>
      <c r="Q18" s="35" t="n">
        <v>908</v>
      </c>
      <c r="R18" s="35" t="n">
        <v>0</v>
      </c>
      <c r="S18" s="35" t="n">
        <v>681</v>
      </c>
      <c r="T18" s="35" t="n">
        <v>454</v>
      </c>
      <c r="U18" s="35" t="n">
        <v>0</v>
      </c>
      <c r="V18" s="35" t="n">
        <v>0</v>
      </c>
      <c r="W18" s="35" t="n">
        <v>0</v>
      </c>
      <c r="X18" s="35" t="s">
        <v>416</v>
      </c>
      <c r="Y18" s="35" t="s">
        <v>417</v>
      </c>
      <c r="AA18" s="35" t="n">
        <v>0</v>
      </c>
      <c r="AB18" s="35" t="s">
        <v>437</v>
      </c>
      <c r="AC18" s="35" t="s">
        <v>418</v>
      </c>
    </row>
    <row r="19" customFormat="false" ht="12.75" hidden="false" customHeight="false" outlineLevel="0" collapsed="false">
      <c r="A19" s="35" t="s">
        <v>431</v>
      </c>
      <c r="B19" s="35" t="s">
        <v>432</v>
      </c>
      <c r="C19" s="35" t="s">
        <v>411</v>
      </c>
      <c r="D19" s="35" t="s">
        <v>459</v>
      </c>
      <c r="E19" s="35" t="s">
        <v>460</v>
      </c>
      <c r="F19" s="35" t="s">
        <v>477</v>
      </c>
      <c r="G19" s="36" t="s">
        <v>478</v>
      </c>
      <c r="H19" s="35" t="s">
        <v>78</v>
      </c>
      <c r="I19" s="35" t="s">
        <v>72</v>
      </c>
      <c r="J19" s="35" t="s">
        <v>75</v>
      </c>
      <c r="K19" s="35" t="s">
        <v>75</v>
      </c>
      <c r="L19" s="35" t="n">
        <v>24</v>
      </c>
      <c r="M19" s="35" t="s">
        <v>75</v>
      </c>
      <c r="N19" s="35" t="s">
        <v>74</v>
      </c>
      <c r="O19" s="35" t="s">
        <v>75</v>
      </c>
      <c r="P19" s="35" t="n">
        <v>34685</v>
      </c>
      <c r="Q19" s="35" t="n">
        <v>1387</v>
      </c>
      <c r="R19" s="35" t="n">
        <v>1734</v>
      </c>
      <c r="S19" s="35" t="n">
        <v>1041</v>
      </c>
      <c r="T19" s="35" t="n">
        <v>694</v>
      </c>
      <c r="U19" s="35" t="n">
        <v>2081</v>
      </c>
      <c r="V19" s="35" t="n">
        <v>8671</v>
      </c>
      <c r="W19" s="35" t="n">
        <v>0</v>
      </c>
      <c r="X19" s="35" t="s">
        <v>416</v>
      </c>
      <c r="Y19" s="35" t="s">
        <v>417</v>
      </c>
      <c r="AA19" s="35" t="n">
        <v>320</v>
      </c>
      <c r="AB19" s="35" t="s">
        <v>459</v>
      </c>
      <c r="AC19" s="35" t="s">
        <v>418</v>
      </c>
    </row>
    <row r="20" customFormat="false" ht="12.75" hidden="false" customHeight="false" outlineLevel="0" collapsed="false">
      <c r="A20" s="35" t="s">
        <v>447</v>
      </c>
      <c r="B20" s="35" t="s">
        <v>448</v>
      </c>
      <c r="C20" s="35" t="s">
        <v>411</v>
      </c>
      <c r="D20" s="35" t="s">
        <v>459</v>
      </c>
      <c r="E20" s="35" t="s">
        <v>460</v>
      </c>
      <c r="F20" s="35" t="s">
        <v>479</v>
      </c>
      <c r="G20" s="36" t="s">
        <v>480</v>
      </c>
      <c r="H20" s="35" t="s">
        <v>78</v>
      </c>
      <c r="I20" s="35" t="s">
        <v>72</v>
      </c>
      <c r="J20" s="35" t="s">
        <v>75</v>
      </c>
      <c r="K20" s="35" t="s">
        <v>75</v>
      </c>
      <c r="L20" s="35" t="n">
        <v>30</v>
      </c>
      <c r="M20" s="35" t="s">
        <v>74</v>
      </c>
      <c r="N20" s="35" t="s">
        <v>74</v>
      </c>
      <c r="O20" s="35" t="s">
        <v>75</v>
      </c>
      <c r="P20" s="35" t="n">
        <v>53467</v>
      </c>
      <c r="Q20" s="35" t="n">
        <v>2139</v>
      </c>
      <c r="R20" s="35" t="n">
        <v>0</v>
      </c>
      <c r="S20" s="35" t="n">
        <v>1604</v>
      </c>
      <c r="T20" s="35" t="n">
        <v>1069</v>
      </c>
      <c r="U20" s="35" t="n">
        <v>0</v>
      </c>
      <c r="V20" s="35" t="n">
        <v>0</v>
      </c>
      <c r="W20" s="35" t="n">
        <v>0</v>
      </c>
      <c r="X20" s="35" t="s">
        <v>416</v>
      </c>
      <c r="Y20" s="35" t="s">
        <v>417</v>
      </c>
      <c r="AA20" s="35" t="n">
        <v>0</v>
      </c>
      <c r="AB20" s="35" t="s">
        <v>459</v>
      </c>
      <c r="AC20" s="35" t="s">
        <v>418</v>
      </c>
      <c r="AD20" s="35" t="s">
        <v>333</v>
      </c>
    </row>
    <row r="21" customFormat="false" ht="12.75" hidden="false" customHeight="false" outlineLevel="0" collapsed="false">
      <c r="A21" s="35" t="s">
        <v>453</v>
      </c>
      <c r="B21" s="35" t="s">
        <v>454</v>
      </c>
      <c r="C21" s="35" t="s">
        <v>411</v>
      </c>
      <c r="D21" s="35" t="s">
        <v>449</v>
      </c>
      <c r="E21" s="35" t="s">
        <v>450</v>
      </c>
      <c r="F21" s="35" t="s">
        <v>481</v>
      </c>
      <c r="G21" s="36" t="s">
        <v>482</v>
      </c>
      <c r="H21" s="35" t="s">
        <v>73</v>
      </c>
      <c r="I21" s="35" t="s">
        <v>81</v>
      </c>
      <c r="J21" s="35" t="s">
        <v>75</v>
      </c>
      <c r="K21" s="35" t="s">
        <v>75</v>
      </c>
      <c r="L21" s="35" t="n">
        <v>26</v>
      </c>
      <c r="M21" s="35" t="s">
        <v>74</v>
      </c>
      <c r="N21" s="35" t="s">
        <v>74</v>
      </c>
      <c r="O21" s="35" t="s">
        <v>75</v>
      </c>
      <c r="P21" s="35" t="n">
        <v>21042</v>
      </c>
      <c r="Q21" s="35" t="n">
        <v>842</v>
      </c>
      <c r="R21" s="35" t="n">
        <v>0</v>
      </c>
      <c r="S21" s="35" t="n">
        <v>631</v>
      </c>
      <c r="T21" s="35" t="n">
        <v>421</v>
      </c>
      <c r="U21" s="35" t="n">
        <v>0</v>
      </c>
      <c r="V21" s="35" t="n">
        <v>0</v>
      </c>
      <c r="W21" s="35" t="n">
        <v>0</v>
      </c>
      <c r="X21" s="35" t="s">
        <v>416</v>
      </c>
      <c r="Y21" s="35" t="s">
        <v>417</v>
      </c>
      <c r="AA21" s="35" t="n">
        <v>0</v>
      </c>
      <c r="AB21" s="35" t="s">
        <v>449</v>
      </c>
      <c r="AC21" s="35" t="s">
        <v>418</v>
      </c>
    </row>
    <row r="22" customFormat="false" ht="12.75" hidden="false" customHeight="false" outlineLevel="0" collapsed="false">
      <c r="A22" s="35" t="s">
        <v>425</v>
      </c>
      <c r="B22" s="35" t="s">
        <v>426</v>
      </c>
      <c r="C22" s="35" t="s">
        <v>411</v>
      </c>
      <c r="D22" s="35" t="s">
        <v>443</v>
      </c>
      <c r="E22" s="35" t="s">
        <v>444</v>
      </c>
      <c r="F22" s="35" t="s">
        <v>483</v>
      </c>
      <c r="G22" s="36" t="s">
        <v>484</v>
      </c>
      <c r="H22" s="35" t="s">
        <v>78</v>
      </c>
      <c r="I22" s="35" t="s">
        <v>72</v>
      </c>
      <c r="J22" s="35" t="s">
        <v>74</v>
      </c>
      <c r="K22" s="35" t="s">
        <v>75</v>
      </c>
      <c r="L22" s="35" t="n">
        <v>41</v>
      </c>
      <c r="M22" s="35" t="s">
        <v>74</v>
      </c>
      <c r="N22" s="35" t="s">
        <v>74</v>
      </c>
      <c r="O22" s="35" t="s">
        <v>75</v>
      </c>
      <c r="P22" s="35" t="n">
        <v>42457</v>
      </c>
      <c r="Q22" s="35" t="n">
        <v>1698</v>
      </c>
      <c r="R22" s="35" t="n">
        <v>0</v>
      </c>
      <c r="S22" s="35" t="n">
        <v>1274</v>
      </c>
      <c r="T22" s="35" t="n">
        <v>849</v>
      </c>
      <c r="U22" s="35" t="n">
        <v>2547</v>
      </c>
      <c r="V22" s="35" t="n">
        <v>10614</v>
      </c>
      <c r="W22" s="35" t="n">
        <v>0</v>
      </c>
      <c r="X22" s="35" t="s">
        <v>416</v>
      </c>
      <c r="Y22" s="35" t="s">
        <v>417</v>
      </c>
      <c r="AA22" s="35" t="n">
        <v>640</v>
      </c>
      <c r="AB22" s="35" t="s">
        <v>443</v>
      </c>
      <c r="AC22" s="35" t="s">
        <v>418</v>
      </c>
      <c r="AD22" s="35" t="s">
        <v>136</v>
      </c>
    </row>
    <row r="23" customFormat="false" ht="12.75" hidden="false" customHeight="false" outlineLevel="0" collapsed="false">
      <c r="A23" s="35" t="s">
        <v>447</v>
      </c>
      <c r="B23" s="35" t="s">
        <v>448</v>
      </c>
      <c r="C23" s="35" t="s">
        <v>411</v>
      </c>
      <c r="D23" s="35" t="s">
        <v>467</v>
      </c>
      <c r="E23" s="35" t="s">
        <v>468</v>
      </c>
      <c r="F23" s="35" t="s">
        <v>485</v>
      </c>
      <c r="G23" s="36" t="s">
        <v>486</v>
      </c>
      <c r="H23" s="35" t="s">
        <v>78</v>
      </c>
      <c r="I23" s="35" t="s">
        <v>72</v>
      </c>
      <c r="J23" s="35" t="s">
        <v>75</v>
      </c>
      <c r="K23" s="35" t="s">
        <v>75</v>
      </c>
      <c r="L23" s="35" t="n">
        <v>55</v>
      </c>
      <c r="M23" s="35" t="s">
        <v>74</v>
      </c>
      <c r="N23" s="35" t="s">
        <v>74</v>
      </c>
      <c r="O23" s="35" t="s">
        <v>75</v>
      </c>
      <c r="P23" s="35" t="n">
        <v>48607</v>
      </c>
      <c r="Q23" s="35" t="n">
        <v>1944</v>
      </c>
      <c r="R23" s="35" t="n">
        <v>0</v>
      </c>
      <c r="S23" s="35" t="n">
        <v>1458</v>
      </c>
      <c r="T23" s="35" t="n">
        <v>972</v>
      </c>
      <c r="U23" s="35" t="n">
        <v>0</v>
      </c>
      <c r="V23" s="35" t="n">
        <v>0</v>
      </c>
      <c r="W23" s="35" t="n">
        <v>0</v>
      </c>
      <c r="X23" s="35" t="s">
        <v>416</v>
      </c>
      <c r="Y23" s="35" t="s">
        <v>417</v>
      </c>
      <c r="AA23" s="35" t="n">
        <v>0</v>
      </c>
      <c r="AB23" s="35" t="s">
        <v>467</v>
      </c>
      <c r="AC23" s="35" t="s">
        <v>418</v>
      </c>
      <c r="AD23" s="35" t="s">
        <v>186</v>
      </c>
    </row>
    <row r="24" customFormat="false" ht="12.75" hidden="false" customHeight="false" outlineLevel="0" collapsed="false">
      <c r="A24" s="35" t="s">
        <v>419</v>
      </c>
      <c r="B24" s="35" t="s">
        <v>420</v>
      </c>
      <c r="C24" s="35" t="s">
        <v>411</v>
      </c>
      <c r="D24" s="35" t="s">
        <v>437</v>
      </c>
      <c r="E24" s="35" t="s">
        <v>438</v>
      </c>
      <c r="F24" s="35" t="s">
        <v>487</v>
      </c>
      <c r="G24" s="36" t="s">
        <v>488</v>
      </c>
      <c r="H24" s="35" t="s">
        <v>78</v>
      </c>
      <c r="I24" s="35" t="s">
        <v>121</v>
      </c>
      <c r="J24" s="35" t="s">
        <v>75</v>
      </c>
      <c r="K24" s="35" t="s">
        <v>75</v>
      </c>
      <c r="L24" s="35" t="n">
        <v>27</v>
      </c>
      <c r="M24" s="35" t="s">
        <v>74</v>
      </c>
      <c r="N24" s="35" t="s">
        <v>74</v>
      </c>
      <c r="O24" s="35" t="s">
        <v>75</v>
      </c>
      <c r="P24" s="35" t="n">
        <v>53176</v>
      </c>
      <c r="Q24" s="35" t="n">
        <v>2127</v>
      </c>
      <c r="R24" s="35" t="n">
        <v>2659</v>
      </c>
      <c r="S24" s="35" t="n">
        <v>1595</v>
      </c>
      <c r="T24" s="35" t="n">
        <v>1064</v>
      </c>
      <c r="U24" s="35" t="n">
        <v>3191</v>
      </c>
      <c r="V24" s="35" t="n">
        <v>13294</v>
      </c>
      <c r="W24" s="35" t="n">
        <v>0</v>
      </c>
      <c r="X24" s="35" t="s">
        <v>416</v>
      </c>
      <c r="Y24" s="35" t="s">
        <v>417</v>
      </c>
      <c r="AA24" s="35" t="n">
        <v>640</v>
      </c>
      <c r="AB24" s="35" t="s">
        <v>437</v>
      </c>
      <c r="AC24" s="35" t="s">
        <v>418</v>
      </c>
      <c r="AD24" s="35" t="s">
        <v>182</v>
      </c>
    </row>
    <row r="25" customFormat="false" ht="12.75" hidden="false" customHeight="false" outlineLevel="0" collapsed="false">
      <c r="A25" s="35" t="s">
        <v>453</v>
      </c>
      <c r="B25" s="35" t="s">
        <v>454</v>
      </c>
      <c r="C25" s="35" t="s">
        <v>411</v>
      </c>
      <c r="D25" s="35" t="s">
        <v>412</v>
      </c>
      <c r="E25" s="35" t="s">
        <v>413</v>
      </c>
      <c r="F25" s="35" t="s">
        <v>489</v>
      </c>
      <c r="G25" s="36" t="s">
        <v>490</v>
      </c>
      <c r="H25" s="35" t="s">
        <v>78</v>
      </c>
      <c r="I25" s="35" t="s">
        <v>143</v>
      </c>
      <c r="J25" s="35" t="s">
        <v>75</v>
      </c>
      <c r="K25" s="35" t="s">
        <v>75</v>
      </c>
      <c r="L25" s="35" t="n">
        <v>38</v>
      </c>
      <c r="M25" s="35" t="s">
        <v>74</v>
      </c>
      <c r="N25" s="35" t="s">
        <v>74</v>
      </c>
      <c r="O25" s="35" t="s">
        <v>75</v>
      </c>
      <c r="P25" s="35" t="n">
        <v>46812</v>
      </c>
      <c r="Q25" s="35" t="n">
        <v>1872</v>
      </c>
      <c r="R25" s="35" t="n">
        <v>0</v>
      </c>
      <c r="S25" s="35" t="n">
        <v>1404</v>
      </c>
      <c r="T25" s="35" t="n">
        <v>936</v>
      </c>
      <c r="U25" s="35" t="n">
        <v>0</v>
      </c>
      <c r="V25" s="35" t="n">
        <v>0</v>
      </c>
      <c r="W25" s="35" t="n">
        <v>0</v>
      </c>
      <c r="X25" s="35" t="s">
        <v>416</v>
      </c>
      <c r="Y25" s="35" t="s">
        <v>417</v>
      </c>
      <c r="AA25" s="35" t="n">
        <v>0</v>
      </c>
      <c r="AB25" s="35" t="s">
        <v>412</v>
      </c>
      <c r="AC25" s="35" t="s">
        <v>418</v>
      </c>
      <c r="AD25" s="35" t="s">
        <v>333</v>
      </c>
    </row>
    <row r="26" customFormat="false" ht="12.75" hidden="false" customHeight="false" outlineLevel="0" collapsed="false">
      <c r="A26" s="35" t="s">
        <v>447</v>
      </c>
      <c r="B26" s="35" t="s">
        <v>448</v>
      </c>
      <c r="C26" s="35" t="s">
        <v>411</v>
      </c>
      <c r="D26" s="35" t="s">
        <v>467</v>
      </c>
      <c r="E26" s="35" t="s">
        <v>468</v>
      </c>
      <c r="F26" s="35" t="s">
        <v>491</v>
      </c>
      <c r="G26" s="36" t="s">
        <v>492</v>
      </c>
      <c r="H26" s="35" t="s">
        <v>78</v>
      </c>
      <c r="I26" s="35" t="s">
        <v>81</v>
      </c>
      <c r="J26" s="35" t="s">
        <v>75</v>
      </c>
      <c r="K26" s="35" t="s">
        <v>75</v>
      </c>
      <c r="L26" s="35" t="n">
        <v>26</v>
      </c>
      <c r="M26" s="35" t="s">
        <v>74</v>
      </c>
      <c r="N26" s="35" t="s">
        <v>74</v>
      </c>
      <c r="O26" s="35" t="s">
        <v>75</v>
      </c>
      <c r="P26" s="35" t="n">
        <v>22687</v>
      </c>
      <c r="Q26" s="35" t="n">
        <v>907</v>
      </c>
      <c r="R26" s="35" t="n">
        <v>0</v>
      </c>
      <c r="S26" s="35" t="n">
        <v>681</v>
      </c>
      <c r="T26" s="35" t="n">
        <v>454</v>
      </c>
      <c r="U26" s="35" t="n">
        <v>0</v>
      </c>
      <c r="V26" s="35" t="n">
        <v>0</v>
      </c>
      <c r="W26" s="35" t="n">
        <v>0</v>
      </c>
      <c r="X26" s="35" t="s">
        <v>416</v>
      </c>
      <c r="Y26" s="35" t="s">
        <v>417</v>
      </c>
      <c r="AA26" s="35" t="n">
        <v>0</v>
      </c>
      <c r="AB26" s="35" t="s">
        <v>467</v>
      </c>
      <c r="AC26" s="35" t="s">
        <v>418</v>
      </c>
    </row>
    <row r="27" customFormat="false" ht="12.75" hidden="false" customHeight="false" outlineLevel="0" collapsed="false">
      <c r="A27" s="35" t="s">
        <v>453</v>
      </c>
      <c r="B27" s="35" t="s">
        <v>454</v>
      </c>
      <c r="C27" s="35" t="s">
        <v>411</v>
      </c>
      <c r="D27" s="35" t="s">
        <v>433</v>
      </c>
      <c r="E27" s="35" t="s">
        <v>434</v>
      </c>
      <c r="F27" s="35" t="s">
        <v>493</v>
      </c>
      <c r="G27" s="36" t="s">
        <v>494</v>
      </c>
      <c r="H27" s="35" t="s">
        <v>78</v>
      </c>
      <c r="I27" s="35" t="s">
        <v>72</v>
      </c>
      <c r="J27" s="35" t="s">
        <v>75</v>
      </c>
      <c r="K27" s="35" t="s">
        <v>75</v>
      </c>
      <c r="L27" s="35" t="n">
        <v>58</v>
      </c>
      <c r="M27" s="35" t="s">
        <v>74</v>
      </c>
      <c r="N27" s="35" t="s">
        <v>74</v>
      </c>
      <c r="O27" s="35" t="s">
        <v>75</v>
      </c>
      <c r="P27" s="35" t="n">
        <v>45319</v>
      </c>
      <c r="Q27" s="35" t="n">
        <v>1813</v>
      </c>
      <c r="R27" s="35" t="n">
        <v>0</v>
      </c>
      <c r="S27" s="35" t="n">
        <v>1360</v>
      </c>
      <c r="T27" s="35" t="n">
        <v>906</v>
      </c>
      <c r="U27" s="35" t="n">
        <v>0</v>
      </c>
      <c r="V27" s="35" t="n">
        <v>0</v>
      </c>
      <c r="W27" s="35" t="n">
        <v>0</v>
      </c>
      <c r="X27" s="35" t="s">
        <v>416</v>
      </c>
      <c r="Y27" s="35" t="s">
        <v>417</v>
      </c>
      <c r="AA27" s="35" t="n">
        <v>0</v>
      </c>
      <c r="AB27" s="35" t="s">
        <v>433</v>
      </c>
      <c r="AC27" s="35" t="s">
        <v>418</v>
      </c>
      <c r="AD27" s="35" t="s">
        <v>198</v>
      </c>
    </row>
    <row r="28" customFormat="false" ht="12.75" hidden="false" customHeight="false" outlineLevel="0" collapsed="false">
      <c r="A28" s="35" t="s">
        <v>419</v>
      </c>
      <c r="B28" s="35" t="s">
        <v>420</v>
      </c>
      <c r="C28" s="35" t="s">
        <v>411</v>
      </c>
      <c r="D28" s="35" t="s">
        <v>427</v>
      </c>
      <c r="E28" s="35" t="s">
        <v>428</v>
      </c>
      <c r="F28" s="35" t="s">
        <v>495</v>
      </c>
      <c r="G28" s="36" t="s">
        <v>496</v>
      </c>
      <c r="H28" s="35" t="s">
        <v>78</v>
      </c>
      <c r="I28" s="35" t="s">
        <v>72</v>
      </c>
      <c r="J28" s="35" t="s">
        <v>75</v>
      </c>
      <c r="K28" s="35" t="s">
        <v>75</v>
      </c>
      <c r="L28" s="35" t="n">
        <v>54</v>
      </c>
      <c r="M28" s="35" t="s">
        <v>74</v>
      </c>
      <c r="N28" s="35" t="s">
        <v>74</v>
      </c>
      <c r="O28" s="35" t="s">
        <v>75</v>
      </c>
      <c r="P28" s="35" t="n">
        <v>39189</v>
      </c>
      <c r="Q28" s="35" t="n">
        <v>1568</v>
      </c>
      <c r="R28" s="35" t="n">
        <v>1959</v>
      </c>
      <c r="S28" s="35" t="n">
        <v>1176</v>
      </c>
      <c r="T28" s="35" t="n">
        <v>784</v>
      </c>
      <c r="U28" s="35" t="n">
        <v>2351</v>
      </c>
      <c r="V28" s="35" t="n">
        <v>9797</v>
      </c>
      <c r="W28" s="35" t="n">
        <v>0</v>
      </c>
      <c r="X28" s="35" t="s">
        <v>416</v>
      </c>
      <c r="Y28" s="35" t="s">
        <v>417</v>
      </c>
      <c r="AA28" s="35" t="n">
        <v>1200</v>
      </c>
      <c r="AB28" s="35" t="s">
        <v>427</v>
      </c>
      <c r="AC28" s="35" t="s">
        <v>418</v>
      </c>
      <c r="AD28" s="35" t="s">
        <v>366</v>
      </c>
    </row>
    <row r="29" customFormat="false" ht="12.75" hidden="false" customHeight="false" outlineLevel="0" collapsed="false">
      <c r="A29" s="35" t="s">
        <v>419</v>
      </c>
      <c r="B29" s="35" t="s">
        <v>420</v>
      </c>
      <c r="C29" s="35" t="s">
        <v>411</v>
      </c>
      <c r="D29" s="35" t="s">
        <v>443</v>
      </c>
      <c r="E29" s="35" t="s">
        <v>444</v>
      </c>
      <c r="F29" s="35" t="s">
        <v>497</v>
      </c>
      <c r="G29" s="36" t="s">
        <v>498</v>
      </c>
      <c r="H29" s="35" t="s">
        <v>73</v>
      </c>
      <c r="I29" s="35" t="s">
        <v>72</v>
      </c>
      <c r="J29" s="35" t="s">
        <v>74</v>
      </c>
      <c r="K29" s="35" t="s">
        <v>75</v>
      </c>
      <c r="L29" s="35" t="n">
        <v>47</v>
      </c>
      <c r="M29" s="35" t="s">
        <v>74</v>
      </c>
      <c r="N29" s="35" t="s">
        <v>74</v>
      </c>
      <c r="O29" s="35" t="s">
        <v>75</v>
      </c>
      <c r="P29" s="35" t="n">
        <v>36862</v>
      </c>
      <c r="Q29" s="35" t="n">
        <v>1474</v>
      </c>
      <c r="R29" s="35" t="n">
        <v>1843</v>
      </c>
      <c r="S29" s="35" t="n">
        <v>1106</v>
      </c>
      <c r="T29" s="35" t="n">
        <v>737</v>
      </c>
      <c r="U29" s="35" t="n">
        <v>2212</v>
      </c>
      <c r="V29" s="35" t="n">
        <v>9216</v>
      </c>
      <c r="W29" s="35" t="n">
        <v>0</v>
      </c>
      <c r="X29" s="35" t="s">
        <v>416</v>
      </c>
      <c r="Y29" s="35" t="s">
        <v>417</v>
      </c>
      <c r="AA29" s="35" t="n">
        <v>1200</v>
      </c>
      <c r="AB29" s="35" t="s">
        <v>443</v>
      </c>
      <c r="AC29" s="35" t="s">
        <v>418</v>
      </c>
      <c r="AD29" s="35" t="s">
        <v>207</v>
      </c>
    </row>
    <row r="30" customFormat="false" ht="12.75" hidden="false" customHeight="false" outlineLevel="0" collapsed="false">
      <c r="A30" s="35" t="s">
        <v>425</v>
      </c>
      <c r="B30" s="35" t="s">
        <v>426</v>
      </c>
      <c r="C30" s="35" t="s">
        <v>411</v>
      </c>
      <c r="D30" s="35" t="s">
        <v>433</v>
      </c>
      <c r="E30" s="35" t="s">
        <v>434</v>
      </c>
      <c r="F30" s="35" t="s">
        <v>499</v>
      </c>
      <c r="G30" s="36" t="s">
        <v>500</v>
      </c>
      <c r="H30" s="35" t="s">
        <v>78</v>
      </c>
      <c r="I30" s="35" t="s">
        <v>72</v>
      </c>
      <c r="J30" s="35" t="s">
        <v>75</v>
      </c>
      <c r="K30" s="35" t="s">
        <v>75</v>
      </c>
      <c r="L30" s="35" t="n">
        <v>37</v>
      </c>
      <c r="M30" s="35" t="s">
        <v>74</v>
      </c>
      <c r="N30" s="35" t="s">
        <v>74</v>
      </c>
      <c r="O30" s="35" t="s">
        <v>75</v>
      </c>
      <c r="P30" s="35" t="n">
        <v>55430</v>
      </c>
      <c r="Q30" s="35" t="n">
        <v>2217</v>
      </c>
      <c r="R30" s="35" t="n">
        <v>0</v>
      </c>
      <c r="S30" s="35" t="n">
        <v>1663</v>
      </c>
      <c r="T30" s="35" t="n">
        <v>1109</v>
      </c>
      <c r="U30" s="35" t="n">
        <v>3326</v>
      </c>
      <c r="V30" s="35" t="n">
        <v>13858</v>
      </c>
      <c r="W30" s="35" t="n">
        <v>0</v>
      </c>
      <c r="X30" s="35" t="s">
        <v>416</v>
      </c>
      <c r="Y30" s="35" t="s">
        <v>417</v>
      </c>
      <c r="AA30" s="35" t="n">
        <v>640</v>
      </c>
      <c r="AB30" s="35" t="s">
        <v>433</v>
      </c>
      <c r="AC30" s="35" t="s">
        <v>418</v>
      </c>
      <c r="AD30" s="35" t="s">
        <v>174</v>
      </c>
    </row>
    <row r="31" customFormat="false" ht="12.75" hidden="false" customHeight="false" outlineLevel="0" collapsed="false">
      <c r="A31" s="35" t="s">
        <v>431</v>
      </c>
      <c r="B31" s="35" t="s">
        <v>432</v>
      </c>
      <c r="C31" s="35" t="s">
        <v>411</v>
      </c>
      <c r="D31" s="35" t="s">
        <v>437</v>
      </c>
      <c r="E31" s="35" t="s">
        <v>438</v>
      </c>
      <c r="F31" s="35" t="s">
        <v>501</v>
      </c>
      <c r="G31" s="36" t="s">
        <v>502</v>
      </c>
      <c r="H31" s="35" t="s">
        <v>78</v>
      </c>
      <c r="I31" s="35" t="s">
        <v>72</v>
      </c>
      <c r="J31" s="35" t="s">
        <v>75</v>
      </c>
      <c r="K31" s="35" t="s">
        <v>75</v>
      </c>
      <c r="L31" s="35" t="n">
        <v>44</v>
      </c>
      <c r="M31" s="35" t="s">
        <v>74</v>
      </c>
      <c r="N31" s="35" t="s">
        <v>74</v>
      </c>
      <c r="O31" s="35" t="s">
        <v>75</v>
      </c>
      <c r="P31" s="35" t="n">
        <v>43489</v>
      </c>
      <c r="Q31" s="35" t="n">
        <v>1740</v>
      </c>
      <c r="R31" s="35" t="n">
        <v>2174</v>
      </c>
      <c r="S31" s="35" t="n">
        <v>1305</v>
      </c>
      <c r="T31" s="35" t="n">
        <v>870</v>
      </c>
      <c r="U31" s="35" t="n">
        <v>2609</v>
      </c>
      <c r="V31" s="35" t="n">
        <v>10872</v>
      </c>
      <c r="W31" s="35" t="n">
        <v>0</v>
      </c>
      <c r="X31" s="35" t="s">
        <v>416</v>
      </c>
      <c r="Y31" s="35" t="s">
        <v>417</v>
      </c>
      <c r="AA31" s="35" t="n">
        <v>320</v>
      </c>
      <c r="AB31" s="35" t="s">
        <v>437</v>
      </c>
      <c r="AC31" s="35" t="s">
        <v>418</v>
      </c>
      <c r="AD31" s="35" t="s">
        <v>104</v>
      </c>
    </row>
    <row r="32" customFormat="false" ht="12.75" hidden="false" customHeight="false" outlineLevel="0" collapsed="false">
      <c r="A32" s="35" t="s">
        <v>453</v>
      </c>
      <c r="B32" s="35" t="s">
        <v>454</v>
      </c>
      <c r="C32" s="35" t="s">
        <v>411</v>
      </c>
      <c r="D32" s="35" t="s">
        <v>437</v>
      </c>
      <c r="E32" s="35" t="s">
        <v>438</v>
      </c>
      <c r="F32" s="35" t="s">
        <v>344</v>
      </c>
      <c r="G32" s="36" t="s">
        <v>503</v>
      </c>
      <c r="H32" s="35" t="s">
        <v>73</v>
      </c>
      <c r="I32" s="35" t="s">
        <v>143</v>
      </c>
      <c r="J32" s="35" t="s">
        <v>75</v>
      </c>
      <c r="K32" s="35" t="s">
        <v>75</v>
      </c>
      <c r="L32" s="35" t="n">
        <v>39</v>
      </c>
      <c r="M32" s="35" t="s">
        <v>74</v>
      </c>
      <c r="N32" s="35" t="s">
        <v>74</v>
      </c>
      <c r="O32" s="35" t="s">
        <v>75</v>
      </c>
      <c r="P32" s="35" t="n">
        <v>43712</v>
      </c>
      <c r="Q32" s="35" t="n">
        <v>1748</v>
      </c>
      <c r="R32" s="35" t="n">
        <v>0</v>
      </c>
      <c r="S32" s="35" t="n">
        <v>1311</v>
      </c>
      <c r="T32" s="35" t="n">
        <v>874</v>
      </c>
      <c r="U32" s="35" t="n">
        <v>0</v>
      </c>
      <c r="V32" s="35" t="n">
        <v>0</v>
      </c>
      <c r="W32" s="35" t="n">
        <v>0</v>
      </c>
      <c r="X32" s="35" t="s">
        <v>416</v>
      </c>
      <c r="Y32" s="35" t="s">
        <v>417</v>
      </c>
      <c r="AA32" s="35" t="n">
        <v>0</v>
      </c>
      <c r="AB32" s="35" t="s">
        <v>437</v>
      </c>
      <c r="AC32" s="35" t="s">
        <v>418</v>
      </c>
      <c r="AD32" s="35" t="s">
        <v>293</v>
      </c>
    </row>
    <row r="33" customFormat="false" ht="12.75" hidden="false" customHeight="false" outlineLevel="0" collapsed="false">
      <c r="A33" s="35" t="s">
        <v>453</v>
      </c>
      <c r="B33" s="35" t="s">
        <v>454</v>
      </c>
      <c r="C33" s="35" t="s">
        <v>411</v>
      </c>
      <c r="D33" s="35" t="s">
        <v>459</v>
      </c>
      <c r="E33" s="35" t="s">
        <v>460</v>
      </c>
      <c r="F33" s="35" t="s">
        <v>504</v>
      </c>
      <c r="G33" s="36" t="s">
        <v>505</v>
      </c>
      <c r="H33" s="35" t="s">
        <v>73</v>
      </c>
      <c r="I33" s="35" t="s">
        <v>81</v>
      </c>
      <c r="J33" s="35" t="s">
        <v>75</v>
      </c>
      <c r="K33" s="35" t="s">
        <v>75</v>
      </c>
      <c r="L33" s="35" t="n">
        <v>33</v>
      </c>
      <c r="M33" s="35" t="s">
        <v>74</v>
      </c>
      <c r="N33" s="35" t="s">
        <v>74</v>
      </c>
      <c r="O33" s="35" t="s">
        <v>75</v>
      </c>
      <c r="P33" s="35" t="n">
        <v>26192</v>
      </c>
      <c r="Q33" s="35" t="n">
        <v>1048</v>
      </c>
      <c r="R33" s="35" t="n">
        <v>0</v>
      </c>
      <c r="S33" s="35" t="n">
        <v>786</v>
      </c>
      <c r="T33" s="35" t="n">
        <v>524</v>
      </c>
      <c r="U33" s="35" t="n">
        <v>0</v>
      </c>
      <c r="V33" s="35" t="n">
        <v>0</v>
      </c>
      <c r="W33" s="35" t="n">
        <v>0</v>
      </c>
      <c r="X33" s="35" t="s">
        <v>416</v>
      </c>
      <c r="Y33" s="35" t="s">
        <v>417</v>
      </c>
      <c r="AA33" s="35" t="n">
        <v>0</v>
      </c>
      <c r="AB33" s="35" t="s">
        <v>459</v>
      </c>
      <c r="AC33" s="35" t="s">
        <v>418</v>
      </c>
    </row>
    <row r="34" customFormat="false" ht="12.75" hidden="false" customHeight="false" outlineLevel="0" collapsed="false">
      <c r="A34" s="35" t="s">
        <v>431</v>
      </c>
      <c r="B34" s="35" t="s">
        <v>432</v>
      </c>
      <c r="C34" s="35" t="s">
        <v>411</v>
      </c>
      <c r="D34" s="35" t="s">
        <v>449</v>
      </c>
      <c r="E34" s="35" t="s">
        <v>450</v>
      </c>
      <c r="F34" s="35" t="s">
        <v>506</v>
      </c>
      <c r="G34" s="36" t="s">
        <v>507</v>
      </c>
      <c r="H34" s="35" t="s">
        <v>73</v>
      </c>
      <c r="I34" s="35" t="s">
        <v>72</v>
      </c>
      <c r="J34" s="35" t="s">
        <v>75</v>
      </c>
      <c r="K34" s="35" t="s">
        <v>75</v>
      </c>
      <c r="L34" s="35" t="n">
        <v>32</v>
      </c>
      <c r="M34" s="35" t="s">
        <v>74</v>
      </c>
      <c r="N34" s="35" t="s">
        <v>74</v>
      </c>
      <c r="O34" s="35" t="s">
        <v>75</v>
      </c>
      <c r="P34" s="35" t="n">
        <v>51179</v>
      </c>
      <c r="Q34" s="35" t="n">
        <v>2047</v>
      </c>
      <c r="R34" s="35" t="n">
        <v>2559</v>
      </c>
      <c r="S34" s="35" t="n">
        <v>1535</v>
      </c>
      <c r="T34" s="35" t="n">
        <v>1024</v>
      </c>
      <c r="U34" s="35" t="n">
        <v>3071</v>
      </c>
      <c r="V34" s="35" t="n">
        <v>12795</v>
      </c>
      <c r="W34" s="35" t="n">
        <v>0</v>
      </c>
      <c r="X34" s="35" t="s">
        <v>416</v>
      </c>
      <c r="Y34" s="35" t="s">
        <v>417</v>
      </c>
      <c r="AA34" s="35" t="n">
        <v>320</v>
      </c>
      <c r="AB34" s="35" t="s">
        <v>449</v>
      </c>
      <c r="AC34" s="35" t="s">
        <v>418</v>
      </c>
      <c r="AD34" s="35" t="s">
        <v>215</v>
      </c>
    </row>
    <row r="35" customFormat="false" ht="12.75" hidden="false" customHeight="false" outlineLevel="0" collapsed="false">
      <c r="A35" s="35" t="s">
        <v>431</v>
      </c>
      <c r="B35" s="35" t="s">
        <v>432</v>
      </c>
      <c r="C35" s="35" t="s">
        <v>411</v>
      </c>
      <c r="D35" s="35" t="s">
        <v>459</v>
      </c>
      <c r="E35" s="35" t="s">
        <v>460</v>
      </c>
      <c r="F35" s="35" t="s">
        <v>508</v>
      </c>
      <c r="G35" s="36" t="s">
        <v>509</v>
      </c>
      <c r="H35" s="35" t="s">
        <v>73</v>
      </c>
      <c r="I35" s="35" t="s">
        <v>72</v>
      </c>
      <c r="J35" s="35" t="s">
        <v>75</v>
      </c>
      <c r="K35" s="35" t="s">
        <v>75</v>
      </c>
      <c r="L35" s="35" t="n">
        <v>32</v>
      </c>
      <c r="M35" s="35" t="s">
        <v>75</v>
      </c>
      <c r="N35" s="35" t="s">
        <v>74</v>
      </c>
      <c r="O35" s="35" t="s">
        <v>74</v>
      </c>
      <c r="P35" s="35" t="n">
        <v>33899</v>
      </c>
      <c r="Q35" s="35" t="n">
        <v>1356</v>
      </c>
      <c r="R35" s="35" t="n">
        <v>1695</v>
      </c>
      <c r="S35" s="35" t="n">
        <v>1017</v>
      </c>
      <c r="T35" s="35" t="n">
        <v>678</v>
      </c>
      <c r="U35" s="35" t="n">
        <v>2034</v>
      </c>
      <c r="V35" s="35" t="n">
        <v>8475</v>
      </c>
      <c r="W35" s="35" t="n">
        <v>0</v>
      </c>
      <c r="X35" s="35" t="s">
        <v>416</v>
      </c>
      <c r="Y35" s="35" t="s">
        <v>417</v>
      </c>
      <c r="AA35" s="35" t="n">
        <v>320</v>
      </c>
      <c r="AB35" s="35" t="s">
        <v>459</v>
      </c>
      <c r="AC35" s="35" t="s">
        <v>418</v>
      </c>
    </row>
    <row r="36" customFormat="false" ht="12.75" hidden="false" customHeight="false" outlineLevel="0" collapsed="false">
      <c r="A36" s="35" t="s">
        <v>419</v>
      </c>
      <c r="B36" s="35" t="s">
        <v>420</v>
      </c>
      <c r="C36" s="35" t="s">
        <v>411</v>
      </c>
      <c r="D36" s="35" t="s">
        <v>427</v>
      </c>
      <c r="E36" s="35" t="s">
        <v>428</v>
      </c>
      <c r="F36" s="35" t="s">
        <v>510</v>
      </c>
      <c r="G36" s="36" t="s">
        <v>511</v>
      </c>
      <c r="H36" s="35" t="s">
        <v>73</v>
      </c>
      <c r="I36" s="35" t="s">
        <v>72</v>
      </c>
      <c r="J36" s="35" t="s">
        <v>75</v>
      </c>
      <c r="K36" s="35" t="s">
        <v>75</v>
      </c>
      <c r="L36" s="35" t="n">
        <v>32</v>
      </c>
      <c r="M36" s="35" t="s">
        <v>74</v>
      </c>
      <c r="N36" s="35" t="s">
        <v>74</v>
      </c>
      <c r="O36" s="35" t="s">
        <v>75</v>
      </c>
      <c r="P36" s="35" t="n">
        <v>41527</v>
      </c>
      <c r="Q36" s="35" t="n">
        <v>1661</v>
      </c>
      <c r="R36" s="35" t="n">
        <v>2076</v>
      </c>
      <c r="S36" s="35" t="n">
        <v>1246</v>
      </c>
      <c r="T36" s="35" t="n">
        <v>831</v>
      </c>
      <c r="U36" s="35" t="n">
        <v>2492</v>
      </c>
      <c r="V36" s="35" t="n">
        <v>10382</v>
      </c>
      <c r="W36" s="35" t="n">
        <v>0</v>
      </c>
      <c r="X36" s="35" t="s">
        <v>416</v>
      </c>
      <c r="Y36" s="35" t="s">
        <v>417</v>
      </c>
      <c r="AA36" s="35" t="n">
        <v>320</v>
      </c>
      <c r="AB36" s="35" t="s">
        <v>427</v>
      </c>
      <c r="AC36" s="35" t="s">
        <v>418</v>
      </c>
      <c r="AD36" s="35" t="s">
        <v>309</v>
      </c>
    </row>
    <row r="37" customFormat="false" ht="12.75" hidden="false" customHeight="false" outlineLevel="0" collapsed="false">
      <c r="A37" s="35" t="s">
        <v>419</v>
      </c>
      <c r="B37" s="35" t="s">
        <v>420</v>
      </c>
      <c r="C37" s="35" t="s">
        <v>411</v>
      </c>
      <c r="D37" s="35" t="s">
        <v>443</v>
      </c>
      <c r="E37" s="35" t="s">
        <v>444</v>
      </c>
      <c r="F37" s="35" t="s">
        <v>512</v>
      </c>
      <c r="G37" s="36" t="s">
        <v>513</v>
      </c>
      <c r="H37" s="35" t="s">
        <v>73</v>
      </c>
      <c r="I37" s="35" t="s">
        <v>72</v>
      </c>
      <c r="J37" s="35" t="s">
        <v>75</v>
      </c>
      <c r="K37" s="35" t="s">
        <v>75</v>
      </c>
      <c r="L37" s="35" t="n">
        <v>27</v>
      </c>
      <c r="M37" s="35" t="s">
        <v>75</v>
      </c>
      <c r="N37" s="35" t="s">
        <v>74</v>
      </c>
      <c r="O37" s="35" t="s">
        <v>74</v>
      </c>
      <c r="P37" s="35" t="n">
        <v>38494</v>
      </c>
      <c r="Q37" s="35" t="n">
        <v>1540</v>
      </c>
      <c r="R37" s="35" t="n">
        <v>1925</v>
      </c>
      <c r="S37" s="35" t="n">
        <v>1155</v>
      </c>
      <c r="T37" s="35" t="n">
        <v>770</v>
      </c>
      <c r="U37" s="35" t="n">
        <v>2310</v>
      </c>
      <c r="V37" s="35" t="n">
        <v>9624</v>
      </c>
      <c r="W37" s="35" t="n">
        <v>0</v>
      </c>
      <c r="X37" s="35" t="s">
        <v>416</v>
      </c>
      <c r="Y37" s="35" t="s">
        <v>417</v>
      </c>
      <c r="AA37" s="35" t="n">
        <v>960</v>
      </c>
      <c r="AB37" s="35" t="s">
        <v>443</v>
      </c>
      <c r="AC37" s="35" t="s">
        <v>418</v>
      </c>
    </row>
  </sheetData>
  <mergeCells count="1">
    <mergeCell ref="A1:AD1"/>
  </mergeCells>
  <dataValidations count="7">
    <dataValidation allowBlank="true" errorStyle="stop" operator="between" showDropDown="false" showErrorMessage="true" showInputMessage="true" sqref="P3:W1037" type="decimal">
      <formula1>0</formula1>
      <formula2>100000000</formula2>
    </dataValidation>
    <dataValidation allowBlank="true" errorStyle="stop" operator="greaterThanOrEqual" showDropDown="false" showErrorMessage="true" showInputMessage="true" sqref="L3:L1037" type="whole">
      <formula1>0</formula1>
      <formula2>0</formula2>
    </dataValidation>
    <dataValidation allowBlank="true" errorStyle="stop" operator="between" showDropDown="false" showErrorMessage="true" showInputMessage="true" sqref="H3:H1037" type="list">
      <formula1>"Male,Female"</formula1>
      <formula2>0</formula2>
    </dataValidation>
    <dataValidation allowBlank="true" errorStyle="stop" operator="between" showDropDown="false" showErrorMessage="true" showInputMessage="true" sqref="I3:I1037" type="list">
      <formula1>"African,Coloured,Indian,White"</formula1>
      <formula2>0</formula2>
    </dataValidation>
    <dataValidation allowBlank="true" errorStyle="stop" operator="between" showDropDown="false" showErrorMessage="true" showInputMessage="true" sqref="D3:D1037"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037 M3:O1037"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514</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515</v>
      </c>
      <c r="B2" s="53" t="s">
        <v>516</v>
      </c>
      <c r="C2" s="54" t="s">
        <v>517</v>
      </c>
      <c r="D2" s="54" t="s">
        <v>518</v>
      </c>
      <c r="E2" s="54" t="s">
        <v>519</v>
      </c>
      <c r="F2" s="54" t="s">
        <v>520</v>
      </c>
      <c r="G2" s="54" t="s">
        <v>521</v>
      </c>
      <c r="H2" s="54" t="s">
        <v>522</v>
      </c>
      <c r="I2" s="54" t="s">
        <v>523</v>
      </c>
      <c r="J2" s="54" t="s">
        <v>524</v>
      </c>
      <c r="K2" s="54" t="s">
        <v>525</v>
      </c>
      <c r="L2" s="54" t="s">
        <v>526</v>
      </c>
      <c r="M2" s="54" t="s">
        <v>527</v>
      </c>
      <c r="N2" s="54" t="s">
        <v>528</v>
      </c>
      <c r="O2" s="54" t="s">
        <v>529</v>
      </c>
      <c r="P2" s="53" t="s">
        <v>530</v>
      </c>
      <c r="Q2" s="54" t="s">
        <v>407</v>
      </c>
      <c r="R2" s="54" t="s">
        <v>408</v>
      </c>
      <c r="S2" s="54" t="s">
        <v>531</v>
      </c>
    </row>
    <row r="3" s="60" customFormat="true" ht="12.75" hidden="false" customHeight="false" outlineLevel="0" collapsed="false">
      <c r="A3" s="56" t="s">
        <v>532</v>
      </c>
      <c r="B3" s="56" t="s">
        <v>533</v>
      </c>
      <c r="C3" s="56" t="s">
        <v>534</v>
      </c>
      <c r="D3" s="56" t="s">
        <v>535</v>
      </c>
      <c r="E3" s="56" t="s">
        <v>536</v>
      </c>
      <c r="F3" s="56" t="s">
        <v>74</v>
      </c>
      <c r="G3" s="57" t="s">
        <v>537</v>
      </c>
      <c r="H3" s="56" t="s">
        <v>533</v>
      </c>
      <c r="I3" s="58" t="n">
        <v>100</v>
      </c>
      <c r="J3" s="58" t="n">
        <v>30</v>
      </c>
      <c r="K3" s="56" t="s">
        <v>75</v>
      </c>
      <c r="L3" s="58"/>
      <c r="M3" s="56" t="s">
        <v>74</v>
      </c>
      <c r="N3" s="56" t="s">
        <v>75</v>
      </c>
      <c r="O3" s="56" t="s">
        <v>74</v>
      </c>
      <c r="P3" s="59" t="n">
        <v>210723</v>
      </c>
      <c r="Q3" s="60" t="s">
        <v>449</v>
      </c>
      <c r="R3" s="60" t="s">
        <v>538</v>
      </c>
      <c r="S3" s="61" t="s">
        <v>539</v>
      </c>
    </row>
    <row r="4" s="60" customFormat="true" ht="12.75" hidden="false" customHeight="false" outlineLevel="0" collapsed="false">
      <c r="A4" s="56" t="s">
        <v>540</v>
      </c>
      <c r="B4" s="56" t="s">
        <v>541</v>
      </c>
      <c r="C4" s="56" t="s">
        <v>542</v>
      </c>
      <c r="D4" s="56" t="s">
        <v>543</v>
      </c>
      <c r="E4" s="56" t="s">
        <v>536</v>
      </c>
      <c r="F4" s="56" t="s">
        <v>74</v>
      </c>
      <c r="G4" s="57" t="s">
        <v>537</v>
      </c>
      <c r="H4" s="56" t="s">
        <v>541</v>
      </c>
      <c r="I4" s="58" t="n">
        <v>51</v>
      </c>
      <c r="J4" s="58" t="n">
        <v>0</v>
      </c>
      <c r="K4" s="56" t="s">
        <v>75</v>
      </c>
      <c r="L4" s="58"/>
      <c r="M4" s="56" t="s">
        <v>75</v>
      </c>
      <c r="N4" s="56" t="s">
        <v>74</v>
      </c>
      <c r="O4" s="56" t="s">
        <v>75</v>
      </c>
      <c r="P4" s="59" t="n">
        <v>357947</v>
      </c>
      <c r="Q4" s="60" t="s">
        <v>467</v>
      </c>
      <c r="R4" s="60" t="s">
        <v>544</v>
      </c>
      <c r="S4" s="61" t="s">
        <v>539</v>
      </c>
    </row>
    <row r="5" s="60" customFormat="true" ht="12.75" hidden="false" customHeight="false" outlineLevel="0" collapsed="false">
      <c r="A5" s="56" t="s">
        <v>545</v>
      </c>
      <c r="B5" s="56" t="s">
        <v>546</v>
      </c>
      <c r="C5" s="56" t="s">
        <v>534</v>
      </c>
      <c r="D5" s="56" t="s">
        <v>547</v>
      </c>
      <c r="E5" s="56" t="s">
        <v>536</v>
      </c>
      <c r="F5" s="56" t="s">
        <v>74</v>
      </c>
      <c r="G5" s="57" t="s">
        <v>537</v>
      </c>
      <c r="H5" s="56" t="s">
        <v>546</v>
      </c>
      <c r="I5" s="58" t="n">
        <v>51</v>
      </c>
      <c r="J5" s="58" t="n">
        <v>55</v>
      </c>
      <c r="K5" s="56" t="s">
        <v>75</v>
      </c>
      <c r="L5" s="58"/>
      <c r="M5" s="56" t="s">
        <v>75</v>
      </c>
      <c r="N5" s="56" t="s">
        <v>74</v>
      </c>
      <c r="O5" s="56" t="s">
        <v>75</v>
      </c>
      <c r="P5" s="59" t="n">
        <v>544663</v>
      </c>
      <c r="Q5" s="60" t="s">
        <v>437</v>
      </c>
      <c r="R5" s="60" t="s">
        <v>418</v>
      </c>
      <c r="S5" s="61" t="s">
        <v>539</v>
      </c>
    </row>
    <row r="6" customFormat="false" ht="12.75" hidden="false" customHeight="false" outlineLevel="0" collapsed="false">
      <c r="A6" s="56" t="s">
        <v>548</v>
      </c>
      <c r="B6" s="56" t="s">
        <v>533</v>
      </c>
      <c r="C6" s="56" t="s">
        <v>534</v>
      </c>
      <c r="D6" s="56" t="s">
        <v>549</v>
      </c>
      <c r="E6" s="56" t="s">
        <v>536</v>
      </c>
      <c r="F6" s="56" t="s">
        <v>74</v>
      </c>
      <c r="G6" s="57" t="s">
        <v>537</v>
      </c>
      <c r="H6" s="56" t="s">
        <v>533</v>
      </c>
      <c r="I6" s="58" t="n">
        <v>100</v>
      </c>
      <c r="J6" s="58" t="n">
        <v>10</v>
      </c>
      <c r="K6" s="56" t="s">
        <v>75</v>
      </c>
      <c r="L6" s="58"/>
      <c r="M6" s="56" t="s">
        <v>75</v>
      </c>
      <c r="N6" s="56" t="s">
        <v>75</v>
      </c>
      <c r="O6" s="56" t="s">
        <v>75</v>
      </c>
      <c r="P6" s="59" t="n">
        <v>216248</v>
      </c>
      <c r="Q6" s="60" t="s">
        <v>427</v>
      </c>
      <c r="R6" s="60" t="s">
        <v>544</v>
      </c>
      <c r="S6" s="61" t="s">
        <v>539</v>
      </c>
      <c r="T6" s="60"/>
      <c r="U6" s="60"/>
      <c r="V6" s="60"/>
    </row>
    <row r="7" customFormat="false" ht="12.75" hidden="false" customHeight="false" outlineLevel="0" collapsed="false">
      <c r="A7" s="56" t="s">
        <v>550</v>
      </c>
      <c r="B7" s="56" t="s">
        <v>533</v>
      </c>
      <c r="C7" s="56" t="s">
        <v>534</v>
      </c>
      <c r="D7" s="56" t="s">
        <v>551</v>
      </c>
      <c r="E7" s="56" t="s">
        <v>536</v>
      </c>
      <c r="F7" s="56" t="s">
        <v>74</v>
      </c>
      <c r="G7" s="57" t="s">
        <v>537</v>
      </c>
      <c r="H7" s="56" t="s">
        <v>533</v>
      </c>
      <c r="I7" s="58" t="n">
        <v>75</v>
      </c>
      <c r="J7" s="58" t="n">
        <v>35</v>
      </c>
      <c r="K7" s="56" t="s">
        <v>75</v>
      </c>
      <c r="L7" s="58"/>
      <c r="M7" s="56" t="s">
        <v>74</v>
      </c>
      <c r="N7" s="56" t="s">
        <v>75</v>
      </c>
      <c r="O7" s="56" t="s">
        <v>75</v>
      </c>
      <c r="P7" s="59" t="n">
        <v>204335</v>
      </c>
      <c r="Q7" s="60" t="s">
        <v>467</v>
      </c>
      <c r="R7" s="60" t="s">
        <v>538</v>
      </c>
      <c r="S7" s="61" t="s">
        <v>539</v>
      </c>
      <c r="T7" s="60"/>
      <c r="U7" s="60"/>
      <c r="V7" s="60"/>
    </row>
    <row r="8" customFormat="false" ht="12.75" hidden="false" customHeight="false" outlineLevel="0" collapsed="false">
      <c r="A8" s="56" t="s">
        <v>552</v>
      </c>
      <c r="B8" s="56" t="s">
        <v>533</v>
      </c>
      <c r="C8" s="56" t="s">
        <v>534</v>
      </c>
      <c r="D8" s="56" t="s">
        <v>553</v>
      </c>
      <c r="E8" s="56" t="s">
        <v>536</v>
      </c>
      <c r="F8" s="56" t="s">
        <v>74</v>
      </c>
      <c r="G8" s="57" t="s">
        <v>537</v>
      </c>
      <c r="H8" s="56" t="s">
        <v>533</v>
      </c>
      <c r="I8" s="58" t="n">
        <v>100</v>
      </c>
      <c r="J8" s="58" t="n">
        <v>51</v>
      </c>
      <c r="K8" s="56" t="s">
        <v>75</v>
      </c>
      <c r="L8" s="58"/>
      <c r="M8" s="56" t="s">
        <v>74</v>
      </c>
      <c r="N8" s="56" t="s">
        <v>75</v>
      </c>
      <c r="O8" s="56" t="s">
        <v>74</v>
      </c>
      <c r="P8" s="59" t="n">
        <v>218955</v>
      </c>
      <c r="Q8" s="60" t="s">
        <v>427</v>
      </c>
      <c r="R8" s="60" t="s">
        <v>538</v>
      </c>
      <c r="S8" s="61" t="s">
        <v>539</v>
      </c>
      <c r="T8" s="60"/>
      <c r="U8" s="60"/>
      <c r="V8" s="60"/>
    </row>
    <row r="9" customFormat="false" ht="12.75" hidden="false" customHeight="false" outlineLevel="0" collapsed="false">
      <c r="A9" s="56" t="s">
        <v>554</v>
      </c>
      <c r="B9" s="56" t="s">
        <v>541</v>
      </c>
      <c r="C9" s="56" t="s">
        <v>534</v>
      </c>
      <c r="D9" s="56" t="s">
        <v>555</v>
      </c>
      <c r="E9" s="56" t="s">
        <v>536</v>
      </c>
      <c r="F9" s="56" t="s">
        <v>74</v>
      </c>
      <c r="G9" s="57" t="s">
        <v>537</v>
      </c>
      <c r="H9" s="56" t="s">
        <v>541</v>
      </c>
      <c r="I9" s="58" t="n">
        <v>74</v>
      </c>
      <c r="J9" s="58" t="n">
        <v>55</v>
      </c>
      <c r="K9" s="56" t="s">
        <v>75</v>
      </c>
      <c r="L9" s="58"/>
      <c r="M9" s="56" t="s">
        <v>75</v>
      </c>
      <c r="N9" s="56" t="s">
        <v>74</v>
      </c>
      <c r="O9" s="56" t="s">
        <v>75</v>
      </c>
      <c r="P9" s="59" t="n">
        <v>541841</v>
      </c>
      <c r="Q9" s="60" t="s">
        <v>459</v>
      </c>
      <c r="R9" s="60" t="s">
        <v>538</v>
      </c>
      <c r="S9" s="61" t="s">
        <v>539</v>
      </c>
      <c r="T9" s="60"/>
      <c r="U9" s="60"/>
      <c r="V9" s="60"/>
    </row>
    <row r="10" customFormat="false" ht="12.75" hidden="false" customHeight="false" outlineLevel="0" collapsed="false">
      <c r="A10" s="46" t="s">
        <v>556</v>
      </c>
      <c r="B10" s="46" t="s">
        <v>541</v>
      </c>
      <c r="C10" s="46" t="s">
        <v>534</v>
      </c>
      <c r="D10" s="46" t="s">
        <v>557</v>
      </c>
      <c r="E10" s="46" t="s">
        <v>536</v>
      </c>
      <c r="F10" s="46" t="s">
        <v>74</v>
      </c>
      <c r="G10" s="47" t="s">
        <v>537</v>
      </c>
      <c r="H10" s="46" t="s">
        <v>541</v>
      </c>
      <c r="I10" s="48" t="n">
        <v>100</v>
      </c>
      <c r="J10" s="48" t="n">
        <v>40</v>
      </c>
      <c r="K10" s="46" t="s">
        <v>75</v>
      </c>
      <c r="M10" s="46" t="s">
        <v>75</v>
      </c>
      <c r="N10" s="46" t="s">
        <v>75</v>
      </c>
      <c r="O10" s="46" t="s">
        <v>75</v>
      </c>
      <c r="P10" s="49" t="n">
        <v>541539</v>
      </c>
      <c r="Q10" s="50" t="s">
        <v>433</v>
      </c>
      <c r="R10" s="50" t="s">
        <v>544</v>
      </c>
      <c r="S10" s="51" t="s">
        <v>539</v>
      </c>
    </row>
    <row r="11" customFormat="false" ht="12.75" hidden="false" customHeight="false" outlineLevel="0" collapsed="false">
      <c r="A11" s="46" t="s">
        <v>558</v>
      </c>
      <c r="B11" s="46" t="s">
        <v>546</v>
      </c>
      <c r="C11" s="46" t="s">
        <v>534</v>
      </c>
      <c r="D11" s="46" t="s">
        <v>559</v>
      </c>
      <c r="E11" s="46" t="s">
        <v>536</v>
      </c>
      <c r="F11" s="46" t="s">
        <v>74</v>
      </c>
      <c r="G11" s="47" t="s">
        <v>537</v>
      </c>
      <c r="H11" s="46" t="s">
        <v>546</v>
      </c>
      <c r="I11" s="48" t="n">
        <v>74</v>
      </c>
      <c r="J11" s="48" t="n">
        <v>30</v>
      </c>
      <c r="K11" s="46" t="s">
        <v>75</v>
      </c>
      <c r="M11" s="46" t="s">
        <v>75</v>
      </c>
      <c r="N11" s="46" t="s">
        <v>74</v>
      </c>
      <c r="O11" s="46" t="s">
        <v>75</v>
      </c>
      <c r="P11" s="49" t="n">
        <v>560437</v>
      </c>
      <c r="Q11" s="50" t="s">
        <v>443</v>
      </c>
      <c r="R11" s="50" t="s">
        <v>538</v>
      </c>
      <c r="S11" s="51" t="s">
        <v>539</v>
      </c>
    </row>
    <row r="12" customFormat="false" ht="12.75" hidden="false" customHeight="false" outlineLevel="0" collapsed="false">
      <c r="A12" s="46" t="s">
        <v>560</v>
      </c>
      <c r="B12" s="46" t="s">
        <v>541</v>
      </c>
      <c r="C12" s="46" t="s">
        <v>561</v>
      </c>
      <c r="D12" s="46" t="s">
        <v>562</v>
      </c>
      <c r="E12" s="46" t="s">
        <v>536</v>
      </c>
      <c r="F12" s="46" t="s">
        <v>74</v>
      </c>
      <c r="G12" s="47" t="s">
        <v>537</v>
      </c>
      <c r="H12" s="46" t="s">
        <v>541</v>
      </c>
      <c r="I12" s="48" t="n">
        <v>45</v>
      </c>
      <c r="J12" s="48" t="n">
        <v>0</v>
      </c>
      <c r="K12" s="46" t="s">
        <v>75</v>
      </c>
      <c r="M12" s="46" t="s">
        <v>75</v>
      </c>
      <c r="N12" s="46" t="s">
        <v>74</v>
      </c>
      <c r="O12" s="46" t="s">
        <v>75</v>
      </c>
      <c r="P12" s="49" t="n">
        <v>232089</v>
      </c>
      <c r="Q12" s="50" t="s">
        <v>427</v>
      </c>
      <c r="R12" s="50" t="s">
        <v>544</v>
      </c>
      <c r="S12" s="51" t="s">
        <v>539</v>
      </c>
    </row>
    <row r="13" customFormat="false" ht="12.75" hidden="false" customHeight="false" outlineLevel="0" collapsed="false">
      <c r="A13" s="46" t="s">
        <v>563</v>
      </c>
      <c r="B13" s="46" t="s">
        <v>533</v>
      </c>
      <c r="C13" s="46" t="s">
        <v>534</v>
      </c>
      <c r="D13" s="46" t="s">
        <v>564</v>
      </c>
      <c r="E13" s="46" t="s">
        <v>536</v>
      </c>
      <c r="F13" s="46" t="s">
        <v>74</v>
      </c>
      <c r="G13" s="47" t="s">
        <v>537</v>
      </c>
      <c r="H13" s="46" t="s">
        <v>533</v>
      </c>
      <c r="I13" s="48" t="n">
        <v>75</v>
      </c>
      <c r="J13" s="48" t="n">
        <v>51</v>
      </c>
      <c r="K13" s="46" t="s">
        <v>75</v>
      </c>
      <c r="M13" s="46" t="s">
        <v>74</v>
      </c>
      <c r="N13" s="46" t="s">
        <v>74</v>
      </c>
      <c r="O13" s="46" t="s">
        <v>75</v>
      </c>
      <c r="P13" s="49" t="n">
        <v>190216</v>
      </c>
      <c r="Q13" s="50" t="s">
        <v>459</v>
      </c>
      <c r="R13" s="50" t="s">
        <v>538</v>
      </c>
      <c r="S13" s="51" t="s">
        <v>539</v>
      </c>
    </row>
    <row r="14" customFormat="false" ht="12.75" hidden="false" customHeight="false" outlineLevel="0" collapsed="false">
      <c r="A14" s="46" t="s">
        <v>565</v>
      </c>
      <c r="B14" s="46" t="s">
        <v>541</v>
      </c>
      <c r="C14" s="46" t="s">
        <v>534</v>
      </c>
      <c r="D14" s="46" t="s">
        <v>566</v>
      </c>
      <c r="E14" s="46" t="s">
        <v>536</v>
      </c>
      <c r="F14" s="46" t="s">
        <v>74</v>
      </c>
      <c r="G14" s="47" t="s">
        <v>537</v>
      </c>
      <c r="H14" s="46" t="s">
        <v>541</v>
      </c>
      <c r="I14" s="48" t="n">
        <v>100</v>
      </c>
      <c r="J14" s="48" t="n">
        <v>0</v>
      </c>
      <c r="K14" s="46" t="s">
        <v>75</v>
      </c>
      <c r="M14" s="46" t="s">
        <v>75</v>
      </c>
      <c r="N14" s="46" t="s">
        <v>75</v>
      </c>
      <c r="O14" s="46" t="s">
        <v>75</v>
      </c>
      <c r="P14" s="49" t="n">
        <v>324709</v>
      </c>
      <c r="Q14" s="50" t="s">
        <v>437</v>
      </c>
      <c r="R14" s="50" t="s">
        <v>544</v>
      </c>
      <c r="S14" s="51" t="s">
        <v>539</v>
      </c>
    </row>
    <row r="15" customFormat="false" ht="12.75" hidden="false" customHeight="false" outlineLevel="0" collapsed="false">
      <c r="A15" s="46" t="s">
        <v>567</v>
      </c>
      <c r="B15" s="46" t="s">
        <v>546</v>
      </c>
      <c r="C15" s="46" t="s">
        <v>568</v>
      </c>
      <c r="D15" s="46" t="s">
        <v>569</v>
      </c>
      <c r="E15" s="46" t="s">
        <v>536</v>
      </c>
      <c r="F15" s="46" t="s">
        <v>75</v>
      </c>
      <c r="G15" s="47" t="s">
        <v>537</v>
      </c>
      <c r="H15" s="46" t="s">
        <v>546</v>
      </c>
      <c r="I15" s="48" t="n">
        <v>15</v>
      </c>
      <c r="J15" s="48" t="n">
        <v>0</v>
      </c>
      <c r="K15" s="46" t="s">
        <v>75</v>
      </c>
      <c r="M15" s="46" t="s">
        <v>75</v>
      </c>
      <c r="N15" s="46" t="s">
        <v>75</v>
      </c>
      <c r="O15" s="46" t="s">
        <v>75</v>
      </c>
      <c r="P15" s="49" t="n">
        <v>156778</v>
      </c>
      <c r="Q15" s="50" t="s">
        <v>427</v>
      </c>
      <c r="R15" s="50" t="s">
        <v>538</v>
      </c>
      <c r="S15" s="51" t="s">
        <v>539</v>
      </c>
    </row>
    <row r="16" customFormat="false" ht="12.75" hidden="false" customHeight="false" outlineLevel="0" collapsed="false">
      <c r="A16" s="46" t="s">
        <v>570</v>
      </c>
      <c r="B16" s="46" t="s">
        <v>546</v>
      </c>
      <c r="C16" s="46" t="s">
        <v>571</v>
      </c>
      <c r="D16" s="46" t="s">
        <v>572</v>
      </c>
      <c r="E16" s="46" t="s">
        <v>536</v>
      </c>
      <c r="F16" s="46" t="s">
        <v>75</v>
      </c>
      <c r="G16" s="47" t="s">
        <v>537</v>
      </c>
      <c r="H16" s="46" t="s">
        <v>546</v>
      </c>
      <c r="I16" s="48" t="n">
        <v>0</v>
      </c>
      <c r="J16" s="48" t="n">
        <v>0</v>
      </c>
      <c r="K16" s="46" t="s">
        <v>75</v>
      </c>
      <c r="M16" s="46" t="s">
        <v>75</v>
      </c>
      <c r="N16" s="46" t="s">
        <v>74</v>
      </c>
      <c r="O16" s="46" t="s">
        <v>75</v>
      </c>
      <c r="P16" s="49" t="n">
        <v>114911</v>
      </c>
      <c r="Q16" s="50" t="s">
        <v>467</v>
      </c>
      <c r="R16" s="50" t="s">
        <v>544</v>
      </c>
      <c r="S16" s="51" t="s">
        <v>539</v>
      </c>
    </row>
    <row r="17" customFormat="false" ht="12.75" hidden="false" customHeight="false" outlineLevel="0" collapsed="false">
      <c r="A17" s="46" t="s">
        <v>573</v>
      </c>
      <c r="B17" s="46" t="s">
        <v>541</v>
      </c>
      <c r="C17" s="46" t="s">
        <v>534</v>
      </c>
      <c r="D17" s="46" t="s">
        <v>574</v>
      </c>
      <c r="E17" s="46" t="s">
        <v>536</v>
      </c>
      <c r="F17" s="46" t="s">
        <v>74</v>
      </c>
      <c r="G17" s="47" t="s">
        <v>537</v>
      </c>
      <c r="H17" s="46" t="s">
        <v>541</v>
      </c>
      <c r="I17" s="48" t="n">
        <v>51</v>
      </c>
      <c r="J17" s="48" t="n">
        <v>30</v>
      </c>
      <c r="K17" s="46" t="s">
        <v>75</v>
      </c>
      <c r="M17" s="46" t="s">
        <v>75</v>
      </c>
      <c r="N17" s="46" t="s">
        <v>74</v>
      </c>
      <c r="O17" s="46" t="s">
        <v>75</v>
      </c>
      <c r="P17" s="49" t="n">
        <v>595422</v>
      </c>
      <c r="Q17" s="50" t="s">
        <v>427</v>
      </c>
      <c r="R17" s="50" t="s">
        <v>544</v>
      </c>
      <c r="S17" s="51" t="s">
        <v>539</v>
      </c>
    </row>
    <row r="18" customFormat="false" ht="12.75" hidden="false" customHeight="false" outlineLevel="0" collapsed="false">
      <c r="A18" s="46" t="s">
        <v>575</v>
      </c>
      <c r="B18" s="46" t="s">
        <v>541</v>
      </c>
      <c r="C18" s="46" t="s">
        <v>534</v>
      </c>
      <c r="D18" s="46" t="s">
        <v>576</v>
      </c>
      <c r="E18" s="46" t="s">
        <v>536</v>
      </c>
      <c r="F18" s="46" t="s">
        <v>74</v>
      </c>
      <c r="G18" s="47" t="s">
        <v>537</v>
      </c>
      <c r="H18" s="46" t="s">
        <v>541</v>
      </c>
      <c r="I18" s="48" t="n">
        <v>51</v>
      </c>
      <c r="J18" s="48" t="n">
        <v>20</v>
      </c>
      <c r="K18" s="46" t="s">
        <v>75</v>
      </c>
      <c r="M18" s="46" t="s">
        <v>75</v>
      </c>
      <c r="N18" s="46" t="s">
        <v>75</v>
      </c>
      <c r="O18" s="46" t="s">
        <v>75</v>
      </c>
      <c r="P18" s="49" t="n">
        <v>316240</v>
      </c>
      <c r="Q18" s="50" t="s">
        <v>443</v>
      </c>
      <c r="R18" s="50" t="s">
        <v>418</v>
      </c>
      <c r="S18" s="51" t="s">
        <v>539</v>
      </c>
    </row>
    <row r="19" customFormat="false" ht="12.75" hidden="false" customHeight="false" outlineLevel="0" collapsed="false">
      <c r="A19" s="46" t="s">
        <v>577</v>
      </c>
      <c r="B19" s="46" t="s">
        <v>541</v>
      </c>
      <c r="C19" s="46" t="s">
        <v>542</v>
      </c>
      <c r="D19" s="46" t="s">
        <v>578</v>
      </c>
      <c r="E19" s="46" t="s">
        <v>536</v>
      </c>
      <c r="F19" s="46" t="s">
        <v>74</v>
      </c>
      <c r="G19" s="47" t="s">
        <v>537</v>
      </c>
      <c r="H19" s="46" t="s">
        <v>541</v>
      </c>
      <c r="I19" s="48" t="n">
        <v>51</v>
      </c>
      <c r="J19" s="48" t="n">
        <v>20</v>
      </c>
      <c r="K19" s="46" t="s">
        <v>75</v>
      </c>
      <c r="M19" s="46" t="s">
        <v>75</v>
      </c>
      <c r="N19" s="46" t="s">
        <v>74</v>
      </c>
      <c r="O19" s="46" t="s">
        <v>75</v>
      </c>
      <c r="P19" s="49" t="n">
        <v>304764</v>
      </c>
      <c r="Q19" s="50" t="s">
        <v>443</v>
      </c>
      <c r="R19" s="50" t="s">
        <v>418</v>
      </c>
      <c r="S19" s="51" t="s">
        <v>539</v>
      </c>
    </row>
    <row r="20" customFormat="false" ht="12.75" hidden="false" customHeight="false" outlineLevel="0" collapsed="false">
      <c r="A20" s="46" t="s">
        <v>579</v>
      </c>
      <c r="B20" s="46" t="s">
        <v>546</v>
      </c>
      <c r="C20" s="46" t="s">
        <v>580</v>
      </c>
      <c r="D20" s="46" t="s">
        <v>581</v>
      </c>
      <c r="E20" s="46" t="s">
        <v>536</v>
      </c>
      <c r="F20" s="46" t="s">
        <v>74</v>
      </c>
      <c r="G20" s="47" t="s">
        <v>537</v>
      </c>
      <c r="H20" s="46" t="s">
        <v>546</v>
      </c>
      <c r="I20" s="48" t="n">
        <v>25</v>
      </c>
      <c r="J20" s="48" t="n">
        <v>0</v>
      </c>
      <c r="K20" s="46" t="s">
        <v>75</v>
      </c>
      <c r="M20" s="46" t="s">
        <v>75</v>
      </c>
      <c r="N20" s="46" t="s">
        <v>74</v>
      </c>
      <c r="O20" s="46" t="s">
        <v>75</v>
      </c>
      <c r="P20" s="49" t="n">
        <v>223583</v>
      </c>
      <c r="Q20" s="50" t="s">
        <v>459</v>
      </c>
      <c r="R20" s="50" t="s">
        <v>544</v>
      </c>
      <c r="S20" s="51" t="s">
        <v>539</v>
      </c>
    </row>
    <row r="21" customFormat="false" ht="12.75" hidden="false" customHeight="false" outlineLevel="0" collapsed="false">
      <c r="A21" s="46" t="s">
        <v>582</v>
      </c>
      <c r="B21" s="46" t="s">
        <v>546</v>
      </c>
      <c r="C21" s="46" t="s">
        <v>583</v>
      </c>
      <c r="D21" s="46" t="s">
        <v>584</v>
      </c>
      <c r="E21" s="46" t="s">
        <v>536</v>
      </c>
      <c r="F21" s="46" t="s">
        <v>75</v>
      </c>
      <c r="G21" s="47" t="s">
        <v>537</v>
      </c>
      <c r="H21" s="46" t="s">
        <v>546</v>
      </c>
      <c r="I21" s="48" t="n">
        <v>15</v>
      </c>
      <c r="J21" s="48" t="n">
        <v>0</v>
      </c>
      <c r="K21" s="46" t="s">
        <v>75</v>
      </c>
      <c r="M21" s="46" t="s">
        <v>75</v>
      </c>
      <c r="N21" s="46" t="s">
        <v>74</v>
      </c>
      <c r="O21" s="46" t="s">
        <v>75</v>
      </c>
      <c r="P21" s="49" t="n">
        <v>155828</v>
      </c>
      <c r="Q21" s="50" t="s">
        <v>421</v>
      </c>
      <c r="R21" s="50" t="s">
        <v>544</v>
      </c>
      <c r="S21" s="51" t="s">
        <v>539</v>
      </c>
    </row>
    <row r="22" customFormat="false" ht="12.75" hidden="false" customHeight="false" outlineLevel="0" collapsed="false">
      <c r="A22" s="46" t="s">
        <v>585</v>
      </c>
      <c r="B22" s="46" t="s">
        <v>546</v>
      </c>
      <c r="C22" s="46" t="s">
        <v>534</v>
      </c>
      <c r="D22" s="46" t="s">
        <v>586</v>
      </c>
      <c r="E22" s="46" t="s">
        <v>536</v>
      </c>
      <c r="F22" s="46" t="s">
        <v>74</v>
      </c>
      <c r="G22" s="47" t="s">
        <v>537</v>
      </c>
      <c r="H22" s="46" t="s">
        <v>546</v>
      </c>
      <c r="I22" s="48" t="n">
        <v>100</v>
      </c>
      <c r="J22" s="48" t="n">
        <v>0</v>
      </c>
      <c r="K22" s="46" t="s">
        <v>75</v>
      </c>
      <c r="M22" s="46" t="s">
        <v>75</v>
      </c>
      <c r="N22" s="46" t="s">
        <v>74</v>
      </c>
      <c r="O22" s="46" t="s">
        <v>75</v>
      </c>
      <c r="P22" s="49" t="n">
        <v>166033</v>
      </c>
      <c r="Q22" s="50" t="s">
        <v>427</v>
      </c>
      <c r="R22" s="50" t="s">
        <v>544</v>
      </c>
      <c r="S22" s="51" t="s">
        <v>539</v>
      </c>
    </row>
    <row r="23" customFormat="false" ht="12.75" hidden="false" customHeight="false" outlineLevel="0" collapsed="false">
      <c r="A23" s="46" t="s">
        <v>587</v>
      </c>
      <c r="B23" s="46" t="s">
        <v>546</v>
      </c>
      <c r="C23" s="46" t="s">
        <v>534</v>
      </c>
      <c r="D23" s="46" t="s">
        <v>588</v>
      </c>
      <c r="E23" s="46" t="s">
        <v>536</v>
      </c>
      <c r="F23" s="46" t="s">
        <v>74</v>
      </c>
      <c r="G23" s="47" t="s">
        <v>537</v>
      </c>
      <c r="H23" s="46" t="s">
        <v>546</v>
      </c>
      <c r="I23" s="48" t="n">
        <v>75</v>
      </c>
      <c r="J23" s="48" t="n">
        <v>51</v>
      </c>
      <c r="K23" s="46" t="s">
        <v>75</v>
      </c>
      <c r="M23" s="46" t="s">
        <v>74</v>
      </c>
      <c r="N23" s="46" t="s">
        <v>75</v>
      </c>
      <c r="O23" s="46" t="s">
        <v>75</v>
      </c>
      <c r="P23" s="49" t="n">
        <v>216684</v>
      </c>
      <c r="Q23" s="50" t="s">
        <v>437</v>
      </c>
      <c r="R23" s="50" t="s">
        <v>544</v>
      </c>
      <c r="S23" s="51" t="s">
        <v>539</v>
      </c>
    </row>
    <row r="24" customFormat="false" ht="12.75" hidden="false" customHeight="false" outlineLevel="0" collapsed="false">
      <c r="A24" s="46" t="s">
        <v>589</v>
      </c>
      <c r="B24" s="46" t="s">
        <v>546</v>
      </c>
      <c r="C24" s="46" t="s">
        <v>534</v>
      </c>
      <c r="D24" s="46" t="s">
        <v>590</v>
      </c>
      <c r="E24" s="46" t="s">
        <v>536</v>
      </c>
      <c r="F24" s="46" t="s">
        <v>74</v>
      </c>
      <c r="G24" s="47" t="s">
        <v>537</v>
      </c>
      <c r="H24" s="46" t="s">
        <v>546</v>
      </c>
      <c r="I24" s="48" t="n">
        <v>75</v>
      </c>
      <c r="J24" s="48" t="n">
        <v>10</v>
      </c>
      <c r="K24" s="46" t="s">
        <v>75</v>
      </c>
      <c r="M24" s="46" t="s">
        <v>74</v>
      </c>
      <c r="N24" s="46" t="s">
        <v>75</v>
      </c>
      <c r="O24" s="46" t="s">
        <v>75</v>
      </c>
      <c r="P24" s="49" t="n">
        <v>182900</v>
      </c>
      <c r="Q24" s="50" t="s">
        <v>449</v>
      </c>
      <c r="R24" s="50" t="s">
        <v>538</v>
      </c>
      <c r="S24" s="51" t="s">
        <v>539</v>
      </c>
    </row>
    <row r="25" customFormat="false" ht="12.75" hidden="false" customHeight="false" outlineLevel="0" collapsed="false">
      <c r="A25" s="46" t="s">
        <v>591</v>
      </c>
      <c r="B25" s="46" t="s">
        <v>546</v>
      </c>
      <c r="C25" s="46" t="s">
        <v>534</v>
      </c>
      <c r="D25" s="46" t="s">
        <v>592</v>
      </c>
      <c r="E25" s="46" t="s">
        <v>536</v>
      </c>
      <c r="F25" s="46" t="s">
        <v>74</v>
      </c>
      <c r="G25" s="47" t="s">
        <v>537</v>
      </c>
      <c r="H25" s="46" t="s">
        <v>546</v>
      </c>
      <c r="I25" s="48" t="n">
        <v>51</v>
      </c>
      <c r="J25" s="48" t="n">
        <v>40</v>
      </c>
      <c r="K25" s="46" t="s">
        <v>75</v>
      </c>
      <c r="M25" s="46" t="s">
        <v>75</v>
      </c>
      <c r="N25" s="46" t="s">
        <v>74</v>
      </c>
      <c r="O25" s="46" t="s">
        <v>75</v>
      </c>
      <c r="P25" s="49" t="n">
        <v>566633</v>
      </c>
      <c r="Q25" s="50" t="s">
        <v>443</v>
      </c>
      <c r="R25" s="50" t="s">
        <v>538</v>
      </c>
      <c r="S25" s="51" t="s">
        <v>539</v>
      </c>
    </row>
    <row r="26" customFormat="false" ht="12.75" hidden="false" customHeight="false" outlineLevel="0" collapsed="false">
      <c r="A26" s="46" t="s">
        <v>593</v>
      </c>
      <c r="B26" s="46" t="s">
        <v>546</v>
      </c>
      <c r="C26" s="46" t="s">
        <v>580</v>
      </c>
      <c r="D26" s="46" t="s">
        <v>594</v>
      </c>
      <c r="E26" s="46" t="s">
        <v>536</v>
      </c>
      <c r="F26" s="46" t="s">
        <v>74</v>
      </c>
      <c r="G26" s="47" t="s">
        <v>537</v>
      </c>
      <c r="H26" s="46" t="s">
        <v>546</v>
      </c>
      <c r="I26" s="48" t="n">
        <v>25</v>
      </c>
      <c r="J26" s="48" t="n">
        <v>10</v>
      </c>
      <c r="K26" s="46" t="s">
        <v>75</v>
      </c>
      <c r="M26" s="46" t="s">
        <v>75</v>
      </c>
      <c r="N26" s="46" t="s">
        <v>75</v>
      </c>
      <c r="O26" s="46" t="s">
        <v>75</v>
      </c>
      <c r="P26" s="49" t="n">
        <v>253866</v>
      </c>
      <c r="Q26" s="50" t="s">
        <v>437</v>
      </c>
      <c r="R26" s="50" t="s">
        <v>418</v>
      </c>
      <c r="S26" s="51" t="s">
        <v>539</v>
      </c>
    </row>
    <row r="27" customFormat="false" ht="12.75" hidden="false" customHeight="false" outlineLevel="0" collapsed="false">
      <c r="A27" s="46" t="s">
        <v>595</v>
      </c>
      <c r="B27" s="46" t="s">
        <v>546</v>
      </c>
      <c r="C27" s="46" t="s">
        <v>596</v>
      </c>
      <c r="D27" s="46" t="s">
        <v>597</v>
      </c>
      <c r="E27" s="46" t="s">
        <v>536</v>
      </c>
      <c r="F27" s="46" t="s">
        <v>74</v>
      </c>
      <c r="G27" s="47" t="s">
        <v>537</v>
      </c>
      <c r="H27" s="46" t="s">
        <v>546</v>
      </c>
      <c r="I27" s="48" t="n">
        <v>25</v>
      </c>
      <c r="J27" s="48" t="n">
        <v>10</v>
      </c>
      <c r="K27" s="46" t="s">
        <v>75</v>
      </c>
      <c r="M27" s="46" t="s">
        <v>75</v>
      </c>
      <c r="N27" s="46" t="s">
        <v>75</v>
      </c>
      <c r="O27" s="46" t="s">
        <v>75</v>
      </c>
      <c r="P27" s="49" t="n">
        <v>242829</v>
      </c>
      <c r="Q27" s="50" t="s">
        <v>412</v>
      </c>
      <c r="R27" s="50" t="s">
        <v>418</v>
      </c>
      <c r="S27" s="51" t="s">
        <v>539</v>
      </c>
    </row>
    <row r="28" customFormat="false" ht="12.75" hidden="false" customHeight="false" outlineLevel="0" collapsed="false">
      <c r="A28" s="46" t="s">
        <v>598</v>
      </c>
      <c r="B28" s="46" t="s">
        <v>541</v>
      </c>
      <c r="C28" s="46" t="s">
        <v>534</v>
      </c>
      <c r="D28" s="46" t="s">
        <v>599</v>
      </c>
      <c r="E28" s="46" t="s">
        <v>536</v>
      </c>
      <c r="F28" s="46" t="s">
        <v>74</v>
      </c>
      <c r="G28" s="47" t="s">
        <v>537</v>
      </c>
      <c r="H28" s="46" t="s">
        <v>541</v>
      </c>
      <c r="I28" s="48" t="n">
        <v>51</v>
      </c>
      <c r="J28" s="48" t="n">
        <v>20</v>
      </c>
      <c r="K28" s="46" t="s">
        <v>75</v>
      </c>
      <c r="M28" s="46" t="s">
        <v>75</v>
      </c>
      <c r="N28" s="46" t="s">
        <v>74</v>
      </c>
      <c r="O28" s="46" t="s">
        <v>75</v>
      </c>
      <c r="P28" s="49" t="n">
        <v>345415</v>
      </c>
      <c r="Q28" s="50" t="s">
        <v>443</v>
      </c>
      <c r="R28" s="50" t="s">
        <v>538</v>
      </c>
      <c r="S28" s="51" t="s">
        <v>539</v>
      </c>
    </row>
    <row r="29" customFormat="false" ht="12.75" hidden="false" customHeight="false" outlineLevel="0" collapsed="false">
      <c r="A29" s="46" t="s">
        <v>600</v>
      </c>
      <c r="B29" s="46" t="s">
        <v>533</v>
      </c>
      <c r="C29" s="46" t="s">
        <v>534</v>
      </c>
      <c r="D29" s="46" t="s">
        <v>601</v>
      </c>
      <c r="E29" s="46" t="s">
        <v>536</v>
      </c>
      <c r="F29" s="46" t="s">
        <v>74</v>
      </c>
      <c r="G29" s="47" t="s">
        <v>537</v>
      </c>
      <c r="H29" s="46" t="s">
        <v>533</v>
      </c>
      <c r="I29" s="48" t="n">
        <v>60</v>
      </c>
      <c r="J29" s="48" t="n">
        <v>51</v>
      </c>
      <c r="K29" s="46" t="s">
        <v>75</v>
      </c>
      <c r="M29" s="46" t="s">
        <v>74</v>
      </c>
      <c r="N29" s="46" t="s">
        <v>74</v>
      </c>
      <c r="O29" s="46" t="s">
        <v>74</v>
      </c>
      <c r="P29" s="49" t="n">
        <v>222708</v>
      </c>
      <c r="Q29" s="50" t="s">
        <v>433</v>
      </c>
      <c r="R29" s="50" t="s">
        <v>418</v>
      </c>
      <c r="S29" s="51" t="s">
        <v>539</v>
      </c>
    </row>
    <row r="30" customFormat="false" ht="12.75" hidden="false" customHeight="false" outlineLevel="0" collapsed="false">
      <c r="A30" s="46" t="s">
        <v>602</v>
      </c>
      <c r="B30" s="46" t="s">
        <v>546</v>
      </c>
      <c r="C30" s="46" t="s">
        <v>571</v>
      </c>
      <c r="D30" s="46" t="s">
        <v>603</v>
      </c>
      <c r="E30" s="46" t="s">
        <v>536</v>
      </c>
      <c r="F30" s="46" t="s">
        <v>75</v>
      </c>
      <c r="G30" s="47" t="s">
        <v>537</v>
      </c>
      <c r="H30" s="46" t="s">
        <v>546</v>
      </c>
      <c r="I30" s="48" t="n">
        <v>15</v>
      </c>
      <c r="J30" s="48" t="n">
        <v>0</v>
      </c>
      <c r="K30" s="46" t="s">
        <v>75</v>
      </c>
      <c r="M30" s="46" t="s">
        <v>75</v>
      </c>
      <c r="N30" s="46" t="s">
        <v>74</v>
      </c>
      <c r="O30" s="46" t="s">
        <v>75</v>
      </c>
      <c r="P30" s="49" t="n">
        <v>128306</v>
      </c>
      <c r="Q30" s="50" t="s">
        <v>421</v>
      </c>
      <c r="R30" s="50" t="s">
        <v>544</v>
      </c>
      <c r="S30" s="51" t="s">
        <v>539</v>
      </c>
    </row>
    <row r="31" customFormat="false" ht="12.75" hidden="false" customHeight="false" outlineLevel="0" collapsed="false">
      <c r="A31" s="46" t="s">
        <v>604</v>
      </c>
      <c r="B31" s="46" t="s">
        <v>541</v>
      </c>
      <c r="C31" s="46" t="s">
        <v>534</v>
      </c>
      <c r="D31" s="46" t="s">
        <v>605</v>
      </c>
      <c r="E31" s="46" t="s">
        <v>536</v>
      </c>
      <c r="F31" s="46" t="s">
        <v>74</v>
      </c>
      <c r="G31" s="47" t="s">
        <v>537</v>
      </c>
      <c r="H31" s="46" t="s">
        <v>541</v>
      </c>
      <c r="I31" s="48" t="n">
        <v>100</v>
      </c>
      <c r="J31" s="48" t="n">
        <v>40</v>
      </c>
      <c r="K31" s="46" t="s">
        <v>75</v>
      </c>
      <c r="M31" s="46" t="s">
        <v>75</v>
      </c>
      <c r="N31" s="46" t="s">
        <v>74</v>
      </c>
      <c r="O31" s="46" t="s">
        <v>75</v>
      </c>
      <c r="P31" s="49" t="n">
        <v>597998</v>
      </c>
      <c r="Q31" s="50" t="s">
        <v>467</v>
      </c>
      <c r="R31" s="50" t="s">
        <v>538</v>
      </c>
      <c r="S31" s="51" t="s">
        <v>539</v>
      </c>
    </row>
    <row r="32" customFormat="false" ht="12.75" hidden="false" customHeight="false" outlineLevel="0" collapsed="false">
      <c r="A32" s="46" t="s">
        <v>606</v>
      </c>
      <c r="B32" s="46" t="s">
        <v>541</v>
      </c>
      <c r="C32" s="46" t="s">
        <v>583</v>
      </c>
      <c r="D32" s="46" t="s">
        <v>607</v>
      </c>
      <c r="E32" s="46" t="s">
        <v>536</v>
      </c>
      <c r="F32" s="46" t="s">
        <v>75</v>
      </c>
      <c r="G32" s="47" t="s">
        <v>537</v>
      </c>
      <c r="H32" s="46" t="s">
        <v>541</v>
      </c>
      <c r="I32" s="48" t="n">
        <v>0</v>
      </c>
      <c r="J32" s="48" t="n">
        <v>0</v>
      </c>
      <c r="K32" s="46" t="s">
        <v>75</v>
      </c>
      <c r="M32" s="46" t="s">
        <v>75</v>
      </c>
      <c r="N32" s="46" t="s">
        <v>75</v>
      </c>
      <c r="O32" s="46" t="s">
        <v>75</v>
      </c>
      <c r="P32" s="49" t="n">
        <v>156111</v>
      </c>
      <c r="Q32" s="50" t="s">
        <v>427</v>
      </c>
      <c r="R32" s="50" t="s">
        <v>538</v>
      </c>
      <c r="S32" s="51" t="s">
        <v>539</v>
      </c>
    </row>
    <row r="33" customFormat="false" ht="12.75" hidden="false" customHeight="false" outlineLevel="0" collapsed="false">
      <c r="A33" s="46" t="s">
        <v>608</v>
      </c>
      <c r="B33" s="46" t="s">
        <v>546</v>
      </c>
      <c r="C33" s="46" t="s">
        <v>534</v>
      </c>
      <c r="D33" s="46" t="s">
        <v>609</v>
      </c>
      <c r="E33" s="46" t="s">
        <v>536</v>
      </c>
      <c r="F33" s="46" t="s">
        <v>74</v>
      </c>
      <c r="G33" s="47" t="s">
        <v>537</v>
      </c>
      <c r="H33" s="46" t="s">
        <v>546</v>
      </c>
      <c r="I33" s="48" t="n">
        <v>74</v>
      </c>
      <c r="J33" s="48" t="n">
        <v>30</v>
      </c>
      <c r="K33" s="46" t="s">
        <v>75</v>
      </c>
      <c r="M33" s="46" t="s">
        <v>75</v>
      </c>
      <c r="N33" s="46" t="s">
        <v>75</v>
      </c>
      <c r="O33" s="46" t="s">
        <v>75</v>
      </c>
      <c r="P33" s="49" t="n">
        <v>547428</v>
      </c>
      <c r="Q33" s="50" t="s">
        <v>433</v>
      </c>
      <c r="R33" s="50" t="s">
        <v>538</v>
      </c>
      <c r="S33" s="51" t="s">
        <v>539</v>
      </c>
    </row>
    <row r="34" customFormat="false" ht="12.75" hidden="false" customHeight="false" outlineLevel="0" collapsed="false">
      <c r="A34" s="46" t="s">
        <v>610</v>
      </c>
      <c r="B34" s="46" t="s">
        <v>546</v>
      </c>
      <c r="C34" s="46" t="s">
        <v>596</v>
      </c>
      <c r="D34" s="46" t="s">
        <v>611</v>
      </c>
      <c r="E34" s="46" t="s">
        <v>536</v>
      </c>
      <c r="F34" s="46" t="s">
        <v>74</v>
      </c>
      <c r="G34" s="47" t="s">
        <v>537</v>
      </c>
      <c r="H34" s="46" t="s">
        <v>546</v>
      </c>
      <c r="I34" s="48" t="n">
        <v>25</v>
      </c>
      <c r="J34" s="48" t="n">
        <v>0</v>
      </c>
      <c r="K34" s="46" t="s">
        <v>75</v>
      </c>
      <c r="M34" s="46" t="s">
        <v>75</v>
      </c>
      <c r="N34" s="46" t="s">
        <v>74</v>
      </c>
      <c r="O34" s="46" t="s">
        <v>75</v>
      </c>
      <c r="P34" s="49" t="n">
        <v>225662</v>
      </c>
      <c r="Q34" s="50" t="s">
        <v>412</v>
      </c>
      <c r="R34" s="50" t="s">
        <v>538</v>
      </c>
      <c r="S34" s="51" t="s">
        <v>539</v>
      </c>
    </row>
    <row r="35" customFormat="false" ht="12.75" hidden="false" customHeight="false" outlineLevel="0" collapsed="false">
      <c r="A35" s="46" t="s">
        <v>612</v>
      </c>
      <c r="B35" s="46" t="s">
        <v>546</v>
      </c>
      <c r="C35" s="46" t="s">
        <v>534</v>
      </c>
      <c r="D35" s="46" t="s">
        <v>613</v>
      </c>
      <c r="E35" s="46" t="s">
        <v>536</v>
      </c>
      <c r="F35" s="46" t="s">
        <v>74</v>
      </c>
      <c r="G35" s="47" t="s">
        <v>537</v>
      </c>
      <c r="H35" s="46" t="s">
        <v>546</v>
      </c>
      <c r="I35" s="48" t="n">
        <v>75</v>
      </c>
      <c r="J35" s="48" t="n">
        <v>51</v>
      </c>
      <c r="K35" s="46" t="s">
        <v>75</v>
      </c>
      <c r="M35" s="46" t="s">
        <v>74</v>
      </c>
      <c r="N35" s="46" t="s">
        <v>75</v>
      </c>
      <c r="O35" s="46" t="s">
        <v>75</v>
      </c>
      <c r="P35" s="49" t="n">
        <v>194421</v>
      </c>
      <c r="Q35" s="50" t="s">
        <v>427</v>
      </c>
      <c r="R35" s="50" t="s">
        <v>418</v>
      </c>
      <c r="S35" s="51" t="s">
        <v>539</v>
      </c>
    </row>
    <row r="36" customFormat="false" ht="12.75" hidden="false" customHeight="false" outlineLevel="0" collapsed="false">
      <c r="A36" s="46" t="s">
        <v>614</v>
      </c>
      <c r="B36" s="46" t="s">
        <v>541</v>
      </c>
      <c r="C36" s="46" t="s">
        <v>615</v>
      </c>
      <c r="D36" s="46" t="s">
        <v>616</v>
      </c>
      <c r="E36" s="46" t="s">
        <v>536</v>
      </c>
      <c r="F36" s="46" t="s">
        <v>75</v>
      </c>
      <c r="G36" s="47" t="s">
        <v>537</v>
      </c>
      <c r="H36" s="46" t="s">
        <v>541</v>
      </c>
      <c r="I36" s="48" t="n">
        <v>15</v>
      </c>
      <c r="J36" s="48" t="n">
        <v>0</v>
      </c>
      <c r="K36" s="46" t="s">
        <v>75</v>
      </c>
      <c r="M36" s="46" t="s">
        <v>75</v>
      </c>
      <c r="N36" s="46" t="s">
        <v>74</v>
      </c>
      <c r="O36" s="46" t="s">
        <v>75</v>
      </c>
      <c r="P36" s="49" t="n">
        <v>139991</v>
      </c>
      <c r="Q36" s="50" t="s">
        <v>467</v>
      </c>
      <c r="R36" s="50" t="s">
        <v>538</v>
      </c>
      <c r="S36" s="51" t="s">
        <v>539</v>
      </c>
    </row>
    <row r="37" customFormat="false" ht="12.75" hidden="false" customHeight="false" outlineLevel="0" collapsed="false">
      <c r="A37" s="46" t="s">
        <v>617</v>
      </c>
      <c r="B37" s="46" t="s">
        <v>546</v>
      </c>
      <c r="C37" s="46" t="s">
        <v>534</v>
      </c>
      <c r="D37" s="46" t="s">
        <v>618</v>
      </c>
      <c r="E37" s="46" t="s">
        <v>536</v>
      </c>
      <c r="F37" s="46" t="s">
        <v>74</v>
      </c>
      <c r="G37" s="47" t="s">
        <v>537</v>
      </c>
      <c r="H37" s="46" t="s">
        <v>546</v>
      </c>
      <c r="I37" s="48" t="n">
        <v>75</v>
      </c>
      <c r="J37" s="48" t="n">
        <v>35</v>
      </c>
      <c r="K37" s="46" t="s">
        <v>75</v>
      </c>
      <c r="M37" s="46" t="s">
        <v>74</v>
      </c>
      <c r="N37" s="46" t="s">
        <v>74</v>
      </c>
      <c r="O37" s="46" t="s">
        <v>75</v>
      </c>
      <c r="P37" s="49" t="n">
        <v>165013</v>
      </c>
      <c r="Q37" s="50" t="s">
        <v>443</v>
      </c>
      <c r="R37" s="50" t="s">
        <v>538</v>
      </c>
      <c r="S37" s="51" t="s">
        <v>539</v>
      </c>
    </row>
    <row r="38" customFormat="false" ht="12.75" hidden="false" customHeight="false" outlineLevel="0" collapsed="false">
      <c r="A38" s="46" t="s">
        <v>619</v>
      </c>
      <c r="B38" s="46" t="s">
        <v>546</v>
      </c>
      <c r="C38" s="46" t="s">
        <v>534</v>
      </c>
      <c r="D38" s="46" t="s">
        <v>620</v>
      </c>
      <c r="E38" s="46" t="s">
        <v>536</v>
      </c>
      <c r="F38" s="46" t="s">
        <v>74</v>
      </c>
      <c r="G38" s="47" t="s">
        <v>537</v>
      </c>
      <c r="H38" s="46" t="s">
        <v>546</v>
      </c>
      <c r="I38" s="48" t="n">
        <v>51</v>
      </c>
      <c r="J38" s="48" t="n">
        <v>55</v>
      </c>
      <c r="K38" s="46" t="s">
        <v>75</v>
      </c>
      <c r="M38" s="46" t="s">
        <v>75</v>
      </c>
      <c r="N38" s="46" t="s">
        <v>74</v>
      </c>
      <c r="O38" s="46" t="s">
        <v>75</v>
      </c>
      <c r="P38" s="49" t="n">
        <v>554993</v>
      </c>
      <c r="Q38" s="50" t="s">
        <v>427</v>
      </c>
      <c r="R38" s="50" t="s">
        <v>418</v>
      </c>
      <c r="S38" s="51" t="s">
        <v>539</v>
      </c>
    </row>
    <row r="39" customFormat="false" ht="12.75" hidden="false" customHeight="false" outlineLevel="0" collapsed="false">
      <c r="A39" s="46" t="s">
        <v>621</v>
      </c>
      <c r="B39" s="46" t="s">
        <v>541</v>
      </c>
      <c r="C39" s="46" t="s">
        <v>534</v>
      </c>
      <c r="D39" s="46" t="s">
        <v>622</v>
      </c>
      <c r="E39" s="46" t="s">
        <v>536</v>
      </c>
      <c r="F39" s="46" t="s">
        <v>74</v>
      </c>
      <c r="G39" s="47" t="s">
        <v>537</v>
      </c>
      <c r="H39" s="46" t="s">
        <v>541</v>
      </c>
      <c r="I39" s="48" t="n">
        <v>68</v>
      </c>
      <c r="J39" s="48" t="n">
        <v>20</v>
      </c>
      <c r="K39" s="46" t="s">
        <v>75</v>
      </c>
      <c r="M39" s="46" t="s">
        <v>75</v>
      </c>
      <c r="N39" s="46" t="s">
        <v>74</v>
      </c>
      <c r="O39" s="46" t="s">
        <v>75</v>
      </c>
      <c r="P39" s="49" t="n">
        <v>355859</v>
      </c>
      <c r="Q39" s="50" t="s">
        <v>437</v>
      </c>
      <c r="R39" s="50" t="s">
        <v>538</v>
      </c>
      <c r="S39" s="51" t="s">
        <v>539</v>
      </c>
    </row>
    <row r="40" customFormat="false" ht="12.75" hidden="false" customHeight="false" outlineLevel="0" collapsed="false">
      <c r="A40" s="46" t="s">
        <v>623</v>
      </c>
      <c r="B40" s="46" t="s">
        <v>546</v>
      </c>
      <c r="C40" s="46" t="s">
        <v>534</v>
      </c>
      <c r="D40" s="46" t="s">
        <v>624</v>
      </c>
      <c r="E40" s="46" t="s">
        <v>536</v>
      </c>
      <c r="F40" s="46" t="s">
        <v>74</v>
      </c>
      <c r="G40" s="47" t="s">
        <v>537</v>
      </c>
      <c r="H40" s="46" t="s">
        <v>546</v>
      </c>
      <c r="I40" s="48" t="n">
        <v>100</v>
      </c>
      <c r="J40" s="48" t="n">
        <v>10</v>
      </c>
      <c r="K40" s="46" t="s">
        <v>75</v>
      </c>
      <c r="M40" s="46" t="s">
        <v>75</v>
      </c>
      <c r="N40" s="46" t="s">
        <v>75</v>
      </c>
      <c r="O40" s="46" t="s">
        <v>75</v>
      </c>
      <c r="P40" s="49" t="n">
        <v>179955</v>
      </c>
      <c r="Q40" s="50" t="s">
        <v>437</v>
      </c>
      <c r="R40" s="50" t="s">
        <v>538</v>
      </c>
      <c r="S40" s="51" t="s">
        <v>539</v>
      </c>
    </row>
    <row r="41" customFormat="false" ht="12.75" hidden="false" customHeight="false" outlineLevel="0" collapsed="false">
      <c r="A41" s="46" t="s">
        <v>625</v>
      </c>
      <c r="B41" s="46" t="s">
        <v>546</v>
      </c>
      <c r="C41" s="46" t="s">
        <v>534</v>
      </c>
      <c r="D41" s="46" t="s">
        <v>626</v>
      </c>
      <c r="E41" s="46" t="s">
        <v>536</v>
      </c>
      <c r="F41" s="46" t="s">
        <v>74</v>
      </c>
      <c r="G41" s="47" t="s">
        <v>537</v>
      </c>
      <c r="H41" s="46" t="s">
        <v>546</v>
      </c>
      <c r="I41" s="48" t="n">
        <v>74</v>
      </c>
      <c r="J41" s="48" t="n">
        <v>30</v>
      </c>
      <c r="K41" s="46" t="s">
        <v>75</v>
      </c>
      <c r="M41" s="46" t="s">
        <v>75</v>
      </c>
      <c r="N41" s="46" t="s">
        <v>74</v>
      </c>
      <c r="O41" s="46" t="s">
        <v>75</v>
      </c>
      <c r="P41" s="49" t="n">
        <v>588413</v>
      </c>
      <c r="Q41" s="50" t="s">
        <v>412</v>
      </c>
      <c r="R41" s="50" t="s">
        <v>418</v>
      </c>
      <c r="S41" s="51" t="s">
        <v>539</v>
      </c>
    </row>
    <row r="42" customFormat="false" ht="12.75" hidden="false" customHeight="false" outlineLevel="0" collapsed="false">
      <c r="A42" s="46" t="s">
        <v>627</v>
      </c>
      <c r="B42" s="46" t="s">
        <v>541</v>
      </c>
      <c r="C42" s="46" t="s">
        <v>534</v>
      </c>
      <c r="D42" s="46" t="s">
        <v>628</v>
      </c>
      <c r="E42" s="46" t="s">
        <v>536</v>
      </c>
      <c r="F42" s="46" t="s">
        <v>74</v>
      </c>
      <c r="G42" s="47" t="s">
        <v>537</v>
      </c>
      <c r="H42" s="46" t="s">
        <v>541</v>
      </c>
      <c r="I42" s="48" t="n">
        <v>51</v>
      </c>
      <c r="J42" s="48" t="n">
        <v>20</v>
      </c>
      <c r="K42" s="46" t="s">
        <v>75</v>
      </c>
      <c r="M42" s="46" t="s">
        <v>75</v>
      </c>
      <c r="N42" s="46" t="s">
        <v>74</v>
      </c>
      <c r="O42" s="46" t="s">
        <v>75</v>
      </c>
      <c r="P42" s="49" t="n">
        <v>341791</v>
      </c>
      <c r="Q42" s="50" t="s">
        <v>437</v>
      </c>
      <c r="R42" s="50" t="s">
        <v>418</v>
      </c>
      <c r="S42" s="51" t="s">
        <v>539</v>
      </c>
    </row>
    <row r="43" customFormat="false" ht="12.75" hidden="false" customHeight="false" outlineLevel="0" collapsed="false">
      <c r="A43" s="46" t="s">
        <v>629</v>
      </c>
      <c r="B43" s="46" t="s">
        <v>533</v>
      </c>
      <c r="C43" s="46" t="s">
        <v>534</v>
      </c>
      <c r="D43" s="46" t="s">
        <v>630</v>
      </c>
      <c r="E43" s="46" t="s">
        <v>536</v>
      </c>
      <c r="F43" s="46" t="s">
        <v>74</v>
      </c>
      <c r="G43" s="47" t="s">
        <v>537</v>
      </c>
      <c r="H43" s="46" t="s">
        <v>533</v>
      </c>
      <c r="I43" s="48" t="n">
        <v>100</v>
      </c>
      <c r="J43" s="48" t="n">
        <v>51</v>
      </c>
      <c r="K43" s="46" t="s">
        <v>75</v>
      </c>
      <c r="M43" s="46" t="s">
        <v>74</v>
      </c>
      <c r="N43" s="46" t="s">
        <v>75</v>
      </c>
      <c r="O43" s="46" t="s">
        <v>74</v>
      </c>
      <c r="P43" s="49" t="n">
        <v>223749</v>
      </c>
      <c r="Q43" s="50" t="s">
        <v>412</v>
      </c>
      <c r="R43" s="50" t="s">
        <v>418</v>
      </c>
      <c r="S43" s="51" t="s">
        <v>539</v>
      </c>
    </row>
    <row r="44" customFormat="false" ht="12.75" hidden="false" customHeight="false" outlineLevel="0" collapsed="false">
      <c r="A44" s="46" t="s">
        <v>631</v>
      </c>
      <c r="B44" s="46" t="s">
        <v>546</v>
      </c>
      <c r="C44" s="46" t="s">
        <v>534</v>
      </c>
      <c r="D44" s="46" t="s">
        <v>632</v>
      </c>
      <c r="E44" s="46" t="s">
        <v>536</v>
      </c>
      <c r="F44" s="46" t="s">
        <v>74</v>
      </c>
      <c r="G44" s="47" t="s">
        <v>537</v>
      </c>
      <c r="H44" s="46" t="s">
        <v>546</v>
      </c>
      <c r="I44" s="48" t="n">
        <v>75</v>
      </c>
      <c r="J44" s="48" t="n">
        <v>51</v>
      </c>
      <c r="K44" s="46" t="s">
        <v>75</v>
      </c>
      <c r="M44" s="46" t="s">
        <v>74</v>
      </c>
      <c r="N44" s="46" t="s">
        <v>74</v>
      </c>
      <c r="O44" s="46" t="s">
        <v>75</v>
      </c>
      <c r="P44" s="49" t="n">
        <v>179462</v>
      </c>
      <c r="Q44" s="50" t="s">
        <v>467</v>
      </c>
      <c r="R44" s="50" t="s">
        <v>544</v>
      </c>
      <c r="S44" s="51" t="s">
        <v>539</v>
      </c>
    </row>
    <row r="45" customFormat="false" ht="12.75" hidden="false" customHeight="false" outlineLevel="0" collapsed="false">
      <c r="A45" s="46" t="s">
        <v>633</v>
      </c>
      <c r="B45" s="46" t="s">
        <v>541</v>
      </c>
      <c r="C45" s="46" t="s">
        <v>534</v>
      </c>
      <c r="D45" s="46" t="s">
        <v>634</v>
      </c>
      <c r="E45" s="46" t="s">
        <v>536</v>
      </c>
      <c r="F45" s="46" t="s">
        <v>74</v>
      </c>
      <c r="G45" s="47" t="s">
        <v>537</v>
      </c>
      <c r="H45" s="46" t="s">
        <v>541</v>
      </c>
      <c r="I45" s="48" t="n">
        <v>51</v>
      </c>
      <c r="J45" s="48" t="n">
        <v>12</v>
      </c>
      <c r="K45" s="46" t="s">
        <v>75</v>
      </c>
      <c r="M45" s="46" t="s">
        <v>75</v>
      </c>
      <c r="N45" s="46" t="s">
        <v>75</v>
      </c>
      <c r="O45" s="46" t="s">
        <v>75</v>
      </c>
      <c r="P45" s="49" t="n">
        <v>303873</v>
      </c>
      <c r="Q45" s="50" t="s">
        <v>459</v>
      </c>
      <c r="R45" s="50" t="s">
        <v>544</v>
      </c>
      <c r="S45" s="51" t="s">
        <v>539</v>
      </c>
    </row>
    <row r="46" customFormat="false" ht="12.75" hidden="false" customHeight="false" outlineLevel="0" collapsed="false">
      <c r="A46" s="46" t="s">
        <v>635</v>
      </c>
      <c r="B46" s="46" t="s">
        <v>541</v>
      </c>
      <c r="C46" s="46" t="s">
        <v>534</v>
      </c>
      <c r="D46" s="46" t="s">
        <v>636</v>
      </c>
      <c r="E46" s="46" t="s">
        <v>536</v>
      </c>
      <c r="F46" s="46" t="s">
        <v>74</v>
      </c>
      <c r="G46" s="47" t="s">
        <v>537</v>
      </c>
      <c r="H46" s="46" t="s">
        <v>541</v>
      </c>
      <c r="I46" s="48" t="n">
        <v>100</v>
      </c>
      <c r="J46" s="48" t="n">
        <v>0</v>
      </c>
      <c r="K46" s="46" t="s">
        <v>75</v>
      </c>
      <c r="M46" s="46" t="s">
        <v>75</v>
      </c>
      <c r="N46" s="46" t="s">
        <v>74</v>
      </c>
      <c r="O46" s="46" t="s">
        <v>75</v>
      </c>
      <c r="P46" s="49" t="n">
        <v>322775</v>
      </c>
      <c r="Q46" s="50" t="s">
        <v>449</v>
      </c>
      <c r="R46" s="50" t="s">
        <v>418</v>
      </c>
      <c r="S46" s="51" t="s">
        <v>539</v>
      </c>
    </row>
    <row r="47" customFormat="false" ht="12.75" hidden="false" customHeight="false" outlineLevel="0" collapsed="false">
      <c r="A47" s="46" t="s">
        <v>637</v>
      </c>
      <c r="B47" s="46" t="s">
        <v>546</v>
      </c>
      <c r="C47" s="46" t="s">
        <v>534</v>
      </c>
      <c r="D47" s="46" t="s">
        <v>638</v>
      </c>
      <c r="E47" s="46" t="s">
        <v>536</v>
      </c>
      <c r="F47" s="46" t="s">
        <v>74</v>
      </c>
      <c r="G47" s="47" t="s">
        <v>537</v>
      </c>
      <c r="H47" s="46" t="s">
        <v>546</v>
      </c>
      <c r="I47" s="48" t="n">
        <v>74</v>
      </c>
      <c r="J47" s="48" t="n">
        <v>55</v>
      </c>
      <c r="K47" s="46" t="s">
        <v>75</v>
      </c>
      <c r="M47" s="46" t="s">
        <v>75</v>
      </c>
      <c r="N47" s="46" t="s">
        <v>75</v>
      </c>
      <c r="O47" s="46" t="s">
        <v>75</v>
      </c>
      <c r="P47" s="49" t="n">
        <v>552728</v>
      </c>
      <c r="Q47" s="50" t="s">
        <v>412</v>
      </c>
      <c r="R47" s="50" t="s">
        <v>544</v>
      </c>
      <c r="S47" s="51" t="s">
        <v>539</v>
      </c>
    </row>
    <row r="48" customFormat="false" ht="12.75" hidden="false" customHeight="false" outlineLevel="0" collapsed="false">
      <c r="A48" s="46" t="s">
        <v>639</v>
      </c>
      <c r="B48" s="46" t="s">
        <v>541</v>
      </c>
      <c r="C48" s="46" t="s">
        <v>568</v>
      </c>
      <c r="D48" s="46" t="s">
        <v>640</v>
      </c>
      <c r="E48" s="46" t="s">
        <v>536</v>
      </c>
      <c r="F48" s="46" t="s">
        <v>75</v>
      </c>
      <c r="G48" s="47" t="s">
        <v>537</v>
      </c>
      <c r="H48" s="46" t="s">
        <v>541</v>
      </c>
      <c r="I48" s="48" t="n">
        <v>0</v>
      </c>
      <c r="J48" s="48" t="n">
        <v>0</v>
      </c>
      <c r="K48" s="46" t="s">
        <v>75</v>
      </c>
      <c r="M48" s="46" t="s">
        <v>75</v>
      </c>
      <c r="N48" s="46" t="s">
        <v>74</v>
      </c>
      <c r="O48" s="46" t="s">
        <v>75</v>
      </c>
      <c r="P48" s="49" t="n">
        <v>132477</v>
      </c>
      <c r="Q48" s="50" t="s">
        <v>443</v>
      </c>
      <c r="R48" s="50" t="s">
        <v>538</v>
      </c>
      <c r="S48" s="51" t="s">
        <v>539</v>
      </c>
    </row>
    <row r="49" customFormat="false" ht="12.75" hidden="false" customHeight="false" outlineLevel="0" collapsed="false">
      <c r="A49" s="46" t="s">
        <v>641</v>
      </c>
      <c r="B49" s="46" t="s">
        <v>533</v>
      </c>
      <c r="C49" s="46" t="s">
        <v>534</v>
      </c>
      <c r="D49" s="46" t="s">
        <v>642</v>
      </c>
      <c r="E49" s="46" t="s">
        <v>536</v>
      </c>
      <c r="F49" s="46" t="s">
        <v>74</v>
      </c>
      <c r="G49" s="47" t="s">
        <v>537</v>
      </c>
      <c r="H49" s="46" t="s">
        <v>533</v>
      </c>
      <c r="I49" s="48" t="n">
        <v>60</v>
      </c>
      <c r="J49" s="48" t="n">
        <v>30</v>
      </c>
      <c r="K49" s="46" t="s">
        <v>75</v>
      </c>
      <c r="M49" s="46" t="s">
        <v>74</v>
      </c>
      <c r="N49" s="46" t="s">
        <v>75</v>
      </c>
      <c r="O49" s="46" t="s">
        <v>74</v>
      </c>
      <c r="P49" s="49" t="n">
        <v>212769</v>
      </c>
      <c r="Q49" s="50" t="s">
        <v>412</v>
      </c>
      <c r="R49" s="50" t="s">
        <v>538</v>
      </c>
      <c r="S49" s="51" t="s">
        <v>539</v>
      </c>
    </row>
    <row r="50" customFormat="false" ht="12.75" hidden="false" customHeight="false" outlineLevel="0" collapsed="false">
      <c r="A50" s="46" t="s">
        <v>643</v>
      </c>
      <c r="B50" s="46" t="s">
        <v>541</v>
      </c>
      <c r="C50" s="46" t="s">
        <v>534</v>
      </c>
      <c r="D50" s="46" t="s">
        <v>644</v>
      </c>
      <c r="E50" s="46" t="s">
        <v>536</v>
      </c>
      <c r="F50" s="46" t="s">
        <v>74</v>
      </c>
      <c r="G50" s="47" t="s">
        <v>537</v>
      </c>
      <c r="H50" s="46" t="s">
        <v>541</v>
      </c>
      <c r="I50" s="48" t="n">
        <v>51</v>
      </c>
      <c r="J50" s="48" t="n">
        <v>0</v>
      </c>
      <c r="K50" s="46" t="s">
        <v>75</v>
      </c>
      <c r="M50" s="46" t="s">
        <v>75</v>
      </c>
      <c r="N50" s="46" t="s">
        <v>75</v>
      </c>
      <c r="O50" s="46" t="s">
        <v>75</v>
      </c>
      <c r="P50" s="49" t="n">
        <v>334313</v>
      </c>
      <c r="Q50" s="50" t="s">
        <v>437</v>
      </c>
      <c r="R50" s="50" t="s">
        <v>538</v>
      </c>
      <c r="S50" s="51" t="s">
        <v>539</v>
      </c>
    </row>
    <row r="51" customFormat="false" ht="12.75" hidden="false" customHeight="false" outlineLevel="0" collapsed="false">
      <c r="A51" s="46" t="s">
        <v>645</v>
      </c>
      <c r="B51" s="46" t="s">
        <v>541</v>
      </c>
      <c r="C51" s="46" t="s">
        <v>534</v>
      </c>
      <c r="D51" s="46" t="s">
        <v>646</v>
      </c>
      <c r="E51" s="46" t="s">
        <v>536</v>
      </c>
      <c r="F51" s="46" t="s">
        <v>74</v>
      </c>
      <c r="G51" s="47" t="s">
        <v>537</v>
      </c>
      <c r="H51" s="46" t="s">
        <v>541</v>
      </c>
      <c r="I51" s="48" t="n">
        <v>100</v>
      </c>
      <c r="J51" s="48" t="n">
        <v>55</v>
      </c>
      <c r="K51" s="46" t="s">
        <v>75</v>
      </c>
      <c r="M51" s="46" t="s">
        <v>75</v>
      </c>
      <c r="N51" s="46" t="s">
        <v>75</v>
      </c>
      <c r="O51" s="46" t="s">
        <v>75</v>
      </c>
      <c r="P51" s="49" t="n">
        <v>600830</v>
      </c>
      <c r="Q51" s="50" t="s">
        <v>437</v>
      </c>
      <c r="R51" s="50" t="s">
        <v>538</v>
      </c>
      <c r="S51" s="51" t="s">
        <v>539</v>
      </c>
    </row>
    <row r="52" customFormat="false" ht="12.75" hidden="false" customHeight="false" outlineLevel="0" collapsed="false">
      <c r="A52" s="46" t="s">
        <v>647</v>
      </c>
      <c r="B52" s="46" t="s">
        <v>541</v>
      </c>
      <c r="C52" s="46" t="s">
        <v>561</v>
      </c>
      <c r="D52" s="46" t="s">
        <v>648</v>
      </c>
      <c r="E52" s="46" t="s">
        <v>536</v>
      </c>
      <c r="F52" s="46" t="s">
        <v>74</v>
      </c>
      <c r="G52" s="47" t="s">
        <v>537</v>
      </c>
      <c r="H52" s="46" t="s">
        <v>541</v>
      </c>
      <c r="I52" s="48" t="n">
        <v>25</v>
      </c>
      <c r="J52" s="48" t="n">
        <v>10</v>
      </c>
      <c r="K52" s="46" t="s">
        <v>75</v>
      </c>
      <c r="M52" s="46" t="s">
        <v>75</v>
      </c>
      <c r="N52" s="46" t="s">
        <v>75</v>
      </c>
      <c r="O52" s="46" t="s">
        <v>75</v>
      </c>
      <c r="P52" s="49" t="n">
        <v>243283</v>
      </c>
      <c r="Q52" s="50" t="s">
        <v>449</v>
      </c>
      <c r="R52" s="50" t="s">
        <v>538</v>
      </c>
      <c r="S52" s="51" t="s">
        <v>539</v>
      </c>
    </row>
    <row r="53" customFormat="false" ht="12.75" hidden="false" customHeight="false" outlineLevel="0" collapsed="false">
      <c r="A53" s="46" t="s">
        <v>649</v>
      </c>
      <c r="B53" s="46" t="s">
        <v>541</v>
      </c>
      <c r="C53" s="46" t="s">
        <v>534</v>
      </c>
      <c r="D53" s="46" t="s">
        <v>650</v>
      </c>
      <c r="E53" s="46" t="s">
        <v>536</v>
      </c>
      <c r="F53" s="46" t="s">
        <v>74</v>
      </c>
      <c r="G53" s="47" t="s">
        <v>537</v>
      </c>
      <c r="H53" s="46" t="s">
        <v>541</v>
      </c>
      <c r="I53" s="48" t="n">
        <v>51</v>
      </c>
      <c r="J53" s="48" t="n">
        <v>30</v>
      </c>
      <c r="K53" s="46" t="s">
        <v>75</v>
      </c>
      <c r="M53" s="46" t="s">
        <v>75</v>
      </c>
      <c r="N53" s="46" t="s">
        <v>74</v>
      </c>
      <c r="O53" s="46" t="s">
        <v>75</v>
      </c>
      <c r="P53" s="49" t="n">
        <v>537026</v>
      </c>
      <c r="Q53" s="50" t="s">
        <v>433</v>
      </c>
      <c r="R53" s="50" t="s">
        <v>538</v>
      </c>
      <c r="S53" s="51" t="s">
        <v>539</v>
      </c>
    </row>
    <row r="54" customFormat="false" ht="12.75" hidden="false" customHeight="false" outlineLevel="0" collapsed="false">
      <c r="A54" s="46" t="s">
        <v>651</v>
      </c>
      <c r="B54" s="46" t="s">
        <v>546</v>
      </c>
      <c r="C54" s="46" t="s">
        <v>534</v>
      </c>
      <c r="D54" s="46" t="s">
        <v>652</v>
      </c>
      <c r="E54" s="46" t="s">
        <v>536</v>
      </c>
      <c r="F54" s="46" t="s">
        <v>74</v>
      </c>
      <c r="G54" s="47" t="s">
        <v>537</v>
      </c>
      <c r="H54" s="46" t="s">
        <v>546</v>
      </c>
      <c r="I54" s="48" t="n">
        <v>100</v>
      </c>
      <c r="J54" s="48" t="n">
        <v>40</v>
      </c>
      <c r="K54" s="46" t="s">
        <v>75</v>
      </c>
      <c r="M54" s="46" t="s">
        <v>75</v>
      </c>
      <c r="N54" s="46" t="s">
        <v>74</v>
      </c>
      <c r="O54" s="46" t="s">
        <v>75</v>
      </c>
      <c r="P54" s="49" t="n">
        <v>536566</v>
      </c>
      <c r="Q54" s="50" t="s">
        <v>433</v>
      </c>
      <c r="R54" s="50" t="s">
        <v>538</v>
      </c>
      <c r="S54" s="51" t="s">
        <v>539</v>
      </c>
    </row>
    <row r="55" customFormat="false" ht="12.75" hidden="false" customHeight="false" outlineLevel="0" collapsed="false">
      <c r="A55" s="46" t="s">
        <v>653</v>
      </c>
      <c r="B55" s="46" t="s">
        <v>541</v>
      </c>
      <c r="C55" s="46" t="s">
        <v>534</v>
      </c>
      <c r="D55" s="46" t="s">
        <v>654</v>
      </c>
      <c r="E55" s="46" t="s">
        <v>536</v>
      </c>
      <c r="F55" s="46" t="s">
        <v>74</v>
      </c>
      <c r="G55" s="47" t="s">
        <v>537</v>
      </c>
      <c r="H55" s="46" t="s">
        <v>541</v>
      </c>
      <c r="I55" s="48" t="n">
        <v>74</v>
      </c>
      <c r="J55" s="48" t="n">
        <v>30</v>
      </c>
      <c r="K55" s="46" t="s">
        <v>75</v>
      </c>
      <c r="M55" s="46" t="s">
        <v>75</v>
      </c>
      <c r="N55" s="46" t="s">
        <v>75</v>
      </c>
      <c r="O55" s="46" t="s">
        <v>75</v>
      </c>
      <c r="P55" s="49" t="n">
        <v>549771</v>
      </c>
      <c r="Q55" s="50" t="s">
        <v>412</v>
      </c>
      <c r="R55" s="50" t="s">
        <v>538</v>
      </c>
      <c r="S55" s="51" t="s">
        <v>539</v>
      </c>
    </row>
    <row r="56" customFormat="false" ht="12.75" hidden="false" customHeight="false" outlineLevel="0" collapsed="false">
      <c r="A56" s="46" t="s">
        <v>655</v>
      </c>
      <c r="B56" s="46" t="s">
        <v>533</v>
      </c>
      <c r="C56" s="46" t="s">
        <v>534</v>
      </c>
      <c r="D56" s="46" t="s">
        <v>656</v>
      </c>
      <c r="E56" s="46" t="s">
        <v>536</v>
      </c>
      <c r="F56" s="46" t="s">
        <v>74</v>
      </c>
      <c r="G56" s="47" t="s">
        <v>537</v>
      </c>
      <c r="H56" s="46" t="s">
        <v>533</v>
      </c>
      <c r="I56" s="48" t="n">
        <v>100</v>
      </c>
      <c r="J56" s="48" t="n">
        <v>10</v>
      </c>
      <c r="K56" s="46" t="s">
        <v>75</v>
      </c>
      <c r="M56" s="46" t="s">
        <v>74</v>
      </c>
      <c r="N56" s="46" t="s">
        <v>75</v>
      </c>
      <c r="O56" s="46" t="s">
        <v>75</v>
      </c>
      <c r="P56" s="49" t="n">
        <v>207934</v>
      </c>
      <c r="Q56" s="50" t="s">
        <v>421</v>
      </c>
      <c r="R56" s="50" t="s">
        <v>544</v>
      </c>
      <c r="S56" s="51" t="s">
        <v>539</v>
      </c>
    </row>
    <row r="57" customFormat="false" ht="12.75" hidden="false" customHeight="false" outlineLevel="0" collapsed="false">
      <c r="A57" s="46" t="s">
        <v>657</v>
      </c>
      <c r="B57" s="46" t="s">
        <v>546</v>
      </c>
      <c r="C57" s="46" t="s">
        <v>580</v>
      </c>
      <c r="D57" s="46" t="s">
        <v>658</v>
      </c>
      <c r="E57" s="46" t="s">
        <v>536</v>
      </c>
      <c r="F57" s="46" t="s">
        <v>74</v>
      </c>
      <c r="G57" s="47" t="s">
        <v>537</v>
      </c>
      <c r="H57" s="46" t="s">
        <v>546</v>
      </c>
      <c r="I57" s="48" t="n">
        <v>45</v>
      </c>
      <c r="J57" s="48" t="n">
        <v>0</v>
      </c>
      <c r="K57" s="46" t="s">
        <v>75</v>
      </c>
      <c r="M57" s="46" t="s">
        <v>75</v>
      </c>
      <c r="N57" s="46" t="s">
        <v>74</v>
      </c>
      <c r="O57" s="46" t="s">
        <v>75</v>
      </c>
      <c r="P57" s="49" t="n">
        <v>233586</v>
      </c>
      <c r="Q57" s="50" t="s">
        <v>412</v>
      </c>
      <c r="R57" s="50" t="s">
        <v>418</v>
      </c>
      <c r="S57" s="51" t="s">
        <v>539</v>
      </c>
    </row>
    <row r="58" customFormat="false" ht="12.75" hidden="false" customHeight="false" outlineLevel="0" collapsed="false">
      <c r="A58" s="46" t="s">
        <v>659</v>
      </c>
      <c r="B58" s="46" t="s">
        <v>533</v>
      </c>
      <c r="C58" s="46" t="s">
        <v>534</v>
      </c>
      <c r="D58" s="46" t="s">
        <v>660</v>
      </c>
      <c r="E58" s="46" t="s">
        <v>536</v>
      </c>
      <c r="F58" s="46" t="s">
        <v>74</v>
      </c>
      <c r="G58" s="47" t="s">
        <v>537</v>
      </c>
      <c r="H58" s="46" t="s">
        <v>533</v>
      </c>
      <c r="I58" s="48" t="n">
        <v>60</v>
      </c>
      <c r="J58" s="48" t="n">
        <v>51</v>
      </c>
      <c r="K58" s="46" t="s">
        <v>75</v>
      </c>
      <c r="M58" s="46" t="s">
        <v>74</v>
      </c>
      <c r="N58" s="46" t="s">
        <v>75</v>
      </c>
      <c r="O58" s="46" t="s">
        <v>74</v>
      </c>
      <c r="P58" s="49" t="n">
        <v>216159</v>
      </c>
      <c r="Q58" s="50" t="s">
        <v>449</v>
      </c>
      <c r="R58" s="50" t="s">
        <v>418</v>
      </c>
      <c r="S58" s="51" t="s">
        <v>539</v>
      </c>
    </row>
    <row r="59" customFormat="false" ht="12.75" hidden="false" customHeight="false" outlineLevel="0" collapsed="false">
      <c r="A59" s="46" t="s">
        <v>661</v>
      </c>
      <c r="B59" s="46" t="s">
        <v>546</v>
      </c>
      <c r="C59" s="46" t="s">
        <v>534</v>
      </c>
      <c r="D59" s="46" t="s">
        <v>662</v>
      </c>
      <c r="E59" s="46" t="s">
        <v>536</v>
      </c>
      <c r="F59" s="46" t="s">
        <v>74</v>
      </c>
      <c r="G59" s="47" t="s">
        <v>537</v>
      </c>
      <c r="H59" s="46" t="s">
        <v>546</v>
      </c>
      <c r="I59" s="48" t="n">
        <v>51</v>
      </c>
      <c r="J59" s="48" t="n">
        <v>51</v>
      </c>
      <c r="K59" s="46" t="s">
        <v>75</v>
      </c>
      <c r="M59" s="46" t="s">
        <v>74</v>
      </c>
      <c r="N59" s="46" t="s">
        <v>74</v>
      </c>
      <c r="O59" s="46" t="s">
        <v>75</v>
      </c>
      <c r="P59" s="49" t="n">
        <v>204773</v>
      </c>
      <c r="Q59" s="50" t="s">
        <v>459</v>
      </c>
      <c r="R59" s="50" t="s">
        <v>538</v>
      </c>
      <c r="S59" s="51" t="s">
        <v>539</v>
      </c>
    </row>
    <row r="60" customFormat="false" ht="12.75" hidden="false" customHeight="false" outlineLevel="0" collapsed="false">
      <c r="A60" s="46" t="s">
        <v>663</v>
      </c>
      <c r="B60" s="46" t="s">
        <v>541</v>
      </c>
      <c r="C60" s="46" t="s">
        <v>596</v>
      </c>
      <c r="D60" s="46" t="s">
        <v>664</v>
      </c>
      <c r="E60" s="46" t="s">
        <v>536</v>
      </c>
      <c r="F60" s="46" t="s">
        <v>74</v>
      </c>
      <c r="G60" s="47" t="s">
        <v>537</v>
      </c>
      <c r="H60" s="46" t="s">
        <v>541</v>
      </c>
      <c r="I60" s="48" t="n">
        <v>0</v>
      </c>
      <c r="J60" s="48" t="n">
        <v>10</v>
      </c>
      <c r="K60" s="46" t="s">
        <v>75</v>
      </c>
      <c r="M60" s="46" t="s">
        <v>75</v>
      </c>
      <c r="N60" s="46" t="s">
        <v>75</v>
      </c>
      <c r="O60" s="46" t="s">
        <v>75</v>
      </c>
      <c r="P60" s="49" t="n">
        <v>214132</v>
      </c>
      <c r="Q60" s="50" t="s">
        <v>412</v>
      </c>
      <c r="R60" s="50" t="s">
        <v>544</v>
      </c>
      <c r="S60" s="51" t="s">
        <v>539</v>
      </c>
    </row>
    <row r="61" customFormat="false" ht="12.75" hidden="false" customHeight="false" outlineLevel="0" collapsed="false">
      <c r="A61" s="46" t="s">
        <v>665</v>
      </c>
      <c r="B61" s="46" t="s">
        <v>541</v>
      </c>
      <c r="C61" s="46" t="s">
        <v>561</v>
      </c>
      <c r="D61" s="46" t="s">
        <v>666</v>
      </c>
      <c r="E61" s="46" t="s">
        <v>536</v>
      </c>
      <c r="F61" s="46" t="s">
        <v>74</v>
      </c>
      <c r="G61" s="47" t="s">
        <v>537</v>
      </c>
      <c r="H61" s="46" t="s">
        <v>541</v>
      </c>
      <c r="I61" s="48" t="n">
        <v>0</v>
      </c>
      <c r="J61" s="48" t="n">
        <v>10</v>
      </c>
      <c r="K61" s="46" t="s">
        <v>75</v>
      </c>
      <c r="M61" s="46" t="s">
        <v>75</v>
      </c>
      <c r="N61" s="46" t="s">
        <v>75</v>
      </c>
      <c r="O61" s="46" t="s">
        <v>75</v>
      </c>
      <c r="P61" s="49" t="n">
        <v>220731</v>
      </c>
      <c r="Q61" s="50" t="s">
        <v>449</v>
      </c>
      <c r="R61" s="50" t="s">
        <v>538</v>
      </c>
      <c r="S61" s="51" t="s">
        <v>539</v>
      </c>
    </row>
    <row r="62" customFormat="false" ht="12.75" hidden="false" customHeight="false" outlineLevel="0" collapsed="false">
      <c r="A62" s="46" t="s">
        <v>667</v>
      </c>
      <c r="B62" s="46" t="s">
        <v>541</v>
      </c>
      <c r="C62" s="46" t="s">
        <v>561</v>
      </c>
      <c r="D62" s="46" t="s">
        <v>668</v>
      </c>
      <c r="E62" s="46" t="s">
        <v>536</v>
      </c>
      <c r="F62" s="46" t="s">
        <v>74</v>
      </c>
      <c r="G62" s="47" t="s">
        <v>537</v>
      </c>
      <c r="H62" s="46" t="s">
        <v>541</v>
      </c>
      <c r="I62" s="48" t="n">
        <v>25</v>
      </c>
      <c r="J62" s="48" t="n">
        <v>0</v>
      </c>
      <c r="K62" s="46" t="s">
        <v>75</v>
      </c>
      <c r="M62" s="46" t="s">
        <v>75</v>
      </c>
      <c r="N62" s="46" t="s">
        <v>75</v>
      </c>
      <c r="O62" s="46" t="s">
        <v>75</v>
      </c>
      <c r="P62" s="49" t="n">
        <v>218657</v>
      </c>
      <c r="Q62" s="50" t="s">
        <v>467</v>
      </c>
      <c r="R62" s="50" t="s">
        <v>538</v>
      </c>
      <c r="S62" s="51" t="s">
        <v>539</v>
      </c>
    </row>
  </sheetData>
  <mergeCells count="1">
    <mergeCell ref="A1:S1"/>
  </mergeCells>
  <dataValidations count="4">
    <dataValidation allowBlank="true" errorStyle="stop" operator="between" showDropDown="false" showErrorMessage="true" showInputMessage="true" sqref="E3:E1062" type="list">
      <formula1>"CoGP,RCoGP"</formula1>
      <formula2>0</formula2>
    </dataValidation>
    <dataValidation allowBlank="true" errorStyle="stop" operator="between" showDropDown="false" showErrorMessage="true" showInputMessage="true" sqref="C3:C1062" type="list">
      <formula1>"1,2,3,4,5,6,7,8,Non-compliant"</formula1>
      <formula2>0</formula2>
    </dataValidation>
    <dataValidation allowBlank="true" errorStyle="stop" operator="between" showDropDown="false" showErrorMessage="true" showInputMessage="true" sqref="B3:B1062 H3:H1062" type="list">
      <formula1>"Large,QSE,EME"</formula1>
      <formula2>0</formula2>
    </dataValidation>
    <dataValidation allowBlank="true" errorStyle="stop" operator="between" showDropDown="false" showErrorMessage="true" showInputMessage="true" sqref="F3:F1062 K3:K1062 M3:O106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669</v>
      </c>
      <c r="B1" s="67"/>
      <c r="C1" s="67"/>
      <c r="D1" s="67"/>
      <c r="E1" s="67"/>
      <c r="F1" s="67"/>
      <c r="G1" s="67"/>
      <c r="H1" s="67"/>
      <c r="I1" s="67"/>
      <c r="J1" s="67"/>
      <c r="K1" s="67"/>
      <c r="L1" s="67"/>
      <c r="M1" s="67"/>
    </row>
    <row r="2" customFormat="false" ht="30" hidden="false" customHeight="true" outlineLevel="0" collapsed="false">
      <c r="A2" s="68" t="s">
        <v>515</v>
      </c>
      <c r="B2" s="69" t="s">
        <v>670</v>
      </c>
      <c r="C2" s="68" t="s">
        <v>671</v>
      </c>
      <c r="D2" s="70" t="s">
        <v>672</v>
      </c>
      <c r="E2" s="71" t="s">
        <v>673</v>
      </c>
      <c r="F2" s="72" t="s">
        <v>674</v>
      </c>
      <c r="G2" s="68" t="s">
        <v>675</v>
      </c>
      <c r="H2" s="71" t="s">
        <v>676</v>
      </c>
      <c r="I2" s="71" t="s">
        <v>677</v>
      </c>
      <c r="J2" s="73" t="s">
        <v>678</v>
      </c>
      <c r="K2" s="73" t="s">
        <v>679</v>
      </c>
      <c r="L2" s="73" t="s">
        <v>407</v>
      </c>
      <c r="M2" s="73" t="s">
        <v>408</v>
      </c>
    </row>
    <row r="3" customFormat="false" ht="15" hidden="false" customHeight="false" outlineLevel="0" collapsed="false">
      <c r="A3" s="62" t="s">
        <v>680</v>
      </c>
      <c r="B3" s="63" t="n">
        <v>51</v>
      </c>
      <c r="C3" s="62" t="s">
        <v>546</v>
      </c>
      <c r="D3" s="62" t="s">
        <v>681</v>
      </c>
      <c r="E3" s="64" t="s">
        <v>682</v>
      </c>
      <c r="F3" s="62" t="s">
        <v>683</v>
      </c>
      <c r="G3" s="65" t="n">
        <v>69300</v>
      </c>
      <c r="H3" s="64" t="s">
        <v>682</v>
      </c>
      <c r="I3" s="64" t="s">
        <v>684</v>
      </c>
      <c r="J3" s="66" t="n">
        <v>11.75</v>
      </c>
      <c r="K3" s="66" t="n">
        <v>0</v>
      </c>
      <c r="L3" s="62" t="s">
        <v>443</v>
      </c>
      <c r="M3" s="62" t="s">
        <v>685</v>
      </c>
    </row>
    <row r="4" customFormat="false" ht="15" hidden="false" customHeight="false" outlineLevel="0" collapsed="false">
      <c r="A4" s="62" t="s">
        <v>686</v>
      </c>
      <c r="B4" s="63" t="n">
        <v>51</v>
      </c>
      <c r="C4" s="62" t="s">
        <v>546</v>
      </c>
      <c r="D4" s="62" t="s">
        <v>687</v>
      </c>
      <c r="E4" s="64" t="s">
        <v>682</v>
      </c>
      <c r="F4" s="62" t="s">
        <v>688</v>
      </c>
      <c r="G4" s="65" t="n">
        <v>41580</v>
      </c>
      <c r="H4" s="64" t="s">
        <v>682</v>
      </c>
      <c r="I4" s="64" t="s">
        <v>684</v>
      </c>
      <c r="L4" s="62" t="s">
        <v>437</v>
      </c>
      <c r="M4" s="62" t="s">
        <v>685</v>
      </c>
    </row>
    <row r="5" customFormat="false" ht="15" hidden="false" customHeight="false" outlineLevel="0" collapsed="false">
      <c r="A5" s="62" t="s">
        <v>689</v>
      </c>
      <c r="B5" s="63" t="n">
        <v>100</v>
      </c>
      <c r="C5" s="62" t="s">
        <v>546</v>
      </c>
      <c r="D5" s="62" t="s">
        <v>690</v>
      </c>
      <c r="E5" s="64" t="s">
        <v>682</v>
      </c>
      <c r="F5" s="62" t="s">
        <v>691</v>
      </c>
      <c r="G5" s="65" t="n">
        <v>30030</v>
      </c>
      <c r="H5" s="64" t="s">
        <v>682</v>
      </c>
      <c r="I5" s="64" t="s">
        <v>684</v>
      </c>
      <c r="L5" s="62" t="s">
        <v>467</v>
      </c>
      <c r="M5" s="62" t="s">
        <v>685</v>
      </c>
    </row>
    <row r="6" customFormat="false" ht="15" hidden="false" customHeight="false" outlineLevel="0" collapsed="false">
      <c r="A6" s="62" t="s">
        <v>692</v>
      </c>
      <c r="B6" s="63" t="n">
        <v>100</v>
      </c>
      <c r="C6" s="62" t="s">
        <v>533</v>
      </c>
      <c r="D6" s="62" t="s">
        <v>693</v>
      </c>
      <c r="E6" s="64" t="s">
        <v>682</v>
      </c>
      <c r="F6" s="62" t="s">
        <v>694</v>
      </c>
      <c r="G6" s="65" t="n">
        <v>25410</v>
      </c>
      <c r="H6" s="64" t="s">
        <v>682</v>
      </c>
      <c r="I6" s="64" t="s">
        <v>684</v>
      </c>
      <c r="L6" s="62" t="s">
        <v>427</v>
      </c>
      <c r="M6" s="62" t="s">
        <v>685</v>
      </c>
    </row>
    <row r="7" customFormat="false" ht="15" hidden="false" customHeight="false" outlineLevel="0" collapsed="false">
      <c r="A7" s="62" t="s">
        <v>695</v>
      </c>
      <c r="B7" s="63" t="n">
        <v>100</v>
      </c>
      <c r="C7" s="62" t="s">
        <v>546</v>
      </c>
      <c r="D7" s="62" t="s">
        <v>696</v>
      </c>
      <c r="E7" s="64" t="s">
        <v>682</v>
      </c>
      <c r="F7" s="62" t="s">
        <v>697</v>
      </c>
      <c r="G7" s="65" t="n">
        <v>36960</v>
      </c>
      <c r="H7" s="64" t="s">
        <v>682</v>
      </c>
      <c r="I7" s="64" t="s">
        <v>684</v>
      </c>
      <c r="L7" s="62" t="s">
        <v>427</v>
      </c>
      <c r="M7" s="62" t="s">
        <v>685</v>
      </c>
    </row>
    <row r="8" customFormat="false" ht="15" hidden="false" customHeight="false" outlineLevel="0" collapsed="false">
      <c r="A8" s="62" t="s">
        <v>698</v>
      </c>
      <c r="B8" s="63" t="n">
        <v>51</v>
      </c>
      <c r="C8" s="62" t="s">
        <v>533</v>
      </c>
      <c r="D8" s="62" t="s">
        <v>699</v>
      </c>
      <c r="E8" s="64" t="s">
        <v>682</v>
      </c>
      <c r="F8" s="62" t="s">
        <v>694</v>
      </c>
      <c r="G8" s="65" t="n">
        <v>27720</v>
      </c>
      <c r="H8" s="64" t="s">
        <v>682</v>
      </c>
      <c r="I8" s="64" t="s">
        <v>684</v>
      </c>
      <c r="L8" s="62" t="s">
        <v>433</v>
      </c>
      <c r="M8" s="62" t="s">
        <v>685</v>
      </c>
    </row>
    <row r="9" customFormat="false" ht="15" hidden="false" customHeight="false" outlineLevel="0" collapsed="false">
      <c r="A9" s="62" t="s">
        <v>700</v>
      </c>
      <c r="B9" s="63" t="n">
        <v>51</v>
      </c>
      <c r="C9" s="62" t="s">
        <v>533</v>
      </c>
      <c r="D9" s="62" t="s">
        <v>701</v>
      </c>
      <c r="E9" s="64" t="s">
        <v>682</v>
      </c>
      <c r="F9" s="62" t="s">
        <v>691</v>
      </c>
      <c r="G9" s="65" t="n">
        <v>37800</v>
      </c>
      <c r="H9" s="64" t="s">
        <v>682</v>
      </c>
      <c r="I9" s="64" t="s">
        <v>684</v>
      </c>
      <c r="L9" s="62" t="s">
        <v>459</v>
      </c>
      <c r="M9" s="62" t="s">
        <v>685</v>
      </c>
    </row>
    <row r="10" customFormat="false" ht="15" hidden="false" customHeight="false" outlineLevel="0" collapsed="false">
      <c r="A10" s="62" t="s">
        <v>702</v>
      </c>
      <c r="B10" s="63" t="n">
        <v>100</v>
      </c>
      <c r="C10" s="62" t="s">
        <v>533</v>
      </c>
      <c r="D10" s="62" t="s">
        <v>703</v>
      </c>
      <c r="E10" s="64" t="s">
        <v>682</v>
      </c>
      <c r="F10" s="62" t="s">
        <v>691</v>
      </c>
      <c r="G10" s="65" t="n">
        <v>26250</v>
      </c>
      <c r="H10" s="64" t="s">
        <v>682</v>
      </c>
      <c r="I10" s="64" t="s">
        <v>684</v>
      </c>
      <c r="L10" s="62" t="s">
        <v>443</v>
      </c>
      <c r="M10" s="62" t="s">
        <v>685</v>
      </c>
    </row>
    <row r="11" customFormat="false" ht="15" hidden="false" customHeight="false" outlineLevel="0" collapsed="false">
      <c r="A11" s="62" t="s">
        <v>704</v>
      </c>
      <c r="B11" s="63" t="n">
        <v>100</v>
      </c>
      <c r="C11" s="62" t="s">
        <v>533</v>
      </c>
      <c r="D11" s="62" t="s">
        <v>705</v>
      </c>
      <c r="E11" s="64" t="s">
        <v>682</v>
      </c>
      <c r="F11" s="62" t="s">
        <v>691</v>
      </c>
      <c r="G11" s="65" t="n">
        <v>22050</v>
      </c>
      <c r="H11" s="64" t="s">
        <v>682</v>
      </c>
      <c r="I11" s="64" t="s">
        <v>684</v>
      </c>
      <c r="L11" s="62" t="s">
        <v>459</v>
      </c>
      <c r="M11" s="62" t="s">
        <v>685</v>
      </c>
    </row>
    <row r="12" customFormat="false" ht="15" hidden="false" customHeight="false" outlineLevel="0" collapsed="false">
      <c r="A12" s="62" t="s">
        <v>706</v>
      </c>
      <c r="B12" s="63" t="n">
        <v>51</v>
      </c>
      <c r="C12" s="62" t="s">
        <v>533</v>
      </c>
      <c r="D12" s="62" t="s">
        <v>707</v>
      </c>
      <c r="E12" s="64" t="s">
        <v>682</v>
      </c>
      <c r="F12" s="62" t="s">
        <v>697</v>
      </c>
      <c r="G12" s="65" t="n">
        <v>18900</v>
      </c>
      <c r="H12" s="64" t="s">
        <v>682</v>
      </c>
      <c r="I12" s="64" t="s">
        <v>684</v>
      </c>
      <c r="L12" s="62" t="s">
        <v>412</v>
      </c>
      <c r="M12" s="62" t="s">
        <v>685</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708</v>
      </c>
      <c r="B1" s="67"/>
      <c r="C1" s="67"/>
      <c r="D1" s="67"/>
      <c r="E1" s="67"/>
      <c r="F1" s="67"/>
      <c r="G1" s="67"/>
      <c r="H1" s="67"/>
      <c r="I1" s="67"/>
      <c r="J1" s="74"/>
    </row>
    <row r="2" customFormat="false" ht="15" hidden="false" customHeight="true" outlineLevel="0" collapsed="false">
      <c r="A2" s="68" t="s">
        <v>709</v>
      </c>
      <c r="B2" s="68" t="s">
        <v>710</v>
      </c>
      <c r="C2" s="71" t="s">
        <v>711</v>
      </c>
      <c r="D2" s="71" t="s">
        <v>673</v>
      </c>
      <c r="E2" s="68" t="s">
        <v>674</v>
      </c>
      <c r="F2" s="75" t="s">
        <v>712</v>
      </c>
      <c r="G2" s="71" t="s">
        <v>407</v>
      </c>
      <c r="H2" s="71" t="s">
        <v>408</v>
      </c>
      <c r="I2" s="68" t="s">
        <v>675</v>
      </c>
      <c r="J2" s="76"/>
    </row>
    <row r="3" customFormat="false" ht="15" hidden="false" customHeight="false" outlineLevel="0" collapsed="false">
      <c r="A3" s="62" t="s">
        <v>713</v>
      </c>
      <c r="B3" s="62" t="s">
        <v>714</v>
      </c>
      <c r="C3" s="62" t="s">
        <v>74</v>
      </c>
      <c r="D3" s="64" t="s">
        <v>715</v>
      </c>
      <c r="E3" s="62" t="s">
        <v>691</v>
      </c>
      <c r="F3" s="63" t="n">
        <v>90</v>
      </c>
      <c r="G3" s="62" t="s">
        <v>443</v>
      </c>
      <c r="H3" s="62" t="s">
        <v>716</v>
      </c>
      <c r="I3" s="65" t="n">
        <v>30940</v>
      </c>
    </row>
    <row r="4" customFormat="false" ht="15" hidden="false" customHeight="false" outlineLevel="0" collapsed="false">
      <c r="A4" s="62" t="s">
        <v>717</v>
      </c>
      <c r="B4" s="62" t="s">
        <v>718</v>
      </c>
      <c r="C4" s="62" t="s">
        <v>74</v>
      </c>
      <c r="D4" s="64" t="s">
        <v>715</v>
      </c>
      <c r="E4" s="62" t="s">
        <v>691</v>
      </c>
      <c r="F4" s="63" t="n">
        <v>95</v>
      </c>
      <c r="G4" s="62" t="s">
        <v>459</v>
      </c>
      <c r="H4" s="62" t="s">
        <v>716</v>
      </c>
      <c r="I4" s="65" t="n">
        <v>21840</v>
      </c>
    </row>
    <row r="5" customFormat="false" ht="15" hidden="false" customHeight="false" outlineLevel="0" collapsed="false">
      <c r="A5" s="62" t="s">
        <v>719</v>
      </c>
      <c r="B5" s="62" t="s">
        <v>720</v>
      </c>
      <c r="C5" s="62" t="s">
        <v>74</v>
      </c>
      <c r="D5" s="64" t="s">
        <v>715</v>
      </c>
      <c r="E5" s="62" t="s">
        <v>691</v>
      </c>
      <c r="F5" s="63" t="n">
        <v>100</v>
      </c>
      <c r="G5" s="62" t="s">
        <v>433</v>
      </c>
      <c r="H5" s="62" t="s">
        <v>716</v>
      </c>
      <c r="I5" s="65" t="n">
        <v>16380</v>
      </c>
    </row>
    <row r="6" customFormat="false" ht="15" hidden="false" customHeight="false" outlineLevel="0" collapsed="false">
      <c r="A6" s="62" t="s">
        <v>721</v>
      </c>
      <c r="B6" s="62" t="s">
        <v>722</v>
      </c>
      <c r="C6" s="62" t="s">
        <v>74</v>
      </c>
      <c r="D6" s="64" t="s">
        <v>715</v>
      </c>
      <c r="E6" s="62" t="s">
        <v>723</v>
      </c>
      <c r="F6" s="63" t="n">
        <v>90</v>
      </c>
      <c r="G6" s="62" t="s">
        <v>459</v>
      </c>
      <c r="H6" s="62" t="s">
        <v>716</v>
      </c>
      <c r="I6" s="65" t="n">
        <v>11830</v>
      </c>
    </row>
    <row r="7" customFormat="false" ht="15" hidden="false" customHeight="false" outlineLevel="0" collapsed="false">
      <c r="A7" s="62" t="s">
        <v>724</v>
      </c>
      <c r="B7" s="62" t="s">
        <v>725</v>
      </c>
      <c r="C7" s="62" t="s">
        <v>74</v>
      </c>
      <c r="D7" s="64" t="s">
        <v>715</v>
      </c>
      <c r="E7" s="62" t="s">
        <v>691</v>
      </c>
      <c r="F7" s="63" t="n">
        <v>85</v>
      </c>
      <c r="G7" s="62" t="s">
        <v>449</v>
      </c>
      <c r="H7" s="62" t="s">
        <v>716</v>
      </c>
      <c r="I7" s="65" t="n">
        <v>10010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726</v>
      </c>
    </row>
    <row r="3" customFormat="false" ht="15" hidden="false" customHeight="false" outlineLevel="0" collapsed="false">
      <c r="A3" s="18" t="s">
        <v>727</v>
      </c>
      <c r="B3" s="18" t="s">
        <v>728</v>
      </c>
      <c r="C3" s="18" t="s">
        <v>729</v>
      </c>
    </row>
    <row r="4" customFormat="false" ht="15" hidden="false" customHeight="false" outlineLevel="0" collapsed="false">
      <c r="A4" s="0" t="s">
        <v>730</v>
      </c>
      <c r="B4" s="0" t="s">
        <v>731</v>
      </c>
      <c r="C4" s="0" t="s">
        <v>732</v>
      </c>
    </row>
    <row r="5" customFormat="false" ht="15" hidden="false" customHeight="false" outlineLevel="0" collapsed="false">
      <c r="A5" s="0" t="s">
        <v>733</v>
      </c>
      <c r="B5" s="0" t="s">
        <v>734</v>
      </c>
      <c r="C5" s="0" t="s">
        <v>735</v>
      </c>
    </row>
    <row r="6" customFormat="false" ht="15" hidden="false" customHeight="false" outlineLevel="0" collapsed="false">
      <c r="A6" s="0" t="s">
        <v>736</v>
      </c>
      <c r="B6" s="0" t="s">
        <v>737</v>
      </c>
      <c r="C6" s="0" t="s">
        <v>738</v>
      </c>
    </row>
    <row r="7" customFormat="false" ht="15" hidden="false" customHeight="false" outlineLevel="0" collapsed="false">
      <c r="A7" s="0" t="s">
        <v>739</v>
      </c>
      <c r="B7" s="0" t="s">
        <v>740</v>
      </c>
      <c r="C7" s="0" t="s">
        <v>741</v>
      </c>
    </row>
    <row r="8" customFormat="false" ht="15" hidden="false" customHeight="false" outlineLevel="0" collapsed="false">
      <c r="A8" s="0" t="s">
        <v>742</v>
      </c>
      <c r="B8" s="0" t="s">
        <v>743</v>
      </c>
      <c r="C8" s="0" t="s">
        <v>744</v>
      </c>
    </row>
    <row r="10" customFormat="false" ht="43.25" hidden="false" customHeight="false" outlineLevel="0" collapsed="false">
      <c r="A10" s="77" t="s">
        <v>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AF3F2A32-B9DC-4809-9C03-A3994286C799}"/>
</file>

<file path=customXml/itemProps2.xml><?xml version="1.0" encoding="utf-8"?>
<ds:datastoreItem xmlns:ds="http://schemas.openxmlformats.org/officeDocument/2006/customXml" ds:itemID="{AB51CADF-26DC-495A-A9BD-280D565CDB57}"/>
</file>

<file path=customXml/itemProps3.xml><?xml version="1.0" encoding="utf-8"?>
<ds:datastoreItem xmlns:ds="http://schemas.openxmlformats.org/officeDocument/2006/customXml" ds:itemID="{AA141EA4-4E2D-456F-A778-BC753315D58B}"/>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2026-06-21T19:18:28Z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