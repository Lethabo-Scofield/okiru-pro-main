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1" documentId="11_922E3EA302F4B2EA8217B69357E4DEE783F39F6D" xr6:coauthVersionLast="47" xr6:coauthVersionMax="47" xr10:uidLastSave="{C1A873C2-7CED-4AD9-82DB-FDC77B5E007F}"/>
  <bookViews>
    <workbookView xWindow="0" yWindow="0" windowWidth="16384" windowHeight="8192" tabRatio="500" xr2:uid="{00000000-000D-0000-FFFF-FFFF00000000}"/>
  </bookViews>
  <sheets>
    <sheet name="Information Request" sheetId="1" r:id="rId1"/>
    <sheet name="Financials" sheetId="2" r:id="rId2"/>
    <sheet name="Ownership" sheetId="3" r:id="rId3"/>
    <sheet name="Management Control - Employees" sheetId="4" r:id="rId4"/>
    <sheet name="Skills Development" sheetId="5" r:id="rId5"/>
    <sheet name="Procurement - Suppliers" sheetId="6" r:id="rId6"/>
    <sheet name="Enterprise &amp; Supplier Developme" sheetId="7" r:id="rId7"/>
    <sheet name="Socioeconomic Development" sheetId="8" r:id="rId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2" i="3" l="1"/>
  <c r="B11" i="3"/>
  <c r="H9" i="3"/>
  <c r="G9" i="3"/>
  <c r="D10" i="2"/>
  <c r="C10" i="2"/>
  <c r="B1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0400-000001000000}">
      <text>
        <r>
          <rPr>
            <sz val="10"/>
            <rFont val="Arial"/>
            <family val="2"/>
          </rPr>
          <t>Click on the 'Explanantions' sheet below for more information on what this is.</t>
        </r>
      </text>
    </comment>
  </commentList>
</comments>
</file>

<file path=xl/sharedStrings.xml><?xml version="1.0" encoding="utf-8"?>
<sst xmlns="http://schemas.openxmlformats.org/spreadsheetml/2006/main" count="9798" uniqueCount="2684">
  <si>
    <t>Information request checklist - Kgodiso Industrial Holdings (Pty) Ltd</t>
  </si>
  <si>
    <t>Phase 1: Current State Analysis:</t>
  </si>
  <si>
    <t>Please provide the following information:</t>
  </si>
  <si>
    <t>1.</t>
  </si>
  <si>
    <t>FINANCIAL INFORMATION:</t>
  </si>
  <si>
    <t>Historical Information: Financial Year End 31 December 2025 (measured period)</t>
  </si>
  <si>
    <t>a. Revenue</t>
  </si>
  <si>
    <t>b. NPAT (Net Profit After Tax)</t>
  </si>
  <si>
    <t>c. Payroll (total salary bill for the 12 months January to December 2025)</t>
  </si>
  <si>
    <t>Forecasts: Current Financial Year End 31 December 2026 (forecast)</t>
  </si>
  <si>
    <t>a. Revenue - forecasted (estimate) revenue for this financial year</t>
  </si>
  <si>
    <t>b. NPAT (Net Profit After Tax) - forecasted (estimate) NPAT for this financial year</t>
  </si>
  <si>
    <t>c. Payroll (forecasted (estimate) total salary bill for the 12 months January to December 2026)</t>
  </si>
  <si>
    <t>2.</t>
  </si>
  <si>
    <t>EMPLOYMENT EQUITY PROFILE:</t>
  </si>
  <si>
    <t>a. Please provide the latest staff list (most recent employee profile). Important information is:</t>
  </si>
  <si>
    <t>                                                               i.      Name of each employee</t>
  </si>
  <si>
    <t>                                                             ii.      Gender of each</t>
  </si>
  <si>
    <t>                                                           iii.      Race</t>
  </si>
  <si>
    <t>                                                           iv.      Designation (management tier in the company)</t>
  </si>
  <si>
    <t>                                                             v.      Disability (if any employees are disabled)</t>
  </si>
  <si>
    <t>                                                           vi.      Nationality (if you have any non-south African employees)</t>
  </si>
  <si>
    <t>                                                           vii.     Years of service/employment start date</t>
  </si>
  <si>
    <t>You can complete the Management Control tab for this purpose</t>
  </si>
  <si>
    <t>3.</t>
  </si>
  <si>
    <t>SKILLS DEVELOPMENT</t>
  </si>
  <si>
    <t xml:space="preserve">a. Please provide all training that Kgodiso Industrial Holdings (Pty) Ltd has done for black persons throughout the previous current financial year (January to December 2025) </t>
  </si>
  <si>
    <t>b. Also include any planned training for Black People the current period - January to December 2026, as well as any training done year to date Jan to June 2026</t>
  </si>
  <si>
    <t>c. It is also important to note that only training conducted by Kgodiso Industrial Holdings (Pty) Ltd can count towards B-BBEE. If any training is done by the international group, you would need to show that Kgodiso Industrial Holdings (Pty) Ltd was cross-charged by Global in order for the training to count as an expense for Kgodiso Industrial Holdings (Pty) Ltd</t>
  </si>
  <si>
    <t>d. You can complete the Skills Development tab for this purpose</t>
  </si>
  <si>
    <t>4.</t>
  </si>
  <si>
    <t>PREFERENTIAL PROCUREMENT:</t>
  </si>
  <si>
    <t>a. List of all suppliers/vendors used by Kgodiso Industrial Holdings (Pty) Ltd (including subcontractors and freelancers) and the spend amount (excl. VAT) with each supplier – for the previous financial year (January to December 2025)</t>
  </si>
  <si>
    <t>b. List of all suppliers/vendors used by Kgodiso Industrial Holdings (Pty) Ltd (including subcontractors and freelancers) and the spend amount (excl. VAT) with each supplier – for the current financial year to date (January to June 2021 year to date)</t>
  </si>
  <si>
    <t>c. Okiru has a database of B-BBEE certificates, therefore we will be able to get the B-BBEE credentials for all your suppliers</t>
  </si>
  <si>
    <t>d. Please highlight / outline any foreign spend and foreign suppliers</t>
  </si>
  <si>
    <t>e. You can complete the Preferential procurement tab for this purpose</t>
  </si>
  <si>
    <t>5.</t>
  </si>
  <si>
    <t>ENTERPRISE AND SUPPLIER DEVELOPMENT</t>
  </si>
  <si>
    <t>a. Please provided details of any support given to small black businesses for the previous financial year (January to December 2025) and current financial year (January to December 2026). Examples of support:
- monetary support / donations / loans
- non-monetary support
- discounts
- coaching and mentoring
- free consulting services.</t>
  </si>
  <si>
    <t>b. if no support provided, then you may leave this blank</t>
  </si>
  <si>
    <t>6.</t>
  </si>
  <si>
    <t>SOCIOECONOMIC DEVELOPMENT</t>
  </si>
  <si>
    <t>a. Please provide any support given to charities, NPOS, or socioeconomic initiatives for black people  for the previous financial year (January to December 2025) and current financial year (January to December 2026):
- monetary support / donations
- non-monetary support
- discounts
- coaching and mentoring
- free consulting services.</t>
  </si>
  <si>
    <t>Financials</t>
  </si>
  <si>
    <t>Measured Entity</t>
  </si>
  <si>
    <t>Kgodiso Industrial Holdings (Pty) Ltd</t>
  </si>
  <si>
    <t>Sector / Codes</t>
  </si>
  <si>
    <t>Generic - Amended Codes of Good Practice</t>
  </si>
  <si>
    <t>Metric</t>
  </si>
  <si>
    <t>Prior FYE 31 Dec 2024</t>
  </si>
  <si>
    <t>Measured FYE 31 Dec 2025</t>
  </si>
  <si>
    <t>Forecast FYE 31 Dec 2026</t>
  </si>
  <si>
    <t>Total Revenue / Turnover (R)</t>
  </si>
  <si>
    <t>Net Profit After Tax - NPAT (R)</t>
  </si>
  <si>
    <t>Total Payroll (R)</t>
  </si>
  <si>
    <t>Leviable Amount for Skills (R)</t>
  </si>
  <si>
    <t>Total Measured Procurement Spend - TMPS (R)</t>
  </si>
  <si>
    <t>Element targets (Amended Generic)</t>
  </si>
  <si>
    <t>Target</t>
  </si>
  <si>
    <t>Basis</t>
  </si>
  <si>
    <t>Skills spend on black people</t>
  </si>
  <si>
    <t>6.0% of leviable</t>
  </si>
  <si>
    <t>R5,760,000</t>
  </si>
  <si>
    <t>Skills spend on black disabled</t>
  </si>
  <si>
    <t>0.3% of leviable</t>
  </si>
  <si>
    <t>Supplier Development</t>
  </si>
  <si>
    <t>2.0% of NPAT</t>
  </si>
  <si>
    <t>Enterprise Development</t>
  </si>
  <si>
    <t>1.0% of NPAT</t>
  </si>
  <si>
    <t>Socio-Economic Development</t>
  </si>
  <si>
    <t>Ownership</t>
  </si>
  <si>
    <t>Shareholder Name</t>
  </si>
  <si>
    <t>Race</t>
  </si>
  <si>
    <t>Gender</t>
  </si>
  <si>
    <t>Designated Group? (Yes/No)</t>
  </si>
  <si>
    <t>New Entrant? (Yes/No)</t>
  </si>
  <si>
    <t>Broad-based / ESOP? (Yes/No)</t>
  </si>
  <si>
    <t>Voting Rights (%)</t>
  </si>
  <si>
    <t>Economic Interest (%)</t>
  </si>
  <si>
    <t>Date Acquired (dd/mm/yyyy)</t>
  </si>
  <si>
    <t>Value of Acquisition (R)</t>
  </si>
  <si>
    <t>Acquisition Debt (R)</t>
  </si>
  <si>
    <t>Net Value (R)</t>
  </si>
  <si>
    <t>Nomvula Dlamini</t>
  </si>
  <si>
    <t>African</t>
  </si>
  <si>
    <t>Female</t>
  </si>
  <si>
    <t>Yes</t>
  </si>
  <si>
    <t>No</t>
  </si>
  <si>
    <t>01/03/2018</t>
  </si>
  <si>
    <t>Thabo Khumalo</t>
  </si>
  <si>
    <t>Male</t>
  </si>
  <si>
    <t>Kgodiso Employee Share Trust</t>
  </si>
  <si>
    <t>01/07/2020</t>
  </si>
  <si>
    <t>Lerato Women's Investment Co</t>
  </si>
  <si>
    <t>15/09/2021</t>
  </si>
  <si>
    <t>Mainstream Capital Partners</t>
  </si>
  <si>
    <t>White</t>
  </si>
  <si>
    <t>TOTALS</t>
  </si>
  <si>
    <t>Black voting rights</t>
  </si>
  <si>
    <t>Black women voting rights</t>
  </si>
  <si>
    <t>Net value: shares fully paid, nil acquisition debt -&gt; full net value points.</t>
  </si>
  <si>
    <t>Management Control</t>
  </si>
  <si>
    <t>Full Name *</t>
  </si>
  <si>
    <t>Gender *</t>
  </si>
  <si>
    <t>Race *</t>
  </si>
  <si>
    <t>Designation *</t>
  </si>
  <si>
    <t>Disabled?</t>
  </si>
  <si>
    <t>Foreign?</t>
  </si>
  <si>
    <t>ID Number</t>
  </si>
  <si>
    <t>Voting Rights *</t>
  </si>
  <si>
    <t>Employee Code</t>
  </si>
  <si>
    <t>Start date/ years of service</t>
  </si>
  <si>
    <t>Bongani Maluleke</t>
  </si>
  <si>
    <t>Executive Director</t>
  </si>
  <si>
    <t>8101165509082</t>
  </si>
  <si>
    <t>E1001</t>
  </si>
  <si>
    <t>08/12/2017</t>
  </si>
  <si>
    <t>Lungelo Nkosi</t>
  </si>
  <si>
    <t>6809078297080</t>
  </si>
  <si>
    <t>E1002</t>
  </si>
  <si>
    <t>11/08/2022</t>
  </si>
  <si>
    <t>Charmaine Arendse</t>
  </si>
  <si>
    <t>Coloured</t>
  </si>
  <si>
    <t>7907013704084</t>
  </si>
  <si>
    <t>E1003</t>
  </si>
  <si>
    <t>14/11/2022</t>
  </si>
  <si>
    <t>Hlengiwe Radebe</t>
  </si>
  <si>
    <t>6506283346088</t>
  </si>
  <si>
    <t>E1004</t>
  </si>
  <si>
    <t>18/12/2020</t>
  </si>
  <si>
    <t>Dewald Van der Merwe</t>
  </si>
  <si>
    <t>6601048080088</t>
  </si>
  <si>
    <t>E1005</t>
  </si>
  <si>
    <t>18/02/2012</t>
  </si>
  <si>
    <t>Susan Botha</t>
  </si>
  <si>
    <t>8505262389083</t>
  </si>
  <si>
    <t>E1006</t>
  </si>
  <si>
    <t>19/09/2023</t>
  </si>
  <si>
    <t>Sindiswa Khoza</t>
  </si>
  <si>
    <t>Non-executive Director</t>
  </si>
  <si>
    <t>7704064987084</t>
  </si>
  <si>
    <t>E1007</t>
  </si>
  <si>
    <t>27/04/2018</t>
  </si>
  <si>
    <t>Pravin Naidoo</t>
  </si>
  <si>
    <t>Indian</t>
  </si>
  <si>
    <t>7910267918087</t>
  </si>
  <si>
    <t>E1008</t>
  </si>
  <si>
    <t>23/04/2018</t>
  </si>
  <si>
    <t>Marlene Venter</t>
  </si>
  <si>
    <t>7304111701081</t>
  </si>
  <si>
    <t>E1009</t>
  </si>
  <si>
    <t>16/09/2017</t>
  </si>
  <si>
    <t>Khaya Maseko</t>
  </si>
  <si>
    <t>8105055878085</t>
  </si>
  <si>
    <t>E1010</t>
  </si>
  <si>
    <t>05/02/2019</t>
  </si>
  <si>
    <t>Phumzile Mahlangu</t>
  </si>
  <si>
    <t>6904164491083</t>
  </si>
  <si>
    <t>E1011</t>
  </si>
  <si>
    <t>09/03/2015</t>
  </si>
  <si>
    <t>Sandile Buthelezi</t>
  </si>
  <si>
    <t>Other Executive Manager</t>
  </si>
  <si>
    <t>7806228704089</t>
  </si>
  <si>
    <t>E1012</t>
  </si>
  <si>
    <t>07/04/2020</t>
  </si>
  <si>
    <t>Hendrik Botha</t>
  </si>
  <si>
    <t>8510087387080</t>
  </si>
  <si>
    <t>E1013</t>
  </si>
  <si>
    <t>29/05/2025</t>
  </si>
  <si>
    <t>Boitumelo Radebe</t>
  </si>
  <si>
    <t>8309183738084</t>
  </si>
  <si>
    <t>E1014</t>
  </si>
  <si>
    <t>15/08/2024</t>
  </si>
  <si>
    <t>Ntombi Ngcobo</t>
  </si>
  <si>
    <t>7109043516089</t>
  </si>
  <si>
    <t>E1015</t>
  </si>
  <si>
    <t>07/10/2016</t>
  </si>
  <si>
    <t>Johan Joubert</t>
  </si>
  <si>
    <t>8305205554087</t>
  </si>
  <si>
    <t>E1016</t>
  </si>
  <si>
    <t>19/05/2015</t>
  </si>
  <si>
    <t>Nonhlanhla Sibeko</t>
  </si>
  <si>
    <t>7910201472084</t>
  </si>
  <si>
    <t>E1017</t>
  </si>
  <si>
    <t>14/09/2023</t>
  </si>
  <si>
    <t>Tumelo Molefe</t>
  </si>
  <si>
    <t>8208087038080</t>
  </si>
  <si>
    <t>E1018</t>
  </si>
  <si>
    <t>20/11/2011</t>
  </si>
  <si>
    <t>Precious Radebe</t>
  </si>
  <si>
    <t>8507122372085</t>
  </si>
  <si>
    <t>E1019</t>
  </si>
  <si>
    <t>31/05/2019</t>
  </si>
  <si>
    <t>Retha Coetzee</t>
  </si>
  <si>
    <t>7209052904083</t>
  </si>
  <si>
    <t>E1020</t>
  </si>
  <si>
    <t>11/07/2018</t>
  </si>
  <si>
    <t>Bradley Daniels</t>
  </si>
  <si>
    <t>8205116500080</t>
  </si>
  <si>
    <t>E1021</t>
  </si>
  <si>
    <t>16/05/2021</t>
  </si>
  <si>
    <t>Lungelo Dlamini</t>
  </si>
  <si>
    <t>7207198863080</t>
  </si>
  <si>
    <t>E1022</t>
  </si>
  <si>
    <t>25/10/2011</t>
  </si>
  <si>
    <t>Lize Joubert</t>
  </si>
  <si>
    <t>8408044310081</t>
  </si>
  <si>
    <t>E1023</t>
  </si>
  <si>
    <t>19/10/2019</t>
  </si>
  <si>
    <t>Nokuthula Mthembu</t>
  </si>
  <si>
    <t>8311031888087</t>
  </si>
  <si>
    <t>E1024</t>
  </si>
  <si>
    <t>20/03/2023</t>
  </si>
  <si>
    <t>Bernard Botha</t>
  </si>
  <si>
    <t>6410218978083</t>
  </si>
  <si>
    <t>E1025</t>
  </si>
  <si>
    <t>18/09/2017</t>
  </si>
  <si>
    <t>Karien Nel</t>
  </si>
  <si>
    <t>Senior Manager</t>
  </si>
  <si>
    <t>7612242715089</t>
  </si>
  <si>
    <t>E1026</t>
  </si>
  <si>
    <t>05/09/2014</t>
  </si>
  <si>
    <t>Sipho Khoza</t>
  </si>
  <si>
    <t>6911247215082</t>
  </si>
  <si>
    <t>E1027</t>
  </si>
  <si>
    <t>06/06/2015</t>
  </si>
  <si>
    <t>Pieter Fourie</t>
  </si>
  <si>
    <t>9003245074088</t>
  </si>
  <si>
    <t>E1028</t>
  </si>
  <si>
    <t>12/02/2022</t>
  </si>
  <si>
    <t>Precious Mahlangu</t>
  </si>
  <si>
    <t>9005193043080</t>
  </si>
  <si>
    <t>E1029</t>
  </si>
  <si>
    <t>27/03/2017</t>
  </si>
  <si>
    <t>Sindiswa Mabaso</t>
  </si>
  <si>
    <t>9201280013082</t>
  </si>
  <si>
    <t>E1030</t>
  </si>
  <si>
    <t>31/03/2024</t>
  </si>
  <si>
    <t>Ntombi Buthelezi</t>
  </si>
  <si>
    <t>7110060815081</t>
  </si>
  <si>
    <t>E1031</t>
  </si>
  <si>
    <t>12/10/2024</t>
  </si>
  <si>
    <t>Fatima Govender</t>
  </si>
  <si>
    <t>9904182329080</t>
  </si>
  <si>
    <t>E1032</t>
  </si>
  <si>
    <t>18/10/2020</t>
  </si>
  <si>
    <t>Susan Coetzee</t>
  </si>
  <si>
    <t>0102260764083</t>
  </si>
  <si>
    <t>E1033</t>
  </si>
  <si>
    <t>22/08/2019</t>
  </si>
  <si>
    <t>Nosipho Khoza</t>
  </si>
  <si>
    <t>0101101950083</t>
  </si>
  <si>
    <t>E1034</t>
  </si>
  <si>
    <t>07/01/2016</t>
  </si>
  <si>
    <t>Johan Du Plessis</t>
  </si>
  <si>
    <t>7108045420084</t>
  </si>
  <si>
    <t>E1035</t>
  </si>
  <si>
    <t>23/12/2022</t>
  </si>
  <si>
    <t>Andre Van der Merwe</t>
  </si>
  <si>
    <t>7210148193087</t>
  </si>
  <si>
    <t>E1036</t>
  </si>
  <si>
    <t>12/09/2016</t>
  </si>
  <si>
    <t>Palesa Dlamini</t>
  </si>
  <si>
    <t>8804161682080</t>
  </si>
  <si>
    <t>E1037</t>
  </si>
  <si>
    <t>07/04/2019</t>
  </si>
  <si>
    <t>Ayanda Buthelezi</t>
  </si>
  <si>
    <t>8104112413085</t>
  </si>
  <si>
    <t>E1038</t>
  </si>
  <si>
    <t>30/04/2015</t>
  </si>
  <si>
    <t>8905250452085</t>
  </si>
  <si>
    <t>E1039</t>
  </si>
  <si>
    <t>08/05/2019</t>
  </si>
  <si>
    <t>Annelise Coetzee</t>
  </si>
  <si>
    <t>9108020028082</t>
  </si>
  <si>
    <t>E1040</t>
  </si>
  <si>
    <t>Mandla Sibeko</t>
  </si>
  <si>
    <t>7902067896084</t>
  </si>
  <si>
    <t>E1041</t>
  </si>
  <si>
    <t>12/02/2015</t>
  </si>
  <si>
    <t>Kagiso Zulu</t>
  </si>
  <si>
    <t>8611107228088</t>
  </si>
  <si>
    <t>E1042</t>
  </si>
  <si>
    <t>31/08/2024</t>
  </si>
  <si>
    <t>Hendrik Pretorius</t>
  </si>
  <si>
    <t>7911276425080</t>
  </si>
  <si>
    <t>E1043</t>
  </si>
  <si>
    <t>03/09/2024</t>
  </si>
  <si>
    <t>Thabo Mthembu</t>
  </si>
  <si>
    <t>8208277645082</t>
  </si>
  <si>
    <t>E1044</t>
  </si>
  <si>
    <t>30/09/2023</t>
  </si>
  <si>
    <t>Bheki Molefe</t>
  </si>
  <si>
    <t>7201067979085</t>
  </si>
  <si>
    <t>E1045</t>
  </si>
  <si>
    <t>03/05/2024</t>
  </si>
  <si>
    <t>Dewald Coetzee</t>
  </si>
  <si>
    <t>8809125535084</t>
  </si>
  <si>
    <t>E1046</t>
  </si>
  <si>
    <t>13/02/2012</t>
  </si>
  <si>
    <t>Gift Khumalo</t>
  </si>
  <si>
    <t>8309188103086</t>
  </si>
  <si>
    <t>E1047</t>
  </si>
  <si>
    <t>27/01/2023</t>
  </si>
  <si>
    <t>Ntombi Khoza</t>
  </si>
  <si>
    <t>7910274576084</t>
  </si>
  <si>
    <t>E1048</t>
  </si>
  <si>
    <t>03/12/2024</t>
  </si>
  <si>
    <t>Andre Venter</t>
  </si>
  <si>
    <t>6708226196089</t>
  </si>
  <si>
    <t>E1049</t>
  </si>
  <si>
    <t>27/04/2025</t>
  </si>
  <si>
    <t>Ntombi Mahlangu</t>
  </si>
  <si>
    <t>9208274995083</t>
  </si>
  <si>
    <t>E1050</t>
  </si>
  <si>
    <t>13/01/2022</t>
  </si>
  <si>
    <t>Carike Fourie</t>
  </si>
  <si>
    <t>9006244823082</t>
  </si>
  <si>
    <t>E1051</t>
  </si>
  <si>
    <t>31/08/2019</t>
  </si>
  <si>
    <t>Katlego Khumalo</t>
  </si>
  <si>
    <t>9902259535084</t>
  </si>
  <si>
    <t>E1052</t>
  </si>
  <si>
    <t>04/02/2024</t>
  </si>
  <si>
    <t>Nadia Maharaj</t>
  </si>
  <si>
    <t>8409243595084</t>
  </si>
  <si>
    <t>E1053</t>
  </si>
  <si>
    <t>27/02/2016</t>
  </si>
  <si>
    <t>8710258959085</t>
  </si>
  <si>
    <t>E1054</t>
  </si>
  <si>
    <t>30/12/2018</t>
  </si>
  <si>
    <t>Devon September</t>
  </si>
  <si>
    <t>8610267187084</t>
  </si>
  <si>
    <t>E1055</t>
  </si>
  <si>
    <t>07/02/2022</t>
  </si>
  <si>
    <t>Annelise Van der Merwe</t>
  </si>
  <si>
    <t>8509251991081</t>
  </si>
  <si>
    <t>E1056</t>
  </si>
  <si>
    <t>22/05/2020</t>
  </si>
  <si>
    <t>Thandeka Ndlovu</t>
  </si>
  <si>
    <t>9806250718088</t>
  </si>
  <si>
    <t>E1057</t>
  </si>
  <si>
    <t>15/06/2022</t>
  </si>
  <si>
    <t>Boitumelo Mabaso</t>
  </si>
  <si>
    <t>0002182104089</t>
  </si>
  <si>
    <t>E1058</t>
  </si>
  <si>
    <t>13/05/2020</t>
  </si>
  <si>
    <t>Michelle Adams</t>
  </si>
  <si>
    <t>9701064154085</t>
  </si>
  <si>
    <t>E1059</t>
  </si>
  <si>
    <t>02/07/2020</t>
  </si>
  <si>
    <t>Charmaine Jacobs</t>
  </si>
  <si>
    <t>9109123360083</t>
  </si>
  <si>
    <t>E1060</t>
  </si>
  <si>
    <t>29/09/2018</t>
  </si>
  <si>
    <t>Tarisha Singh</t>
  </si>
  <si>
    <t>8804124429082</t>
  </si>
  <si>
    <t>E1061</t>
  </si>
  <si>
    <t>12/08/2020</t>
  </si>
  <si>
    <t>Sipho Mabaso</t>
  </si>
  <si>
    <t>9110067051084</t>
  </si>
  <si>
    <t>E1062</t>
  </si>
  <si>
    <t>27/12/2024</t>
  </si>
  <si>
    <t>Zanele Ngcobo</t>
  </si>
  <si>
    <t>7906102079085</t>
  </si>
  <si>
    <t>E1063</t>
  </si>
  <si>
    <t>08/01/2018</t>
  </si>
  <si>
    <t>Riyaad Pillay</t>
  </si>
  <si>
    <t>7510177186088</t>
  </si>
  <si>
    <t>E1064</t>
  </si>
  <si>
    <t>22/08/2021</t>
  </si>
  <si>
    <t>Stefan Nel</t>
  </si>
  <si>
    <t>7111038291082</t>
  </si>
  <si>
    <t>E1065</t>
  </si>
  <si>
    <t>14/09/2014</t>
  </si>
  <si>
    <t>Vusi Mahlangu</t>
  </si>
  <si>
    <t>7102055266081</t>
  </si>
  <si>
    <t>E1066</t>
  </si>
  <si>
    <t>10/03/2013</t>
  </si>
  <si>
    <t>Elsabe Fourie</t>
  </si>
  <si>
    <t>9309091277083</t>
  </si>
  <si>
    <t>E1067</t>
  </si>
  <si>
    <t>22/02/2015</t>
  </si>
  <si>
    <t>Tumelo Sithole</t>
  </si>
  <si>
    <t>9803238703084</t>
  </si>
  <si>
    <t>E1068</t>
  </si>
  <si>
    <t>20/02/2017</t>
  </si>
  <si>
    <t>Ilse Pretorius</t>
  </si>
  <si>
    <t>9905081354087</t>
  </si>
  <si>
    <t>E1069</t>
  </si>
  <si>
    <t>21/05/2023</t>
  </si>
  <si>
    <t>Tumelo Zulu</t>
  </si>
  <si>
    <t>9711196287083</t>
  </si>
  <si>
    <t>E1070</t>
  </si>
  <si>
    <t>27/12/2014</t>
  </si>
  <si>
    <t>Werner Du Plessis</t>
  </si>
  <si>
    <t>Middle Manager</t>
  </si>
  <si>
    <t>9110079079081</t>
  </si>
  <si>
    <t>E1071</t>
  </si>
  <si>
    <t>05/06/2015</t>
  </si>
  <si>
    <t>Dineo Ngcobo</t>
  </si>
  <si>
    <t>7601091490084</t>
  </si>
  <si>
    <t>E1072</t>
  </si>
  <si>
    <t>09/07/2017</t>
  </si>
  <si>
    <t>Sandile Zulu</t>
  </si>
  <si>
    <t>9110198101089</t>
  </si>
  <si>
    <t>E1073</t>
  </si>
  <si>
    <t>Sindiswa Buthelezi</t>
  </si>
  <si>
    <t>9909022298080</t>
  </si>
  <si>
    <t>E1074</t>
  </si>
  <si>
    <t>02/09/2020</t>
  </si>
  <si>
    <t>Vusi Maseko</t>
  </si>
  <si>
    <t>7902158875088</t>
  </si>
  <si>
    <t>E1075</t>
  </si>
  <si>
    <t>14/07/2013</t>
  </si>
  <si>
    <t>Thandeka Mabaso</t>
  </si>
  <si>
    <t>7309183250081</t>
  </si>
  <si>
    <t>E1076</t>
  </si>
  <si>
    <t>11/04/2015</t>
  </si>
  <si>
    <t>Lize Venter</t>
  </si>
  <si>
    <t>9104170050083</t>
  </si>
  <si>
    <t>E1077</t>
  </si>
  <si>
    <t>02/09/2023</t>
  </si>
  <si>
    <t>Mandla Nkosi</t>
  </si>
  <si>
    <t>9810047229086</t>
  </si>
  <si>
    <t>E1078</t>
  </si>
  <si>
    <t>15/03/2020</t>
  </si>
  <si>
    <t>Sipho Khumalo</t>
  </si>
  <si>
    <t>8301106950086</t>
  </si>
  <si>
    <t>E1079</t>
  </si>
  <si>
    <t>07/02/2013</t>
  </si>
  <si>
    <t>Zanele Maseko</t>
  </si>
  <si>
    <t>8202173444088</t>
  </si>
  <si>
    <t>E1080</t>
  </si>
  <si>
    <t>24/01/2023</t>
  </si>
  <si>
    <t>Andre Nel</t>
  </si>
  <si>
    <t>8904215069084</t>
  </si>
  <si>
    <t>E1081</t>
  </si>
  <si>
    <t>07/02/2023</t>
  </si>
  <si>
    <t>Thandeka Buthelezi</t>
  </si>
  <si>
    <t>7905173325088</t>
  </si>
  <si>
    <t>E1082</t>
  </si>
  <si>
    <t>30/05/2024</t>
  </si>
  <si>
    <t>Phumzile Mbatha</t>
  </si>
  <si>
    <t>9001151457081</t>
  </si>
  <si>
    <t>E1083</t>
  </si>
  <si>
    <t>04/03/2018</t>
  </si>
  <si>
    <t>Gift Molefe</t>
  </si>
  <si>
    <t>6806247534088</t>
  </si>
  <si>
    <t>E1084</t>
  </si>
  <si>
    <t>01/01/2012</t>
  </si>
  <si>
    <t>Nokuthula Buthelezi</t>
  </si>
  <si>
    <t>7409183798087</t>
  </si>
  <si>
    <t>E1085</t>
  </si>
  <si>
    <t>19/06/2024</t>
  </si>
  <si>
    <t>Mpho Mahlangu</t>
  </si>
  <si>
    <t>9010039517081</t>
  </si>
  <si>
    <t>E1086</t>
  </si>
  <si>
    <t>15/01/2018</t>
  </si>
  <si>
    <t>Thandeka Khoza</t>
  </si>
  <si>
    <t>9709043976080</t>
  </si>
  <si>
    <t>E1087</t>
  </si>
  <si>
    <t>14/03/2019</t>
  </si>
  <si>
    <t>Musa Khumalo</t>
  </si>
  <si>
    <t>7612267839087</t>
  </si>
  <si>
    <t>E1088</t>
  </si>
  <si>
    <t>23/02/2019</t>
  </si>
  <si>
    <t>Stefan Fourie</t>
  </si>
  <si>
    <t>9203128502086</t>
  </si>
  <si>
    <t>E1089</t>
  </si>
  <si>
    <t>29/06/2016</t>
  </si>
  <si>
    <t>Boitumelo Maluleke</t>
  </si>
  <si>
    <t>7102212166083</t>
  </si>
  <si>
    <t>E1090</t>
  </si>
  <si>
    <t>26/03/2017</t>
  </si>
  <si>
    <t>Vusi Nkosi</t>
  </si>
  <si>
    <t>6703209400087</t>
  </si>
  <si>
    <t>E1091</t>
  </si>
  <si>
    <t>13/02/2019</t>
  </si>
  <si>
    <t>Zinhle Maluleke</t>
  </si>
  <si>
    <t>0004213979083</t>
  </si>
  <si>
    <t>E1092</t>
  </si>
  <si>
    <t>18/11/2019</t>
  </si>
  <si>
    <t>Stefan Botha</t>
  </si>
  <si>
    <t>8003088960089</t>
  </si>
  <si>
    <t>E1093</t>
  </si>
  <si>
    <t>23/09/2022</t>
  </si>
  <si>
    <t>Byron Fortuin</t>
  </si>
  <si>
    <t>7501088065081</t>
  </si>
  <si>
    <t>E1094</t>
  </si>
  <si>
    <t>06/11/2023</t>
  </si>
  <si>
    <t>Bheki Maluleke</t>
  </si>
  <si>
    <t>9005238455083</t>
  </si>
  <si>
    <t>E1095</t>
  </si>
  <si>
    <t>24/03/2023</t>
  </si>
  <si>
    <t>Carike Botha</t>
  </si>
  <si>
    <t>8806061958080</t>
  </si>
  <si>
    <t>E1096</t>
  </si>
  <si>
    <t>13/04/2017</t>
  </si>
  <si>
    <t>Musa Ngcobo</t>
  </si>
  <si>
    <t>8904176982085</t>
  </si>
  <si>
    <t>E1097</t>
  </si>
  <si>
    <t>21/12/2015</t>
  </si>
  <si>
    <t>Ntombi Ndlovu</t>
  </si>
  <si>
    <t>7406191274085</t>
  </si>
  <si>
    <t>E1098</t>
  </si>
  <si>
    <t>19/02/2020</t>
  </si>
  <si>
    <t>Palesa Radebe</t>
  </si>
  <si>
    <t>9701101097081</t>
  </si>
  <si>
    <t>E1099</t>
  </si>
  <si>
    <t>20/08/2017</t>
  </si>
  <si>
    <t>7201253247081</t>
  </si>
  <si>
    <t>E1100</t>
  </si>
  <si>
    <t>10/10/2012</t>
  </si>
  <si>
    <t>7306134203086</t>
  </si>
  <si>
    <t>E1101</t>
  </si>
  <si>
    <t>21/10/2021</t>
  </si>
  <si>
    <t>Bernadette Arendse</t>
  </si>
  <si>
    <t>7001073486087</t>
  </si>
  <si>
    <t>E1102</t>
  </si>
  <si>
    <t>21/07/2014</t>
  </si>
  <si>
    <t>Busisiwe Nkosi</t>
  </si>
  <si>
    <t>7902031555089</t>
  </si>
  <si>
    <t>E1103</t>
  </si>
  <si>
    <t>15/12/2014</t>
  </si>
  <si>
    <t>Lerato Mabaso</t>
  </si>
  <si>
    <t>0108171965081</t>
  </si>
  <si>
    <t>E1104</t>
  </si>
  <si>
    <t>06/05/2021</t>
  </si>
  <si>
    <t>Zanele Tshabalala</t>
  </si>
  <si>
    <t>9911221285082</t>
  </si>
  <si>
    <t>E1105</t>
  </si>
  <si>
    <t>03/12/2011</t>
  </si>
  <si>
    <t>Zanele Molefe</t>
  </si>
  <si>
    <t>0009093700087</t>
  </si>
  <si>
    <t>E1106</t>
  </si>
  <si>
    <t>14/05/2021</t>
  </si>
  <si>
    <t>Nosipho Mthembu</t>
  </si>
  <si>
    <t>9902263069088</t>
  </si>
  <si>
    <t>E1107</t>
  </si>
  <si>
    <t>18/07/2019</t>
  </si>
  <si>
    <t>Elsabe Van der Merwe</t>
  </si>
  <si>
    <t>9710192607088</t>
  </si>
  <si>
    <t>E1108</t>
  </si>
  <si>
    <t>01/08/2023</t>
  </si>
  <si>
    <t>Kagiso Sibeko</t>
  </si>
  <si>
    <t>8508197539087</t>
  </si>
  <si>
    <t>E1109</t>
  </si>
  <si>
    <t>13/10/2024</t>
  </si>
  <si>
    <t>Bianca Adams</t>
  </si>
  <si>
    <t>8611284518087</t>
  </si>
  <si>
    <t>E1110</t>
  </si>
  <si>
    <t>13/09/2019</t>
  </si>
  <si>
    <t>Ayanda Radebe</t>
  </si>
  <si>
    <t>6806101861080</t>
  </si>
  <si>
    <t>E1111</t>
  </si>
  <si>
    <t>16/01/2019</t>
  </si>
  <si>
    <t>Ntombi Mbatha</t>
  </si>
  <si>
    <t>9606100081087</t>
  </si>
  <si>
    <t>E1112</t>
  </si>
  <si>
    <t>26/02/2016</t>
  </si>
  <si>
    <t>Tshepo Ndlovu</t>
  </si>
  <si>
    <t>8603077960089</t>
  </si>
  <si>
    <t>E1113</t>
  </si>
  <si>
    <t>12/12/2023</t>
  </si>
  <si>
    <t>Lize Fourie</t>
  </si>
  <si>
    <t>6709242740082</t>
  </si>
  <si>
    <t>E1114</t>
  </si>
  <si>
    <t>12/10/2018</t>
  </si>
  <si>
    <t>Khaya Radebe</t>
  </si>
  <si>
    <t>7801016564084</t>
  </si>
  <si>
    <t>E1115</t>
  </si>
  <si>
    <t>02/07/2012</t>
  </si>
  <si>
    <t>Kagiso Maseko</t>
  </si>
  <si>
    <t>7808237359087</t>
  </si>
  <si>
    <t>E1116</t>
  </si>
  <si>
    <t>18/09/2021</t>
  </si>
  <si>
    <t>Sipho Radebe</t>
  </si>
  <si>
    <t>7803069416089</t>
  </si>
  <si>
    <t>E1117</t>
  </si>
  <si>
    <t>22/07/2023</t>
  </si>
  <si>
    <t>Khaya Ndlovu</t>
  </si>
  <si>
    <t>7205099892083</t>
  </si>
  <si>
    <t>E1118</t>
  </si>
  <si>
    <t>30/09/2018</t>
  </si>
  <si>
    <t>Michelle Fortuin</t>
  </si>
  <si>
    <t>9911060225082</t>
  </si>
  <si>
    <t>E1119</t>
  </si>
  <si>
    <t>29/04/2013</t>
  </si>
  <si>
    <t>Pravin Singh</t>
  </si>
  <si>
    <t>6904149850080</t>
  </si>
  <si>
    <t>E1120</t>
  </si>
  <si>
    <t>03/04/2021</t>
  </si>
  <si>
    <t>Devina Pillay</t>
  </si>
  <si>
    <t>7604012641082</t>
  </si>
  <si>
    <t>E1121</t>
  </si>
  <si>
    <t>18/08/2024</t>
  </si>
  <si>
    <t>Nomvula Khumalo</t>
  </si>
  <si>
    <t>6903281563089</t>
  </si>
  <si>
    <t>E1122</t>
  </si>
  <si>
    <t>26/03/2020</t>
  </si>
  <si>
    <t>Sibusiso Mthembu</t>
  </si>
  <si>
    <t>8812108623083</t>
  </si>
  <si>
    <t>E1123</t>
  </si>
  <si>
    <t>09/05/2014</t>
  </si>
  <si>
    <t>Byron Booysen</t>
  </si>
  <si>
    <t>7712127168089</t>
  </si>
  <si>
    <t>E1124</t>
  </si>
  <si>
    <t>17/01/2019</t>
  </si>
  <si>
    <t>Lehlohonolo Mahlangu</t>
  </si>
  <si>
    <t>8812147358089</t>
  </si>
  <si>
    <t>E1125</t>
  </si>
  <si>
    <t>03/06/2021</t>
  </si>
  <si>
    <t>Zinhle Mthembu</t>
  </si>
  <si>
    <t>8810243264086</t>
  </si>
  <si>
    <t>E1126</t>
  </si>
  <si>
    <t>26/04/2012</t>
  </si>
  <si>
    <t>Oupa Tshabalala</t>
  </si>
  <si>
    <t>7502125430080</t>
  </si>
  <si>
    <t>E1127</t>
  </si>
  <si>
    <t>13/01/2013</t>
  </si>
  <si>
    <t>Refilwe Molefe</t>
  </si>
  <si>
    <t>6801053570086</t>
  </si>
  <si>
    <t>E1128</t>
  </si>
  <si>
    <t>13/10/2017</t>
  </si>
  <si>
    <t>7412173522087</t>
  </si>
  <si>
    <t>E1129</t>
  </si>
  <si>
    <t>25/02/2020</t>
  </si>
  <si>
    <t>Bheki Ndlovu</t>
  </si>
  <si>
    <t>9104046842085</t>
  </si>
  <si>
    <t>E1130</t>
  </si>
  <si>
    <t>13/07/2021</t>
  </si>
  <si>
    <t>Thabo Ndlovu</t>
  </si>
  <si>
    <t>9402245720080</t>
  </si>
  <si>
    <t>E1131</t>
  </si>
  <si>
    <t>01/05/2019</t>
  </si>
  <si>
    <t>Ayanda Mabaso</t>
  </si>
  <si>
    <t>0006171934083</t>
  </si>
  <si>
    <t>E1132</t>
  </si>
  <si>
    <t>18/06/2016</t>
  </si>
  <si>
    <t>Deshen Naicker</t>
  </si>
  <si>
    <t>7502199994086</t>
  </si>
  <si>
    <t>E1133</t>
  </si>
  <si>
    <t>24/04/2021</t>
  </si>
  <si>
    <t>Tumelo Radebe</t>
  </si>
  <si>
    <t>8411139582085</t>
  </si>
  <si>
    <t>E1134</t>
  </si>
  <si>
    <t>08/05/2013</t>
  </si>
  <si>
    <t>Busisiwe Ngcobo</t>
  </si>
  <si>
    <t>7309213163080</t>
  </si>
  <si>
    <t>E1135</t>
  </si>
  <si>
    <t>16/05/2015</t>
  </si>
  <si>
    <t>Andre Du Plessis</t>
  </si>
  <si>
    <t>9005029300084</t>
  </si>
  <si>
    <t>E1136</t>
  </si>
  <si>
    <t>07/07/2014</t>
  </si>
  <si>
    <t>Marius Steyn</t>
  </si>
  <si>
    <t>6907255791089</t>
  </si>
  <si>
    <t>E1137</t>
  </si>
  <si>
    <t>21/12/2021</t>
  </si>
  <si>
    <t>Retha Venter</t>
  </si>
  <si>
    <t>6907282685080</t>
  </si>
  <si>
    <t>E1138</t>
  </si>
  <si>
    <t>12/07/2019</t>
  </si>
  <si>
    <t>0108113214085</t>
  </si>
  <si>
    <t>E1139</t>
  </si>
  <si>
    <t>18/08/2022</t>
  </si>
  <si>
    <t>Refilwe Sithole</t>
  </si>
  <si>
    <t>7003082842086</t>
  </si>
  <si>
    <t>E1140</t>
  </si>
  <si>
    <t>03/10/2022</t>
  </si>
  <si>
    <t>Karabo Tshabalala</t>
  </si>
  <si>
    <t>7602281319083</t>
  </si>
  <si>
    <t>E1141</t>
  </si>
  <si>
    <t>25/05/2024</t>
  </si>
  <si>
    <t>Madelein Venter</t>
  </si>
  <si>
    <t>7612284918088</t>
  </si>
  <si>
    <t>E1142</t>
  </si>
  <si>
    <t>27/12/2011</t>
  </si>
  <si>
    <t>Avesh Padayachee</t>
  </si>
  <si>
    <t>8307227350080</t>
  </si>
  <si>
    <t>E1143</t>
  </si>
  <si>
    <t>08/01/2013</t>
  </si>
  <si>
    <t>Refilwe Mokoena</t>
  </si>
  <si>
    <t>8909223847082</t>
  </si>
  <si>
    <t>E1144</t>
  </si>
  <si>
    <t>01/03/2016</t>
  </si>
  <si>
    <t>Dimakatso Buthelezi</t>
  </si>
  <si>
    <t>7103154131085</t>
  </si>
  <si>
    <t>E1145</t>
  </si>
  <si>
    <t>12/03/2017</t>
  </si>
  <si>
    <t>Precious Maseko</t>
  </si>
  <si>
    <t>8106153677080</t>
  </si>
  <si>
    <t>E1146</t>
  </si>
  <si>
    <t>11/02/2018</t>
  </si>
  <si>
    <t>Busisiwe Sibeko</t>
  </si>
  <si>
    <t>8104120255080</t>
  </si>
  <si>
    <t>E1147</t>
  </si>
  <si>
    <t>11/03/2021</t>
  </si>
  <si>
    <t>Marius Venter</t>
  </si>
  <si>
    <t>9703239921083</t>
  </si>
  <si>
    <t>E1148</t>
  </si>
  <si>
    <t>13/10/2012</t>
  </si>
  <si>
    <t>Zanele Mabaso</t>
  </si>
  <si>
    <t>7211112354085</t>
  </si>
  <si>
    <t>E1149</t>
  </si>
  <si>
    <t>30/01/2018</t>
  </si>
  <si>
    <t>Themba Sithole</t>
  </si>
  <si>
    <t>6906106463088</t>
  </si>
  <si>
    <t>E1150</t>
  </si>
  <si>
    <t>01/09/2017</t>
  </si>
  <si>
    <t>Byron September</t>
  </si>
  <si>
    <t>6805079959082</t>
  </si>
  <si>
    <t>E1151</t>
  </si>
  <si>
    <t>27/09/2023</t>
  </si>
  <si>
    <t>Sibusiso Ndlovu</t>
  </si>
  <si>
    <t>8506075073088</t>
  </si>
  <si>
    <t>E1152</t>
  </si>
  <si>
    <t>28/10/2020</t>
  </si>
  <si>
    <t>Sibusiso Sibeko</t>
  </si>
  <si>
    <t>8612268952086</t>
  </si>
  <si>
    <t>E1153</t>
  </si>
  <si>
    <t>01/12/2021</t>
  </si>
  <si>
    <t>Vusi Khumalo</t>
  </si>
  <si>
    <t>7104196318086</t>
  </si>
  <si>
    <t>E1154</t>
  </si>
  <si>
    <t>08/03/2021</t>
  </si>
  <si>
    <t>Hendrik Coetzee</t>
  </si>
  <si>
    <t>9302087600087</t>
  </si>
  <si>
    <t>E1155</t>
  </si>
  <si>
    <t>04/03/2012</t>
  </si>
  <si>
    <t>Anjali Naidoo</t>
  </si>
  <si>
    <t>7608050467086</t>
  </si>
  <si>
    <t>E1156</t>
  </si>
  <si>
    <t>07/02/2019</t>
  </si>
  <si>
    <t>Lize Pretorius</t>
  </si>
  <si>
    <t>6906080302088</t>
  </si>
  <si>
    <t>E1157</t>
  </si>
  <si>
    <t>30/06/2017</t>
  </si>
  <si>
    <t>Phila Ngcobo</t>
  </si>
  <si>
    <t>9709137608086</t>
  </si>
  <si>
    <t>E1158</t>
  </si>
  <si>
    <t>29/09/2019</t>
  </si>
  <si>
    <t>Lize Botha</t>
  </si>
  <si>
    <t>6710272070085</t>
  </si>
  <si>
    <t>E1159</t>
  </si>
  <si>
    <t>22/07/2015</t>
  </si>
  <si>
    <t>Khanyisile Radebe</t>
  </si>
  <si>
    <t>8109084652081</t>
  </si>
  <si>
    <t>E1160</t>
  </si>
  <si>
    <t>23/10/2023</t>
  </si>
  <si>
    <t>Stefan Van der Merwe</t>
  </si>
  <si>
    <t>9509145286085</t>
  </si>
  <si>
    <t>E1161</t>
  </si>
  <si>
    <t>07/01/2017</t>
  </si>
  <si>
    <t>Asha Moodley</t>
  </si>
  <si>
    <t>7803103967089</t>
  </si>
  <si>
    <t>E1162</t>
  </si>
  <si>
    <t>27/08/2024</t>
  </si>
  <si>
    <t>Khaya Buthelezi</t>
  </si>
  <si>
    <t>8705095402083</t>
  </si>
  <si>
    <t>E1163</t>
  </si>
  <si>
    <t>01/11/2023</t>
  </si>
  <si>
    <t>Themba Maluleke</t>
  </si>
  <si>
    <t>8302267072082</t>
  </si>
  <si>
    <t>E1164</t>
  </si>
  <si>
    <t>01/03/2014</t>
  </si>
  <si>
    <t>6804150780087</t>
  </si>
  <si>
    <t>E1165</t>
  </si>
  <si>
    <t>30/09/2013</t>
  </si>
  <si>
    <t>Katlego Khoza</t>
  </si>
  <si>
    <t>Junior Manager</t>
  </si>
  <si>
    <t>8804088053084</t>
  </si>
  <si>
    <t>E1166</t>
  </si>
  <si>
    <t>26/11/2018</t>
  </si>
  <si>
    <t>Boitumelo Sibeko</t>
  </si>
  <si>
    <t>7201021847089</t>
  </si>
  <si>
    <t>E1167</t>
  </si>
  <si>
    <t>19/04/2022</t>
  </si>
  <si>
    <t>Naledi Ngcobo</t>
  </si>
  <si>
    <t>9312233967082</t>
  </si>
  <si>
    <t>E1168</t>
  </si>
  <si>
    <t>Musa Mthembu</t>
  </si>
  <si>
    <t>9701227032087</t>
  </si>
  <si>
    <t>E1169</t>
  </si>
  <si>
    <t>11/09/2020</t>
  </si>
  <si>
    <t>Ayanda Zulu</t>
  </si>
  <si>
    <t>7005113599080</t>
  </si>
  <si>
    <t>E1170</t>
  </si>
  <si>
    <t>06/03/2017</t>
  </si>
  <si>
    <t>Themba Mabaso</t>
  </si>
  <si>
    <t>7509067243082</t>
  </si>
  <si>
    <t>E1171</t>
  </si>
  <si>
    <t>12/09/2020</t>
  </si>
  <si>
    <t>Bongani Tshabalala</t>
  </si>
  <si>
    <t>7210126670080</t>
  </si>
  <si>
    <t>E1172</t>
  </si>
  <si>
    <t>04/06/2013</t>
  </si>
  <si>
    <t>8912025101088</t>
  </si>
  <si>
    <t>E1173</t>
  </si>
  <si>
    <t>11/12/2019</t>
  </si>
  <si>
    <t>Ntombi Mokoena</t>
  </si>
  <si>
    <t>9702282984089</t>
  </si>
  <si>
    <t>E1174</t>
  </si>
  <si>
    <t>16/02/2025</t>
  </si>
  <si>
    <t>Busisiwe Mabaso</t>
  </si>
  <si>
    <t>9707173823080</t>
  </si>
  <si>
    <t>E1175</t>
  </si>
  <si>
    <t>22/09/2019</t>
  </si>
  <si>
    <t>Dimakatso Molefe</t>
  </si>
  <si>
    <t>0101202712085</t>
  </si>
  <si>
    <t>E1176</t>
  </si>
  <si>
    <t>21/08/2015</t>
  </si>
  <si>
    <t>Oupa Sibeko</t>
  </si>
  <si>
    <t>7010278554086</t>
  </si>
  <si>
    <t>E1177</t>
  </si>
  <si>
    <t>13/01/2014</t>
  </si>
  <si>
    <t>Roxanne Adams</t>
  </si>
  <si>
    <t>9605094689087</t>
  </si>
  <si>
    <t>E1178</t>
  </si>
  <si>
    <t>11/04/2013</t>
  </si>
  <si>
    <t>Ilse Joubert</t>
  </si>
  <si>
    <t>8709052879085</t>
  </si>
  <si>
    <t>E1179</t>
  </si>
  <si>
    <t>29/11/2018</t>
  </si>
  <si>
    <t>Devon Jacobs</t>
  </si>
  <si>
    <t>9909109423080</t>
  </si>
  <si>
    <t>E1180</t>
  </si>
  <si>
    <t>18/07/2020</t>
  </si>
  <si>
    <t>Gavin Booysen</t>
  </si>
  <si>
    <t>9306229251089</t>
  </si>
  <si>
    <t>E1181</t>
  </si>
  <si>
    <t>29/01/2016</t>
  </si>
  <si>
    <t>Sindiswa Sithole</t>
  </si>
  <si>
    <t>7011202107082</t>
  </si>
  <si>
    <t>E1182</t>
  </si>
  <si>
    <t>28/05/2021</t>
  </si>
  <si>
    <t>9710272426086</t>
  </si>
  <si>
    <t>E1183</t>
  </si>
  <si>
    <t>05/08/2016</t>
  </si>
  <si>
    <t>8209138917082</t>
  </si>
  <si>
    <t>E1184</t>
  </si>
  <si>
    <t>01/03/2019</t>
  </si>
  <si>
    <t>9512207063087</t>
  </si>
  <si>
    <t>E1185</t>
  </si>
  <si>
    <t>31/07/2014</t>
  </si>
  <si>
    <t>Ayanda Dlamini</t>
  </si>
  <si>
    <t>8112051426083</t>
  </si>
  <si>
    <t>E1186</t>
  </si>
  <si>
    <t>15/08/2020</t>
  </si>
  <si>
    <t>Palesa Ndlovu</t>
  </si>
  <si>
    <t>9205254370089</t>
  </si>
  <si>
    <t>E1187</t>
  </si>
  <si>
    <t>26/05/2015</t>
  </si>
  <si>
    <t>Andre Fourie</t>
  </si>
  <si>
    <t>7411067888083</t>
  </si>
  <si>
    <t>E1188</t>
  </si>
  <si>
    <t>19/07/2013</t>
  </si>
  <si>
    <t>Phila Sithole</t>
  </si>
  <si>
    <t>7212096248087</t>
  </si>
  <si>
    <t>E1189</t>
  </si>
  <si>
    <t>26/11/2015</t>
  </si>
  <si>
    <t>Sibusiso Ngcobo</t>
  </si>
  <si>
    <t>8010026389081</t>
  </si>
  <si>
    <t>E1190</t>
  </si>
  <si>
    <t>30/06/2024</t>
  </si>
  <si>
    <t>Musa Khoza</t>
  </si>
  <si>
    <t>0012098914083</t>
  </si>
  <si>
    <t>E1191</t>
  </si>
  <si>
    <t>13/05/2013</t>
  </si>
  <si>
    <t>Busisiwe Ndlovu</t>
  </si>
  <si>
    <t>6803111579083</t>
  </si>
  <si>
    <t>E1192</t>
  </si>
  <si>
    <t>14/02/2025</t>
  </si>
  <si>
    <t>6710215121086</t>
  </si>
  <si>
    <t>E1193</t>
  </si>
  <si>
    <t>05/12/2016</t>
  </si>
  <si>
    <t>Busisiwe Buthelezi</t>
  </si>
  <si>
    <t>8509203480084</t>
  </si>
  <si>
    <t>E1194</t>
  </si>
  <si>
    <t>30/01/2014</t>
  </si>
  <si>
    <t>Hlengiwe Ngcobo</t>
  </si>
  <si>
    <t>7501092731082</t>
  </si>
  <si>
    <t>E1195</t>
  </si>
  <si>
    <t>26/04/2015</t>
  </si>
  <si>
    <t>Boitumelo Ngcobo</t>
  </si>
  <si>
    <t>9006132543081</t>
  </si>
  <si>
    <t>E1196</t>
  </si>
  <si>
    <t>25/01/2015</t>
  </si>
  <si>
    <t>Lerato Sibeko</t>
  </si>
  <si>
    <t>9402220165087</t>
  </si>
  <si>
    <t>E1197</t>
  </si>
  <si>
    <t>08/04/2016</t>
  </si>
  <si>
    <t>Devina Chetty</t>
  </si>
  <si>
    <t>9603164185086</t>
  </si>
  <si>
    <t>E1198</t>
  </si>
  <si>
    <t>01/04/2022</t>
  </si>
  <si>
    <t>Nonhlanhla Nkosi</t>
  </si>
  <si>
    <t>8004023392081</t>
  </si>
  <si>
    <t>E1199</t>
  </si>
  <si>
    <t>01/04/2018</t>
  </si>
  <si>
    <t>Pieter Coetzee</t>
  </si>
  <si>
    <t>8106039355083</t>
  </si>
  <si>
    <t>E1200</t>
  </si>
  <si>
    <t>25/05/2025</t>
  </si>
  <si>
    <t>Dewald Venter</t>
  </si>
  <si>
    <t>7201188743089</t>
  </si>
  <si>
    <t>E1201</t>
  </si>
  <si>
    <t>28/10/2014</t>
  </si>
  <si>
    <t>Roxanne September</t>
  </si>
  <si>
    <t>6710253890089</t>
  </si>
  <si>
    <t>E1202</t>
  </si>
  <si>
    <t>08/08/2020</t>
  </si>
  <si>
    <t>Clinton Adams</t>
  </si>
  <si>
    <t>9709186235088</t>
  </si>
  <si>
    <t>E1203</t>
  </si>
  <si>
    <t>29/12/2024</t>
  </si>
  <si>
    <t>Dimakatso Tshabalala</t>
  </si>
  <si>
    <t>9004184079088</t>
  </si>
  <si>
    <t>E1204</t>
  </si>
  <si>
    <t>23/02/2012</t>
  </si>
  <si>
    <t>Andile Sithole</t>
  </si>
  <si>
    <t>9705256726089</t>
  </si>
  <si>
    <t>E1205</t>
  </si>
  <si>
    <t>23/11/2014</t>
  </si>
  <si>
    <t>Mmabatho Khumalo</t>
  </si>
  <si>
    <t>8605241311081</t>
  </si>
  <si>
    <t>E1206</t>
  </si>
  <si>
    <t>05/10/2012</t>
  </si>
  <si>
    <t>Lize Steyn</t>
  </si>
  <si>
    <t>8212030465085</t>
  </si>
  <si>
    <t>E1207</t>
  </si>
  <si>
    <t>19/12/2024</t>
  </si>
  <si>
    <t>8808187599087</t>
  </si>
  <si>
    <t>E1208</t>
  </si>
  <si>
    <t>27/09/2017</t>
  </si>
  <si>
    <t>Chantal September</t>
  </si>
  <si>
    <t>6907093694081</t>
  </si>
  <si>
    <t>E1209</t>
  </si>
  <si>
    <t>14/11/2020</t>
  </si>
  <si>
    <t>Ayanda Mahlangu</t>
  </si>
  <si>
    <t>8803283797081</t>
  </si>
  <si>
    <t>E1210</t>
  </si>
  <si>
    <t>17/11/2022</t>
  </si>
  <si>
    <t>Byron Adams</t>
  </si>
  <si>
    <t>9311065083083</t>
  </si>
  <si>
    <t>E1211</t>
  </si>
  <si>
    <t>29/12/2019</t>
  </si>
  <si>
    <t>Lee-Ann Fortuin</t>
  </si>
  <si>
    <t>8304021763089</t>
  </si>
  <si>
    <t>E1212</t>
  </si>
  <si>
    <t>13/06/2013</t>
  </si>
  <si>
    <t>8103263548087</t>
  </si>
  <si>
    <t>E1213</t>
  </si>
  <si>
    <t>03/10/2012</t>
  </si>
  <si>
    <t>Nkosana Mabaso</t>
  </si>
  <si>
    <t>8109075661083</t>
  </si>
  <si>
    <t>E1214</t>
  </si>
  <si>
    <t>01/06/2016</t>
  </si>
  <si>
    <t>Tarisha Naidoo</t>
  </si>
  <si>
    <t>9505232805084</t>
  </si>
  <si>
    <t>E1215</t>
  </si>
  <si>
    <t>07/09/2024</t>
  </si>
  <si>
    <t>Lee-Ann Jacobs</t>
  </si>
  <si>
    <t>6902194771086</t>
  </si>
  <si>
    <t>E1216</t>
  </si>
  <si>
    <t>25/04/2012</t>
  </si>
  <si>
    <t>Nomvula Mthembu</t>
  </si>
  <si>
    <t>9705133580089</t>
  </si>
  <si>
    <t>E1217</t>
  </si>
  <si>
    <t>16/08/2012</t>
  </si>
  <si>
    <t>Phila Khumalo</t>
  </si>
  <si>
    <t>9108209190083</t>
  </si>
  <si>
    <t>E1218</t>
  </si>
  <si>
    <t>24/07/2012</t>
  </si>
  <si>
    <t>Kagiso Radebe</t>
  </si>
  <si>
    <t>9509138030086</t>
  </si>
  <si>
    <t>E1219</t>
  </si>
  <si>
    <t>29/06/2017</t>
  </si>
  <si>
    <t>Kagiso Sithole</t>
  </si>
  <si>
    <t>8401117726085</t>
  </si>
  <si>
    <t>E1220</t>
  </si>
  <si>
    <t>17/08/2020</t>
  </si>
  <si>
    <t>Oupa Zulu</t>
  </si>
  <si>
    <t>7311266190085</t>
  </si>
  <si>
    <t>E1221</t>
  </si>
  <si>
    <t>27/05/2024</t>
  </si>
  <si>
    <t>8905078856087</t>
  </si>
  <si>
    <t>E1222</t>
  </si>
  <si>
    <t>20/09/2018</t>
  </si>
  <si>
    <t>Gift Mahlangu</t>
  </si>
  <si>
    <t>8404099417087</t>
  </si>
  <si>
    <t>E1223</t>
  </si>
  <si>
    <t>08/11/2022</t>
  </si>
  <si>
    <t>Dineo Maluleke</t>
  </si>
  <si>
    <t>9503011407081</t>
  </si>
  <si>
    <t>E1224</t>
  </si>
  <si>
    <t>07/04/2025</t>
  </si>
  <si>
    <t>Ntombi Molefe</t>
  </si>
  <si>
    <t>9411264662081</t>
  </si>
  <si>
    <t>E1225</t>
  </si>
  <si>
    <t>03/05/2019</t>
  </si>
  <si>
    <t>Khaya Molefe</t>
  </si>
  <si>
    <t>8202155263084</t>
  </si>
  <si>
    <t>E1226</t>
  </si>
  <si>
    <t>06/04/2018</t>
  </si>
  <si>
    <t>Refilwe Dlamini</t>
  </si>
  <si>
    <t>9702031520085</t>
  </si>
  <si>
    <t>E1227</t>
  </si>
  <si>
    <t>17/01/2013</t>
  </si>
  <si>
    <t>Ashwin Petersen</t>
  </si>
  <si>
    <t>7301249532081</t>
  </si>
  <si>
    <t>E1228</t>
  </si>
  <si>
    <t>17/04/2016</t>
  </si>
  <si>
    <t>Mandla Tshabalala</t>
  </si>
  <si>
    <t>8002275034088</t>
  </si>
  <si>
    <t>E1229</t>
  </si>
  <si>
    <t>14/04/2025</t>
  </si>
  <si>
    <t>Nosipho Khumalo</t>
  </si>
  <si>
    <t>9608132666083</t>
  </si>
  <si>
    <t>E1230</t>
  </si>
  <si>
    <t>02/12/2014</t>
  </si>
  <si>
    <t>Pravin Reddy</t>
  </si>
  <si>
    <t>7006237472089</t>
  </si>
  <si>
    <t>E1231</t>
  </si>
  <si>
    <t>09/08/2023</t>
  </si>
  <si>
    <t>Kavisha Padayachee</t>
  </si>
  <si>
    <t>7401190192081</t>
  </si>
  <si>
    <t>E1232</t>
  </si>
  <si>
    <t>03/02/2017</t>
  </si>
  <si>
    <t>Tshepo Tshabalala</t>
  </si>
  <si>
    <t>7112208416087</t>
  </si>
  <si>
    <t>E1233</t>
  </si>
  <si>
    <t>17/08/2018</t>
  </si>
  <si>
    <t>Musa Mbatha</t>
  </si>
  <si>
    <t>9107039934082</t>
  </si>
  <si>
    <t>E1234</t>
  </si>
  <si>
    <t>7306268818089</t>
  </si>
  <si>
    <t>E1235</t>
  </si>
  <si>
    <t>01/12/2013</t>
  </si>
  <si>
    <t>Boitumelo Sithole</t>
  </si>
  <si>
    <t>9105010098083</t>
  </si>
  <si>
    <t>E1236</t>
  </si>
  <si>
    <t>08/01/2024</t>
  </si>
  <si>
    <t>Zinhle Mabaso</t>
  </si>
  <si>
    <t>7607113093087</t>
  </si>
  <si>
    <t>E1237</t>
  </si>
  <si>
    <t>07/12/2024</t>
  </si>
  <si>
    <t>Nonhlanhla Maluleke</t>
  </si>
  <si>
    <t>9809220188085</t>
  </si>
  <si>
    <t>E1238</t>
  </si>
  <si>
    <t>03/12/2021</t>
  </si>
  <si>
    <t>Charmaine Hendricks</t>
  </si>
  <si>
    <t>8710254105089</t>
  </si>
  <si>
    <t>E1239</t>
  </si>
  <si>
    <t>16/11/2014</t>
  </si>
  <si>
    <t>Khanyisile Sithole</t>
  </si>
  <si>
    <t>9409280776083</t>
  </si>
  <si>
    <t>E1240</t>
  </si>
  <si>
    <t>7003202644081</t>
  </si>
  <si>
    <t>E1241</t>
  </si>
  <si>
    <t>05/11/2020</t>
  </si>
  <si>
    <t>Byron Hendricks</t>
  </si>
  <si>
    <t>8507049106087</t>
  </si>
  <si>
    <t>E1242</t>
  </si>
  <si>
    <t>08/10/2023</t>
  </si>
  <si>
    <t>Khaya Mabaso</t>
  </si>
  <si>
    <t>9202255781083</t>
  </si>
  <si>
    <t>E1243</t>
  </si>
  <si>
    <t>Devon Williams</t>
  </si>
  <si>
    <t>8306139400082</t>
  </si>
  <si>
    <t>E1244</t>
  </si>
  <si>
    <t>09/04/2018</t>
  </si>
  <si>
    <t>Khanyisile Maseko</t>
  </si>
  <si>
    <t>8207130090080</t>
  </si>
  <si>
    <t>E1245</t>
  </si>
  <si>
    <t>14/03/2018</t>
  </si>
  <si>
    <t>Naledi Tshabalala</t>
  </si>
  <si>
    <t>9904093995086</t>
  </si>
  <si>
    <t>E1246</t>
  </si>
  <si>
    <t>06/11/2015</t>
  </si>
  <si>
    <t>Hlengiwe Khumalo</t>
  </si>
  <si>
    <t>9902143387080</t>
  </si>
  <si>
    <t>E1247</t>
  </si>
  <si>
    <t>02/07/2023</t>
  </si>
  <si>
    <t>Ashwin Daniels</t>
  </si>
  <si>
    <t>8009179898088</t>
  </si>
  <si>
    <t>E1248</t>
  </si>
  <si>
    <t>02/09/2021</t>
  </si>
  <si>
    <t>Mandla Mokoena</t>
  </si>
  <si>
    <t>8611075532081</t>
  </si>
  <si>
    <t>E1249</t>
  </si>
  <si>
    <t>29/12/2011</t>
  </si>
  <si>
    <t>Sanjay Chetty</t>
  </si>
  <si>
    <t>7710079127087</t>
  </si>
  <si>
    <t>E1250</t>
  </si>
  <si>
    <t>16/01/2018</t>
  </si>
  <si>
    <t>0108189956080</t>
  </si>
  <si>
    <t>E1251</t>
  </si>
  <si>
    <t>09/04/2021</t>
  </si>
  <si>
    <t>Annelise Joubert</t>
  </si>
  <si>
    <t>9202123954086</t>
  </si>
  <si>
    <t>E1252</t>
  </si>
  <si>
    <t>03/07/2023</t>
  </si>
  <si>
    <t>Sanjay Naicker</t>
  </si>
  <si>
    <t>0106209898084</t>
  </si>
  <si>
    <t>E1253</t>
  </si>
  <si>
    <t>09/01/2013</t>
  </si>
  <si>
    <t>Lerato Maseko</t>
  </si>
  <si>
    <t>0103152521086</t>
  </si>
  <si>
    <t>E1254</t>
  </si>
  <si>
    <t>12/05/2016</t>
  </si>
  <si>
    <t>Johan Botha</t>
  </si>
  <si>
    <t>8009135598087</t>
  </si>
  <si>
    <t>E1255</t>
  </si>
  <si>
    <t>08/07/2020</t>
  </si>
  <si>
    <t>Anjali Singh</t>
  </si>
  <si>
    <t>8402022344089</t>
  </si>
  <si>
    <t>E1256</t>
  </si>
  <si>
    <t>26/05/2018</t>
  </si>
  <si>
    <t>Nomvula Maseko</t>
  </si>
  <si>
    <t>0011234637087</t>
  </si>
  <si>
    <t>E1257</t>
  </si>
  <si>
    <t>03/05/2017</t>
  </si>
  <si>
    <t>Lerato Mahlangu</t>
  </si>
  <si>
    <t>9909282184087</t>
  </si>
  <si>
    <t>E1258</t>
  </si>
  <si>
    <t>21/04/2019</t>
  </si>
  <si>
    <t>Lucky Tshabalala</t>
  </si>
  <si>
    <t>9412219386081</t>
  </si>
  <si>
    <t>E1259</t>
  </si>
  <si>
    <t>31/07/2022</t>
  </si>
  <si>
    <t>Khanyisile Khumalo</t>
  </si>
  <si>
    <t>7101122997082</t>
  </si>
  <si>
    <t>E1260</t>
  </si>
  <si>
    <t>07/03/2017</t>
  </si>
  <si>
    <t>Bongani Radebe</t>
  </si>
  <si>
    <t>8004187479088</t>
  </si>
  <si>
    <t>E1261</t>
  </si>
  <si>
    <t>12/03/2013</t>
  </si>
  <si>
    <t>Kagiso Dlamini</t>
  </si>
  <si>
    <t>7707155084083</t>
  </si>
  <si>
    <t>E1262</t>
  </si>
  <si>
    <t>08/02/2014</t>
  </si>
  <si>
    <t>Mandla Zulu</t>
  </si>
  <si>
    <t>8907047903081</t>
  </si>
  <si>
    <t>E1263</t>
  </si>
  <si>
    <t>24/06/2023</t>
  </si>
  <si>
    <t>Carike Joubert</t>
  </si>
  <si>
    <t>8410091039084</t>
  </si>
  <si>
    <t>E1264</t>
  </si>
  <si>
    <t>27/11/2024</t>
  </si>
  <si>
    <t>Karabo Mabaso</t>
  </si>
  <si>
    <t>7003112868085</t>
  </si>
  <si>
    <t>E1265</t>
  </si>
  <si>
    <t>27/06/2012</t>
  </si>
  <si>
    <t>Precious Molefe</t>
  </si>
  <si>
    <t>9712181048084</t>
  </si>
  <si>
    <t>E1266</t>
  </si>
  <si>
    <t>05/11/2023</t>
  </si>
  <si>
    <t>Deshen Reddy</t>
  </si>
  <si>
    <t>8210096532087</t>
  </si>
  <si>
    <t>E1267</t>
  </si>
  <si>
    <t>04/07/2018</t>
  </si>
  <si>
    <t>Katlego Maseko</t>
  </si>
  <si>
    <t>8801226974080</t>
  </si>
  <si>
    <t>E1268</t>
  </si>
  <si>
    <t>24/09/2015</t>
  </si>
  <si>
    <t>Bernadette Booysen</t>
  </si>
  <si>
    <t>8505280174087</t>
  </si>
  <si>
    <t>E1269</t>
  </si>
  <si>
    <t>31/10/2022</t>
  </si>
  <si>
    <t>Bheki Tshabalala</t>
  </si>
  <si>
    <t>9011087649081</t>
  </si>
  <si>
    <t>E1270</t>
  </si>
  <si>
    <t>07/04/2016</t>
  </si>
  <si>
    <t>Ashley Daniels</t>
  </si>
  <si>
    <t>9603195472081</t>
  </si>
  <si>
    <t>E1271</t>
  </si>
  <si>
    <t>09/12/2012</t>
  </si>
  <si>
    <t>Susan Venter</t>
  </si>
  <si>
    <t>7508130712081</t>
  </si>
  <si>
    <t>E1272</t>
  </si>
  <si>
    <t>21/10/2024</t>
  </si>
  <si>
    <t>Dimakatso Khoza</t>
  </si>
  <si>
    <t>9608042369083</t>
  </si>
  <si>
    <t>E1273</t>
  </si>
  <si>
    <t>20/05/2025</t>
  </si>
  <si>
    <t>Chantal Booysen</t>
  </si>
  <si>
    <t>6910051257081</t>
  </si>
  <si>
    <t>E1274</t>
  </si>
  <si>
    <t>20/06/2023</t>
  </si>
  <si>
    <t>Ntombi Nkosi</t>
  </si>
  <si>
    <t>7008104312083</t>
  </si>
  <si>
    <t>E1275</t>
  </si>
  <si>
    <t>18/09/2024</t>
  </si>
  <si>
    <t>Khanyisile Sibeko</t>
  </si>
  <si>
    <t>8303053484085</t>
  </si>
  <si>
    <t>E1276</t>
  </si>
  <si>
    <t>11/02/2013</t>
  </si>
  <si>
    <t>Sipho Mahlangu</t>
  </si>
  <si>
    <t>0102088054089</t>
  </si>
  <si>
    <t>E1277</t>
  </si>
  <si>
    <t>17/01/2015</t>
  </si>
  <si>
    <t>7702153536085</t>
  </si>
  <si>
    <t>E1278</t>
  </si>
  <si>
    <t>22/08/2015</t>
  </si>
  <si>
    <t>8801100733081</t>
  </si>
  <si>
    <t>E1279</t>
  </si>
  <si>
    <t>04/02/2013</t>
  </si>
  <si>
    <t>Madelein Van der Merwe</t>
  </si>
  <si>
    <t>8704014992084</t>
  </si>
  <si>
    <t>E1280</t>
  </si>
  <si>
    <t>15/04/2019</t>
  </si>
  <si>
    <t>Lwazi Tshabalala</t>
  </si>
  <si>
    <t>9207268671080</t>
  </si>
  <si>
    <t>E1281</t>
  </si>
  <si>
    <t>20/03/2015</t>
  </si>
  <si>
    <t>Nkosana Maseko</t>
  </si>
  <si>
    <t>6810158387080</t>
  </si>
  <si>
    <t>E1282</t>
  </si>
  <si>
    <t>19/06/2018</t>
  </si>
  <si>
    <t>Sandile Maluleke</t>
  </si>
  <si>
    <t>7411135472084</t>
  </si>
  <si>
    <t>E1283</t>
  </si>
  <si>
    <t>Lwazi Sibeko</t>
  </si>
  <si>
    <t>9101125281086</t>
  </si>
  <si>
    <t>E1284</t>
  </si>
  <si>
    <t>27/05/2012</t>
  </si>
  <si>
    <t>Nkosana Zulu</t>
  </si>
  <si>
    <t>7312249243082</t>
  </si>
  <si>
    <t>E1285</t>
  </si>
  <si>
    <t>10/03/2017</t>
  </si>
  <si>
    <t>Nosipho Zulu</t>
  </si>
  <si>
    <t>0004120893088</t>
  </si>
  <si>
    <t>E1286</t>
  </si>
  <si>
    <t>24/05/2025</t>
  </si>
  <si>
    <t>Refilwe Ndlovu</t>
  </si>
  <si>
    <t>7205254138082</t>
  </si>
  <si>
    <t>E1287</t>
  </si>
  <si>
    <t>10/12/2019</t>
  </si>
  <si>
    <t>Johan Steyn</t>
  </si>
  <si>
    <t>9902167412087</t>
  </si>
  <si>
    <t>E1288</t>
  </si>
  <si>
    <t>01/12/2022</t>
  </si>
  <si>
    <t>Sindiswa Mahlangu</t>
  </si>
  <si>
    <t>7111192659082</t>
  </si>
  <si>
    <t>E1289</t>
  </si>
  <si>
    <t>13/08/2023</t>
  </si>
  <si>
    <t>Mpho Khumalo</t>
  </si>
  <si>
    <t>9304235249080</t>
  </si>
  <si>
    <t>E1290</t>
  </si>
  <si>
    <t>29/11/2013</t>
  </si>
  <si>
    <t>9111050655089</t>
  </si>
  <si>
    <t>E1291</t>
  </si>
  <si>
    <t>24/09/2020</t>
  </si>
  <si>
    <t>Tarryn Daniels</t>
  </si>
  <si>
    <t>7106044957080</t>
  </si>
  <si>
    <t>E1292</t>
  </si>
  <si>
    <t>07/06/2016</t>
  </si>
  <si>
    <t>Bongani Khumalo</t>
  </si>
  <si>
    <t>8604027927087</t>
  </si>
  <si>
    <t>E1293</t>
  </si>
  <si>
    <t>14/06/2024</t>
  </si>
  <si>
    <t>Reshma Naidoo</t>
  </si>
  <si>
    <t>9910182476086</t>
  </si>
  <si>
    <t>E1294</t>
  </si>
  <si>
    <t>10/10/2024</t>
  </si>
  <si>
    <t>8707259613083</t>
  </si>
  <si>
    <t>E1295</t>
  </si>
  <si>
    <t>Lehlohonolo Sibeko</t>
  </si>
  <si>
    <t>Semi-skilled</t>
  </si>
  <si>
    <t>7403135204088</t>
  </si>
  <si>
    <t>E1296</t>
  </si>
  <si>
    <t>09/08/2015</t>
  </si>
  <si>
    <t>Karien Botha</t>
  </si>
  <si>
    <t>8711170474088</t>
  </si>
  <si>
    <t>E1297</t>
  </si>
  <si>
    <t>14/12/2012</t>
  </si>
  <si>
    <t>7810281766084</t>
  </si>
  <si>
    <t>E1298</t>
  </si>
  <si>
    <t>19/01/2014</t>
  </si>
  <si>
    <t>Lindiwe Tshabalala</t>
  </si>
  <si>
    <t>9503020760082</t>
  </si>
  <si>
    <t>E1299</t>
  </si>
  <si>
    <t>01/01/2022</t>
  </si>
  <si>
    <t>Hlengiwe Mabaso</t>
  </si>
  <si>
    <t>7601170726085</t>
  </si>
  <si>
    <t>E1300</t>
  </si>
  <si>
    <t>23/05/2020</t>
  </si>
  <si>
    <t>Musa Radebe</t>
  </si>
  <si>
    <t>7608106705083</t>
  </si>
  <si>
    <t>E1301</t>
  </si>
  <si>
    <t>24/11/2015</t>
  </si>
  <si>
    <t>8612109148084</t>
  </si>
  <si>
    <t>E1302</t>
  </si>
  <si>
    <t>02/06/2021</t>
  </si>
  <si>
    <t>Dimakatso Khumalo</t>
  </si>
  <si>
    <t>9306240975088</t>
  </si>
  <si>
    <t>E1303</t>
  </si>
  <si>
    <t>30/11/2011</t>
  </si>
  <si>
    <t>Sipho Maseko</t>
  </si>
  <si>
    <t>8908088610080</t>
  </si>
  <si>
    <t>E1304</t>
  </si>
  <si>
    <t>29/01/2012</t>
  </si>
  <si>
    <t>Wesley Hendricks</t>
  </si>
  <si>
    <t>7409166378089</t>
  </si>
  <si>
    <t>E1305</t>
  </si>
  <si>
    <t>07/10/2022</t>
  </si>
  <si>
    <t>Werner Coetzee</t>
  </si>
  <si>
    <t>8303128661089</t>
  </si>
  <si>
    <t>E1306</t>
  </si>
  <si>
    <t>Stefan Pretorius</t>
  </si>
  <si>
    <t>0102056822087</t>
  </si>
  <si>
    <t>E1307</t>
  </si>
  <si>
    <t>14/01/2020</t>
  </si>
  <si>
    <t>Dimakatso Mabaso</t>
  </si>
  <si>
    <t>7312023580089</t>
  </si>
  <si>
    <t>E1308</t>
  </si>
  <si>
    <t>07/02/2012</t>
  </si>
  <si>
    <t>Zinhle Ndlovu</t>
  </si>
  <si>
    <t>8711081410080</t>
  </si>
  <si>
    <t>E1309</t>
  </si>
  <si>
    <t>03/03/2021</t>
  </si>
  <si>
    <t>Elsabe Nel</t>
  </si>
  <si>
    <t>9211051170086</t>
  </si>
  <si>
    <t>E1310</t>
  </si>
  <si>
    <t>Roxanne Fortuin</t>
  </si>
  <si>
    <t>7801203809086</t>
  </si>
  <si>
    <t>E1311</t>
  </si>
  <si>
    <t>29/10/2019</t>
  </si>
  <si>
    <t>9607083429087</t>
  </si>
  <si>
    <t>E1312</t>
  </si>
  <si>
    <t>10/02/2012</t>
  </si>
  <si>
    <t>Avesh Reddy</t>
  </si>
  <si>
    <t>9005145187084</t>
  </si>
  <si>
    <t>E1313</t>
  </si>
  <si>
    <t>Sibusiso Khumalo</t>
  </si>
  <si>
    <t>8211268328080</t>
  </si>
  <si>
    <t>E1314</t>
  </si>
  <si>
    <t>18/02/2019</t>
  </si>
  <si>
    <t>Bernard Steyn</t>
  </si>
  <si>
    <t>7511138770085</t>
  </si>
  <si>
    <t>E1315</t>
  </si>
  <si>
    <t>01/03/2015</t>
  </si>
  <si>
    <t>Nomvula Tshabalala</t>
  </si>
  <si>
    <t>9509283168087</t>
  </si>
  <si>
    <t>E1316</t>
  </si>
  <si>
    <t>15/04/2013</t>
  </si>
  <si>
    <t>Khanyisile Molefe</t>
  </si>
  <si>
    <t>9808203142085</t>
  </si>
  <si>
    <t>E1317</t>
  </si>
  <si>
    <t>03/12/2014</t>
  </si>
  <si>
    <t>Naledi Mthembu</t>
  </si>
  <si>
    <t>8501150959087</t>
  </si>
  <si>
    <t>E1318</t>
  </si>
  <si>
    <t>22/06/2019</t>
  </si>
  <si>
    <t>Naledi Ndlovu</t>
  </si>
  <si>
    <t>7609023681084</t>
  </si>
  <si>
    <t>E1319</t>
  </si>
  <si>
    <t>24/11/2024</t>
  </si>
  <si>
    <t>Phila Buthelezi</t>
  </si>
  <si>
    <t>9909205976080</t>
  </si>
  <si>
    <t>E1320</t>
  </si>
  <si>
    <t>03/04/2012</t>
  </si>
  <si>
    <t>Lucky Ndlovu</t>
  </si>
  <si>
    <t>6903137622089</t>
  </si>
  <si>
    <t>E1321</t>
  </si>
  <si>
    <t>26/09/2024</t>
  </si>
  <si>
    <t>Palesa Molefe</t>
  </si>
  <si>
    <t>9411150179083</t>
  </si>
  <si>
    <t>E1322</t>
  </si>
  <si>
    <t>14/04/2017</t>
  </si>
  <si>
    <t>7902229501085</t>
  </si>
  <si>
    <t>E1323</t>
  </si>
  <si>
    <t>25/12/2024</t>
  </si>
  <si>
    <t>9807042988088</t>
  </si>
  <si>
    <t>E1324</t>
  </si>
  <si>
    <t>04/04/2024</t>
  </si>
  <si>
    <t>Lee-Ann September</t>
  </si>
  <si>
    <t>8508030717080</t>
  </si>
  <si>
    <t>E1325</t>
  </si>
  <si>
    <t>10/05/2023</t>
  </si>
  <si>
    <t>Lerato Ngcobo</t>
  </si>
  <si>
    <t>8011093281086</t>
  </si>
  <si>
    <t>E1326</t>
  </si>
  <si>
    <t>18/09/2014</t>
  </si>
  <si>
    <t>Phila Tshabalala</t>
  </si>
  <si>
    <t>7705289147081</t>
  </si>
  <si>
    <t>E1327</t>
  </si>
  <si>
    <t>9404099912086</t>
  </si>
  <si>
    <t>E1328</t>
  </si>
  <si>
    <t>08/01/2025</t>
  </si>
  <si>
    <t>Lucky Radebe</t>
  </si>
  <si>
    <t>8308225006088</t>
  </si>
  <si>
    <t>E1329</t>
  </si>
  <si>
    <t>23/07/2022</t>
  </si>
  <si>
    <t>Gavin Arendse</t>
  </si>
  <si>
    <t>7907057762089</t>
  </si>
  <si>
    <t>E1330</t>
  </si>
  <si>
    <t>14/04/2022</t>
  </si>
  <si>
    <t>Sandile Mbatha</t>
  </si>
  <si>
    <t>0004115912083</t>
  </si>
  <si>
    <t>E1331</t>
  </si>
  <si>
    <t>10/04/2024</t>
  </si>
  <si>
    <t>8404280932084</t>
  </si>
  <si>
    <t>E1332</t>
  </si>
  <si>
    <t>14/05/2012</t>
  </si>
  <si>
    <t>8704152489083</t>
  </si>
  <si>
    <t>E1333</t>
  </si>
  <si>
    <t>07/05/2016</t>
  </si>
  <si>
    <t>Andile Maseko</t>
  </si>
  <si>
    <t>9001068315083</t>
  </si>
  <si>
    <t>E1334</t>
  </si>
  <si>
    <t>07/05/2025</t>
  </si>
  <si>
    <t>Nokuthula Mokoena</t>
  </si>
  <si>
    <t>7812070448080</t>
  </si>
  <si>
    <t>E1335</t>
  </si>
  <si>
    <t>24/01/2024</t>
  </si>
  <si>
    <t>Phila Mahlangu</t>
  </si>
  <si>
    <t>0008079128081</t>
  </si>
  <si>
    <t>E1336</t>
  </si>
  <si>
    <t>08/04/2018</t>
  </si>
  <si>
    <t>Kuben Naicker</t>
  </si>
  <si>
    <t>0009186560083</t>
  </si>
  <si>
    <t>E1337</t>
  </si>
  <si>
    <t>Lungelo Maluleke</t>
  </si>
  <si>
    <t>8011258913085</t>
  </si>
  <si>
    <t>E1338</t>
  </si>
  <si>
    <t>02/09/2014</t>
  </si>
  <si>
    <t>Sandile Ngcobo</t>
  </si>
  <si>
    <t>6912119830081</t>
  </si>
  <si>
    <t>E1339</t>
  </si>
  <si>
    <t>Mmabatho Ndlovu</t>
  </si>
  <si>
    <t>6706202207086</t>
  </si>
  <si>
    <t>E1340</t>
  </si>
  <si>
    <t>14/03/2023</t>
  </si>
  <si>
    <t>Nosipho Dlamini</t>
  </si>
  <si>
    <t>8509110387083</t>
  </si>
  <si>
    <t>E1341</t>
  </si>
  <si>
    <t>06/11/2021</t>
  </si>
  <si>
    <t>Palesa Zulu</t>
  </si>
  <si>
    <t>8609212810089</t>
  </si>
  <si>
    <t>E1342</t>
  </si>
  <si>
    <t>26/06/2023</t>
  </si>
  <si>
    <t>Thabo Maseko</t>
  </si>
  <si>
    <t>9509126483081</t>
  </si>
  <si>
    <t>E1343</t>
  </si>
  <si>
    <t>21/10/2011</t>
  </si>
  <si>
    <t>Sandile Maseko</t>
  </si>
  <si>
    <t>9211126656085</t>
  </si>
  <si>
    <t>E1344</t>
  </si>
  <si>
    <t>17/12/2018</t>
  </si>
  <si>
    <t>Carike Steyn</t>
  </si>
  <si>
    <t>7007273225084</t>
  </si>
  <si>
    <t>E1345</t>
  </si>
  <si>
    <t>23/05/2015</t>
  </si>
  <si>
    <t>Desiree Jacobs</t>
  </si>
  <si>
    <t>9205210890089</t>
  </si>
  <si>
    <t>E1346</t>
  </si>
  <si>
    <t>18/08/2023</t>
  </si>
  <si>
    <t>Precious Dlamini</t>
  </si>
  <si>
    <t>7504241558083</t>
  </si>
  <si>
    <t>E1347</t>
  </si>
  <si>
    <t>Themba Khumalo</t>
  </si>
  <si>
    <t>8905087285088</t>
  </si>
  <si>
    <t>E1348</t>
  </si>
  <si>
    <t>23/02/2018</t>
  </si>
  <si>
    <t>Lucky Khumalo</t>
  </si>
  <si>
    <t>9909057788088</t>
  </si>
  <si>
    <t>E1349</t>
  </si>
  <si>
    <t>05/08/2015</t>
  </si>
  <si>
    <t>Nokuthula Maseko</t>
  </si>
  <si>
    <t>7310261289082</t>
  </si>
  <si>
    <t>E1350</t>
  </si>
  <si>
    <t>22/04/2024</t>
  </si>
  <si>
    <t>Sandile Ndlovu</t>
  </si>
  <si>
    <t>8607277829085</t>
  </si>
  <si>
    <t>E1351</t>
  </si>
  <si>
    <t>17/05/2020</t>
  </si>
  <si>
    <t>Lindiwe Buthelezi</t>
  </si>
  <si>
    <t>0107150203084</t>
  </si>
  <si>
    <t>E1352</t>
  </si>
  <si>
    <t>15/11/2021</t>
  </si>
  <si>
    <t>Karien Du Plessis</t>
  </si>
  <si>
    <t>7311092007081</t>
  </si>
  <si>
    <t>E1353</t>
  </si>
  <si>
    <t>25/03/2021</t>
  </si>
  <si>
    <t>Khaya Mahlangu</t>
  </si>
  <si>
    <t>8101079156087</t>
  </si>
  <si>
    <t>E1354</t>
  </si>
  <si>
    <t>10/08/2015</t>
  </si>
  <si>
    <t>Dimakatso Maluleke</t>
  </si>
  <si>
    <t>9302182808080</t>
  </si>
  <si>
    <t>E1355</t>
  </si>
  <si>
    <t>01/11/2012</t>
  </si>
  <si>
    <t>Boitumelo Mahlangu</t>
  </si>
  <si>
    <t>9602242031080</t>
  </si>
  <si>
    <t>E1356</t>
  </si>
  <si>
    <t>10/04/2015</t>
  </si>
  <si>
    <t>Madelein Botha</t>
  </si>
  <si>
    <t>8607192199085</t>
  </si>
  <si>
    <t>E1357</t>
  </si>
  <si>
    <t>0101040782084</t>
  </si>
  <si>
    <t>E1358</t>
  </si>
  <si>
    <t>13/06/2014</t>
  </si>
  <si>
    <t>9312214439085</t>
  </si>
  <si>
    <t>E1359</t>
  </si>
  <si>
    <t>04/08/2021</t>
  </si>
  <si>
    <t>Mpho Ndlovu</t>
  </si>
  <si>
    <t>0012167655088</t>
  </si>
  <si>
    <t>E1360</t>
  </si>
  <si>
    <t>15/10/2016</t>
  </si>
  <si>
    <t>7007027569084</t>
  </si>
  <si>
    <t>E1361</t>
  </si>
  <si>
    <t>19/04/2017</t>
  </si>
  <si>
    <t>Mmabatho Mthembu</t>
  </si>
  <si>
    <t>8710050717087</t>
  </si>
  <si>
    <t>E1362</t>
  </si>
  <si>
    <t>27/06/2023</t>
  </si>
  <si>
    <t>9902146272081</t>
  </si>
  <si>
    <t>E1363</t>
  </si>
  <si>
    <t>06/10/2019</t>
  </si>
  <si>
    <t>Busisiwe Maluleke</t>
  </si>
  <si>
    <t>8211220776087</t>
  </si>
  <si>
    <t>E1364</t>
  </si>
  <si>
    <t>11/09/2016</t>
  </si>
  <si>
    <t>Bheki Buthelezi</t>
  </si>
  <si>
    <t>6707088428085</t>
  </si>
  <si>
    <t>E1365</t>
  </si>
  <si>
    <t>16/02/2012</t>
  </si>
  <si>
    <t>Mandla Mbatha</t>
  </si>
  <si>
    <t>7805117713086</t>
  </si>
  <si>
    <t>E1366</t>
  </si>
  <si>
    <t>24/10/2019</t>
  </si>
  <si>
    <t>7805162928084</t>
  </si>
  <si>
    <t>E1367</t>
  </si>
  <si>
    <t>25/10/2012</t>
  </si>
  <si>
    <t>Mpho Maluleke</t>
  </si>
  <si>
    <t>8709229685084</t>
  </si>
  <si>
    <t>E1368</t>
  </si>
  <si>
    <t>Bernard Du Plessis</t>
  </si>
  <si>
    <t>7705056585083</t>
  </si>
  <si>
    <t>E1369</t>
  </si>
  <si>
    <t>01/10/2016</t>
  </si>
  <si>
    <t>Sibusiso Molefe</t>
  </si>
  <si>
    <t>8907226352084</t>
  </si>
  <si>
    <t>E1370</t>
  </si>
  <si>
    <t>23/07/2015</t>
  </si>
  <si>
    <t>Bernadette Williams</t>
  </si>
  <si>
    <t>8901250243087</t>
  </si>
  <si>
    <t>E1371</t>
  </si>
  <si>
    <t>03/01/2016</t>
  </si>
  <si>
    <t>Sibusiso Radebe</t>
  </si>
  <si>
    <t>9703097454086</t>
  </si>
  <si>
    <t>E1372</t>
  </si>
  <si>
    <t>17/10/2015</t>
  </si>
  <si>
    <t>Lungelo Mabaso</t>
  </si>
  <si>
    <t>6802268296087</t>
  </si>
  <si>
    <t>E1373</t>
  </si>
  <si>
    <t>18/01/2022</t>
  </si>
  <si>
    <t>9908278901082</t>
  </si>
  <si>
    <t>E1374</t>
  </si>
  <si>
    <t>04/10/2021</t>
  </si>
  <si>
    <t>Katlego Mokoena</t>
  </si>
  <si>
    <t>8007109138088</t>
  </si>
  <si>
    <t>E1375</t>
  </si>
  <si>
    <t>05/10/2014</t>
  </si>
  <si>
    <t>Lucky Mahlangu</t>
  </si>
  <si>
    <t>7604187518081</t>
  </si>
  <si>
    <t>E1376</t>
  </si>
  <si>
    <t>24/09/2012</t>
  </si>
  <si>
    <t>Palesa Mthembu</t>
  </si>
  <si>
    <t>6805023624089</t>
  </si>
  <si>
    <t>E1377</t>
  </si>
  <si>
    <t>12/07/2022</t>
  </si>
  <si>
    <t>Nokuthula Ndlovu</t>
  </si>
  <si>
    <t>8904024679081</t>
  </si>
  <si>
    <t>E1378</t>
  </si>
  <si>
    <t>10/09/2017</t>
  </si>
  <si>
    <t>7512178207087</t>
  </si>
  <si>
    <t>E1379</t>
  </si>
  <si>
    <t>29/11/2023</t>
  </si>
  <si>
    <t>Phila Mabaso</t>
  </si>
  <si>
    <t>9803056606088</t>
  </si>
  <si>
    <t>E1380</t>
  </si>
  <si>
    <t>17/05/2017</t>
  </si>
  <si>
    <t>Boitumelo Tshabalala</t>
  </si>
  <si>
    <t>8809030917088</t>
  </si>
  <si>
    <t>E1381</t>
  </si>
  <si>
    <t>26/07/2016</t>
  </si>
  <si>
    <t>8906214276081</t>
  </si>
  <si>
    <t>E1382</t>
  </si>
  <si>
    <t>13/11/2017</t>
  </si>
  <si>
    <t>9406057343089</t>
  </si>
  <si>
    <t>E1383</t>
  </si>
  <si>
    <t>07/10/2015</t>
  </si>
  <si>
    <t>Phila Sibeko</t>
  </si>
  <si>
    <t>8908279835082</t>
  </si>
  <si>
    <t>E1384</t>
  </si>
  <si>
    <t>Thandeka Dlamini</t>
  </si>
  <si>
    <t>9610044150081</t>
  </si>
  <si>
    <t>E1385</t>
  </si>
  <si>
    <t>22/09/2020</t>
  </si>
  <si>
    <t>Vusi Molefe</t>
  </si>
  <si>
    <t>9508137646082</t>
  </si>
  <si>
    <t>E1386</t>
  </si>
  <si>
    <t>16/04/2020</t>
  </si>
  <si>
    <t>Nkosana Molefe</t>
  </si>
  <si>
    <t>9803279432080</t>
  </si>
  <si>
    <t>E1387</t>
  </si>
  <si>
    <t>04/02/2022</t>
  </si>
  <si>
    <t>Busisiwe Dlamini</t>
  </si>
  <si>
    <t>9803132686088</t>
  </si>
  <si>
    <t>E1388</t>
  </si>
  <si>
    <t>05/05/2016</t>
  </si>
  <si>
    <t>Zinhle Radebe</t>
  </si>
  <si>
    <t>9005191754084</t>
  </si>
  <si>
    <t>E1389</t>
  </si>
  <si>
    <t>10/03/2021</t>
  </si>
  <si>
    <t>9810201202085</t>
  </si>
  <si>
    <t>E1390</t>
  </si>
  <si>
    <t>Lungelo Tshabalala</t>
  </si>
  <si>
    <t>8112069565088</t>
  </si>
  <si>
    <t>E1391</t>
  </si>
  <si>
    <t>24/08/2016</t>
  </si>
  <si>
    <t>Reshma Govender</t>
  </si>
  <si>
    <t>9112200431082</t>
  </si>
  <si>
    <t>E1392</t>
  </si>
  <si>
    <t>24/04/2014</t>
  </si>
  <si>
    <t>Phumzile Maluleke</t>
  </si>
  <si>
    <t>7804224225084</t>
  </si>
  <si>
    <t>E1393</t>
  </si>
  <si>
    <t>10/09/2016</t>
  </si>
  <si>
    <t>Ayanda Ndlovu</t>
  </si>
  <si>
    <t>7102284703086</t>
  </si>
  <si>
    <t>E1394</t>
  </si>
  <si>
    <t>29/01/2015</t>
  </si>
  <si>
    <t>7707161394088</t>
  </si>
  <si>
    <t>E1395</t>
  </si>
  <si>
    <t>07/03/2012</t>
  </si>
  <si>
    <t>Andile Ndlovu</t>
  </si>
  <si>
    <t>8404116210085</t>
  </si>
  <si>
    <t>E1396</t>
  </si>
  <si>
    <t>31/10/2020</t>
  </si>
  <si>
    <t>7704202270088</t>
  </si>
  <si>
    <t>E1397</t>
  </si>
  <si>
    <t>17/11/2019</t>
  </si>
  <si>
    <t>Bongani Ndlovu</t>
  </si>
  <si>
    <t>9608286684080</t>
  </si>
  <si>
    <t>E1398</t>
  </si>
  <si>
    <t>09/11/2013</t>
  </si>
  <si>
    <t>7506051922085</t>
  </si>
  <si>
    <t>E1399</t>
  </si>
  <si>
    <t>08/01/2012</t>
  </si>
  <si>
    <t>Ashwin Fortuin</t>
  </si>
  <si>
    <t>7902045129087</t>
  </si>
  <si>
    <t>E1400</t>
  </si>
  <si>
    <t>14/07/2020</t>
  </si>
  <si>
    <t>8704050284081</t>
  </si>
  <si>
    <t>E1401</t>
  </si>
  <si>
    <t>03/04/2025</t>
  </si>
  <si>
    <t>7203097606084</t>
  </si>
  <si>
    <t>E1402</t>
  </si>
  <si>
    <t>06/05/2013</t>
  </si>
  <si>
    <t>Karien Steyn</t>
  </si>
  <si>
    <t>9609173950089</t>
  </si>
  <si>
    <t>E1403</t>
  </si>
  <si>
    <t>18/05/2013</t>
  </si>
  <si>
    <t>Kagiso Mbatha</t>
  </si>
  <si>
    <t>8105288238081</t>
  </si>
  <si>
    <t>E1404</t>
  </si>
  <si>
    <t>14/12/2011</t>
  </si>
  <si>
    <t>9011096070089</t>
  </si>
  <si>
    <t>E1405</t>
  </si>
  <si>
    <t>17/09/2012</t>
  </si>
  <si>
    <t>Refilwe Mbatha</t>
  </si>
  <si>
    <t>9506270048082</t>
  </si>
  <si>
    <t>E1406</t>
  </si>
  <si>
    <t>26/07/2024</t>
  </si>
  <si>
    <t>8801184397084</t>
  </si>
  <si>
    <t>E1407</t>
  </si>
  <si>
    <t>20/10/2018</t>
  </si>
  <si>
    <t>Nokuthula Khumalo</t>
  </si>
  <si>
    <t>7410200721086</t>
  </si>
  <si>
    <t>E1408</t>
  </si>
  <si>
    <t>13/02/2023</t>
  </si>
  <si>
    <t>Sindiswa Mthembu</t>
  </si>
  <si>
    <t>8106054795080</t>
  </si>
  <si>
    <t>E1409</t>
  </si>
  <si>
    <t>16/07/2021</t>
  </si>
  <si>
    <t>Nkosana Mokoena</t>
  </si>
  <si>
    <t>9201189167088</t>
  </si>
  <si>
    <t>E1410</t>
  </si>
  <si>
    <t>24/06/2012</t>
  </si>
  <si>
    <t>7901226233080</t>
  </si>
  <si>
    <t>E1411</t>
  </si>
  <si>
    <t>19/11/2017</t>
  </si>
  <si>
    <t>Reshma Naicker</t>
  </si>
  <si>
    <t>8112101529084</t>
  </si>
  <si>
    <t>E1412</t>
  </si>
  <si>
    <t>07/07/2013</t>
  </si>
  <si>
    <t>Logan Naicker</t>
  </si>
  <si>
    <t>6907219354081</t>
  </si>
  <si>
    <t>E1413</t>
  </si>
  <si>
    <t>15/01/2021</t>
  </si>
  <si>
    <t>Refilwe Khoza</t>
  </si>
  <si>
    <t>7409063271080</t>
  </si>
  <si>
    <t>E1414</t>
  </si>
  <si>
    <t>23/10/2013</t>
  </si>
  <si>
    <t>Thabo Khoza</t>
  </si>
  <si>
    <t>8701145298084</t>
  </si>
  <si>
    <t>E1415</t>
  </si>
  <si>
    <t>17/01/2025</t>
  </si>
  <si>
    <t>Naledi Sibeko</t>
  </si>
  <si>
    <t>Unskilled</t>
  </si>
  <si>
    <t>8608230945083</t>
  </si>
  <si>
    <t>E1416</t>
  </si>
  <si>
    <t>Thabo Radebe</t>
  </si>
  <si>
    <t>7711075647086</t>
  </si>
  <si>
    <t>E1417</t>
  </si>
  <si>
    <t>23/07/2017</t>
  </si>
  <si>
    <t>Kagiso Maluleke</t>
  </si>
  <si>
    <t>9211158852081</t>
  </si>
  <si>
    <t>E1418</t>
  </si>
  <si>
    <t>18/11/2014</t>
  </si>
  <si>
    <t>Werner Nel</t>
  </si>
  <si>
    <t>8011266415081</t>
  </si>
  <si>
    <t>E1419</t>
  </si>
  <si>
    <t>27/07/2016</t>
  </si>
  <si>
    <t>Zanele Mokoena</t>
  </si>
  <si>
    <t>8705220342089</t>
  </si>
  <si>
    <t>E1420</t>
  </si>
  <si>
    <t>13/03/2019</t>
  </si>
  <si>
    <t>0112150964081</t>
  </si>
  <si>
    <t>E1421</t>
  </si>
  <si>
    <t>30/06/2020</t>
  </si>
  <si>
    <t>Tumelo Maluleke</t>
  </si>
  <si>
    <t>8102157099082</t>
  </si>
  <si>
    <t>E1422</t>
  </si>
  <si>
    <t>23/08/2017</t>
  </si>
  <si>
    <t>Gift Maluleke</t>
  </si>
  <si>
    <t>8901239106082</t>
  </si>
  <si>
    <t>E1423</t>
  </si>
  <si>
    <t>14/02/2024</t>
  </si>
  <si>
    <t>Nadia Moodley</t>
  </si>
  <si>
    <t>9502041326089</t>
  </si>
  <si>
    <t>E1424</t>
  </si>
  <si>
    <t>20/10/2022</t>
  </si>
  <si>
    <t>Bheki Zulu</t>
  </si>
  <si>
    <t>9409045572082</t>
  </si>
  <si>
    <t>E1425</t>
  </si>
  <si>
    <t>27/01/2018</t>
  </si>
  <si>
    <t>0008121209087</t>
  </si>
  <si>
    <t>E1426</t>
  </si>
  <si>
    <t>25/06/2019</t>
  </si>
  <si>
    <t>Lindiwe Dlamini</t>
  </si>
  <si>
    <t>7304182309087</t>
  </si>
  <si>
    <t>E1427</t>
  </si>
  <si>
    <t>26/05/2013</t>
  </si>
  <si>
    <t>Chad Fortuin</t>
  </si>
  <si>
    <t>8212167516080</t>
  </si>
  <si>
    <t>E1428</t>
  </si>
  <si>
    <t>11/10/2013</t>
  </si>
  <si>
    <t>Dimakatso Mokoena</t>
  </si>
  <si>
    <t>7402151577088</t>
  </si>
  <si>
    <t>E1429</t>
  </si>
  <si>
    <t>24/10/2020</t>
  </si>
  <si>
    <t>Bianca Petersen</t>
  </si>
  <si>
    <t>8908282221080</t>
  </si>
  <si>
    <t>E1430</t>
  </si>
  <si>
    <t>16/05/2017</t>
  </si>
  <si>
    <t>Refilwe Zulu</t>
  </si>
  <si>
    <t>8703104895082</t>
  </si>
  <si>
    <t>E1431</t>
  </si>
  <si>
    <t>30/04/2012</t>
  </si>
  <si>
    <t>9002025451086</t>
  </si>
  <si>
    <t>E1432</t>
  </si>
  <si>
    <t>9609217583086</t>
  </si>
  <si>
    <t>E1433</t>
  </si>
  <si>
    <t>10/08/2017</t>
  </si>
  <si>
    <t>9212121998084</t>
  </si>
  <si>
    <t>E1434</t>
  </si>
  <si>
    <t>05/02/2015</t>
  </si>
  <si>
    <t>Sibusiso Maluleke</t>
  </si>
  <si>
    <t>8210287552084</t>
  </si>
  <si>
    <t>E1435</t>
  </si>
  <si>
    <t>10/04/2017</t>
  </si>
  <si>
    <t>Gavin Adams</t>
  </si>
  <si>
    <t>8010088979084</t>
  </si>
  <si>
    <t>E1436</t>
  </si>
  <si>
    <t>01/01/2021</t>
  </si>
  <si>
    <t>Bheki Mahlangu</t>
  </si>
  <si>
    <t>8909089304087</t>
  </si>
  <si>
    <t>E1437</t>
  </si>
  <si>
    <t>Nonhlanhla Mbatha</t>
  </si>
  <si>
    <t>7511010888088</t>
  </si>
  <si>
    <t>E1438</t>
  </si>
  <si>
    <t>19/12/2011</t>
  </si>
  <si>
    <t>7012013575087</t>
  </si>
  <si>
    <t>E1439</t>
  </si>
  <si>
    <t>25/07/2017</t>
  </si>
  <si>
    <t>Bongani Mbatha</t>
  </si>
  <si>
    <t>9310238131084</t>
  </si>
  <si>
    <t>E1440</t>
  </si>
  <si>
    <t>24/01/2019</t>
  </si>
  <si>
    <t>Dimakatso Maseko</t>
  </si>
  <si>
    <t>7004171582088</t>
  </si>
  <si>
    <t>E1441</t>
  </si>
  <si>
    <t>04/06/2021</t>
  </si>
  <si>
    <t>Lehlohonolo Ndlovu</t>
  </si>
  <si>
    <t>8612167048085</t>
  </si>
  <si>
    <t>E1442</t>
  </si>
  <si>
    <t>23/01/2020</t>
  </si>
  <si>
    <t>Nokuthula Mbatha</t>
  </si>
  <si>
    <t>8212160483080</t>
  </si>
  <si>
    <t>E1443</t>
  </si>
  <si>
    <t>06/07/2016</t>
  </si>
  <si>
    <t>Desiree Fortuin</t>
  </si>
  <si>
    <t>0107284575084</t>
  </si>
  <si>
    <t>E1444</t>
  </si>
  <si>
    <t>27/08/2023</t>
  </si>
  <si>
    <t>9701106838083</t>
  </si>
  <si>
    <t>E1445</t>
  </si>
  <si>
    <t>20/11/2022</t>
  </si>
  <si>
    <t>6810110877087</t>
  </si>
  <si>
    <t>E1446</t>
  </si>
  <si>
    <t>13/10/2013</t>
  </si>
  <si>
    <t>7208269993087</t>
  </si>
  <si>
    <t>E1447</t>
  </si>
  <si>
    <t>30/07/2017</t>
  </si>
  <si>
    <t>Candice September</t>
  </si>
  <si>
    <t>8607160374082</t>
  </si>
  <si>
    <t>E1448</t>
  </si>
  <si>
    <t>12/08/2014</t>
  </si>
  <si>
    <t>Palesa Nkosi</t>
  </si>
  <si>
    <t>7611182044088</t>
  </si>
  <si>
    <t>E1449</t>
  </si>
  <si>
    <t>Precious Tshabalala</t>
  </si>
  <si>
    <t>9202053158088</t>
  </si>
  <si>
    <t>E1450</t>
  </si>
  <si>
    <t>23/11/2012</t>
  </si>
  <si>
    <t>Tshepo Nkosi</t>
  </si>
  <si>
    <t>8407197566085</t>
  </si>
  <si>
    <t>E1451</t>
  </si>
  <si>
    <t>02/05/2024</t>
  </si>
  <si>
    <t>6711136348089</t>
  </si>
  <si>
    <t>E1452</t>
  </si>
  <si>
    <t>25/01/2021</t>
  </si>
  <si>
    <t>Khanyisile Tshabalala</t>
  </si>
  <si>
    <t>7012041212083</t>
  </si>
  <si>
    <t>E1453</t>
  </si>
  <si>
    <t>05/12/2017</t>
  </si>
  <si>
    <t>Nosipho Sithole</t>
  </si>
  <si>
    <t>8107140621082</t>
  </si>
  <si>
    <t>E1454</t>
  </si>
  <si>
    <t>22/02/2017</t>
  </si>
  <si>
    <t>9111159005087</t>
  </si>
  <si>
    <t>E1455</t>
  </si>
  <si>
    <t>06/02/2013</t>
  </si>
  <si>
    <t>Sibusiso Maseko</t>
  </si>
  <si>
    <t>0112187940088</t>
  </si>
  <si>
    <t>E1456</t>
  </si>
  <si>
    <t>05/01/2021</t>
  </si>
  <si>
    <t>Nkosana Ngcobo</t>
  </si>
  <si>
    <t>8801275972084</t>
  </si>
  <si>
    <t>E1457</t>
  </si>
  <si>
    <t>23/04/2021</t>
  </si>
  <si>
    <t>Kagiso Mabaso</t>
  </si>
  <si>
    <t>8408259655089</t>
  </si>
  <si>
    <t>E1458</t>
  </si>
  <si>
    <t>16/05/2019</t>
  </si>
  <si>
    <t>9805130044087</t>
  </si>
  <si>
    <t>E1459</t>
  </si>
  <si>
    <t>25/08/2013</t>
  </si>
  <si>
    <t>Phumzile Maseko</t>
  </si>
  <si>
    <t>8509113630083</t>
  </si>
  <si>
    <t>E1460</t>
  </si>
  <si>
    <t>20/12/2015</t>
  </si>
  <si>
    <t>Stefan Steyn</t>
  </si>
  <si>
    <t>9301156708086</t>
  </si>
  <si>
    <t>E1461</t>
  </si>
  <si>
    <t>03/09/2012</t>
  </si>
  <si>
    <t>Katlego Ndlovu</t>
  </si>
  <si>
    <t>9112169373085</t>
  </si>
  <si>
    <t>E1462</t>
  </si>
  <si>
    <t>27/09/2013</t>
  </si>
  <si>
    <t>Mpho Dlamini</t>
  </si>
  <si>
    <t>7112046196081</t>
  </si>
  <si>
    <t>E1463</t>
  </si>
  <si>
    <t>27/08/2013</t>
  </si>
  <si>
    <t>8706259711087</t>
  </si>
  <si>
    <t>E1464</t>
  </si>
  <si>
    <t>20/04/2017</t>
  </si>
  <si>
    <t>Lehlohonolo Khoza</t>
  </si>
  <si>
    <t>8004029952086</t>
  </si>
  <si>
    <t>E1465</t>
  </si>
  <si>
    <t>23/07/2012</t>
  </si>
  <si>
    <t>9703038637088</t>
  </si>
  <si>
    <t>E1466</t>
  </si>
  <si>
    <t>25/11/2012</t>
  </si>
  <si>
    <t>Desiree Adams</t>
  </si>
  <si>
    <t>8902283448081</t>
  </si>
  <si>
    <t>E1467</t>
  </si>
  <si>
    <t>06/11/2017</t>
  </si>
  <si>
    <t>7501270369085</t>
  </si>
  <si>
    <t>E1468</t>
  </si>
  <si>
    <t>28/12/2022</t>
  </si>
  <si>
    <t>9910015893085</t>
  </si>
  <si>
    <t>E1469</t>
  </si>
  <si>
    <t>14/10/2021</t>
  </si>
  <si>
    <t>Zinhle Tshabalala</t>
  </si>
  <si>
    <t>8204023027089</t>
  </si>
  <si>
    <t>E1470</t>
  </si>
  <si>
    <t>20/08/2022</t>
  </si>
  <si>
    <t>8601206701085</t>
  </si>
  <si>
    <t>E1471</t>
  </si>
  <si>
    <t>22/03/2022</t>
  </si>
  <si>
    <t>Sandile Nkosi</t>
  </si>
  <si>
    <t>0004118259086</t>
  </si>
  <si>
    <t>E1472</t>
  </si>
  <si>
    <t>26/07/2013</t>
  </si>
  <si>
    <t>8907103810089</t>
  </si>
  <si>
    <t>E1473</t>
  </si>
  <si>
    <t>25/01/2016</t>
  </si>
  <si>
    <t>Byron Arendse</t>
  </si>
  <si>
    <t>8011217552081</t>
  </si>
  <si>
    <t>E1474</t>
  </si>
  <si>
    <t>Marlene Fourie</t>
  </si>
  <si>
    <t>7607210046087</t>
  </si>
  <si>
    <t>E1475</t>
  </si>
  <si>
    <t>03/02/2024</t>
  </si>
  <si>
    <t>Nadia Govender</t>
  </si>
  <si>
    <t>7902200828085</t>
  </si>
  <si>
    <t>E1476</t>
  </si>
  <si>
    <t>18/04/2016</t>
  </si>
  <si>
    <t>Retha Du Plessis</t>
  </si>
  <si>
    <t>8410143716085</t>
  </si>
  <si>
    <t>E1477</t>
  </si>
  <si>
    <t>07/11/2011</t>
  </si>
  <si>
    <t>Ayanda Nkosi</t>
  </si>
  <si>
    <t>9702100087081</t>
  </si>
  <si>
    <t>E1478</t>
  </si>
  <si>
    <t>11/09/2014</t>
  </si>
  <si>
    <t>9607169359083</t>
  </si>
  <si>
    <t>E1479</t>
  </si>
  <si>
    <t>02/01/2018</t>
  </si>
  <si>
    <t>Tumelo Mbatha</t>
  </si>
  <si>
    <t>8202159866080</t>
  </si>
  <si>
    <t>E1480</t>
  </si>
  <si>
    <t>08/08/2023</t>
  </si>
  <si>
    <t>Dineo Nkosi</t>
  </si>
  <si>
    <t>9610020930084</t>
  </si>
  <si>
    <t>E1481</t>
  </si>
  <si>
    <t>17/07/2013</t>
  </si>
  <si>
    <t>Naledi Mahlangu</t>
  </si>
  <si>
    <t>7107063694083</t>
  </si>
  <si>
    <t>E1482</t>
  </si>
  <si>
    <t>31/01/2024</t>
  </si>
  <si>
    <t>9012112788084</t>
  </si>
  <si>
    <t>E1483</t>
  </si>
  <si>
    <t>6711250675085</t>
  </si>
  <si>
    <t>E1484</t>
  </si>
  <si>
    <t>03/06/2017</t>
  </si>
  <si>
    <t>Devon Arendse</t>
  </si>
  <si>
    <t>7012026202083</t>
  </si>
  <si>
    <t>E1485</t>
  </si>
  <si>
    <t>17/09/2022</t>
  </si>
  <si>
    <t>Roxanne Petersen</t>
  </si>
  <si>
    <t>6710012330088</t>
  </si>
  <si>
    <t>E1486</t>
  </si>
  <si>
    <t>18/01/2016</t>
  </si>
  <si>
    <t>Tarryn Fortuin</t>
  </si>
  <si>
    <t>7702220137081</t>
  </si>
  <si>
    <t>E1487</t>
  </si>
  <si>
    <t>13/09/2020</t>
  </si>
  <si>
    <t>Vusi Ndlovu</t>
  </si>
  <si>
    <t>9806196085089</t>
  </si>
  <si>
    <t>E1488</t>
  </si>
  <si>
    <t>22/05/2024</t>
  </si>
  <si>
    <t>Lehlohonolo Buthelezi</t>
  </si>
  <si>
    <t>8001128527082</t>
  </si>
  <si>
    <t>E1489</t>
  </si>
  <si>
    <t>18/02/2015</t>
  </si>
  <si>
    <t>Mmabatho Radebe</t>
  </si>
  <si>
    <t>9105024175083</t>
  </si>
  <si>
    <t>E1490</t>
  </si>
  <si>
    <t>22/05/2016</t>
  </si>
  <si>
    <t>7902251003083</t>
  </si>
  <si>
    <t>E1491</t>
  </si>
  <si>
    <t>30/11/2023</t>
  </si>
  <si>
    <t>Gavin September</t>
  </si>
  <si>
    <t>7807159391086</t>
  </si>
  <si>
    <t>E1492</t>
  </si>
  <si>
    <t>Tumelo Buthelezi</t>
  </si>
  <si>
    <t>8101155236084</t>
  </si>
  <si>
    <t>E1493</t>
  </si>
  <si>
    <t>31/12/2016</t>
  </si>
  <si>
    <t>Hlengiwe Mahlangu</t>
  </si>
  <si>
    <t>9404084636088</t>
  </si>
  <si>
    <t>E1494</t>
  </si>
  <si>
    <t>12/04/2024</t>
  </si>
  <si>
    <t>Nokuthula Tshabalala</t>
  </si>
  <si>
    <t>8202172129086</t>
  </si>
  <si>
    <t>E1495</t>
  </si>
  <si>
    <t>21/08/2022</t>
  </si>
  <si>
    <t>Khanyisile Khoza</t>
  </si>
  <si>
    <t>6912173839085</t>
  </si>
  <si>
    <t>E1496</t>
  </si>
  <si>
    <t>17/03/2019</t>
  </si>
  <si>
    <t>Nkosana Sibeko</t>
  </si>
  <si>
    <t>8709255114082</t>
  </si>
  <si>
    <t>E1497</t>
  </si>
  <si>
    <t>21/05/2015</t>
  </si>
  <si>
    <t>Precious Nkosi</t>
  </si>
  <si>
    <t>0104183161082</t>
  </si>
  <si>
    <t>E1498</t>
  </si>
  <si>
    <t>02/01/2024</t>
  </si>
  <si>
    <t>6703041905087</t>
  </si>
  <si>
    <t>E1499</t>
  </si>
  <si>
    <t>02/12/2022</t>
  </si>
  <si>
    <t>9004020987080</t>
  </si>
  <si>
    <t>E1500</t>
  </si>
  <si>
    <t>25/03/2018</t>
  </si>
  <si>
    <t>Skills Development</t>
  </si>
  <si>
    <t>Training Program Name *</t>
  </si>
  <si>
    <t>Category *</t>
  </si>
  <si>
    <t>Training Provider</t>
  </si>
  <si>
    <t>Province</t>
  </si>
  <si>
    <t>Municipality</t>
  </si>
  <si>
    <t>Learner Name *</t>
  </si>
  <si>
    <t>Age</t>
  </si>
  <si>
    <t>Employed?</t>
  </si>
  <si>
    <t>Completed?</t>
  </si>
  <si>
    <t>Absorbed?</t>
  </si>
  <si>
    <t>Course Cost</t>
  </si>
  <si>
    <t>Travel Cost</t>
  </si>
  <si>
    <t>Accommodation Cost</t>
  </si>
  <si>
    <t>Catering Cost</t>
  </si>
  <si>
    <t>Stationery Cost</t>
  </si>
  <si>
    <t>Training Facility Cost</t>
  </si>
  <si>
    <t>Salary Cost (category B,C,D only)</t>
  </si>
  <si>
    <t>Other Costs</t>
  </si>
  <si>
    <t>Start Date (format: dd/mm/yyyy)</t>
  </si>
  <si>
    <t>End Date (format: dd/mm/yyyy)</t>
  </si>
  <si>
    <t>Custom Data</t>
  </si>
  <si>
    <t>Man hours</t>
  </si>
  <si>
    <t>Location</t>
  </si>
  <si>
    <t>Business Unit</t>
  </si>
  <si>
    <t>Generic Management Learnership</t>
  </si>
  <si>
    <t>C</t>
  </si>
  <si>
    <t>Okiru Skills Academy</t>
  </si>
  <si>
    <t>Free State</t>
  </si>
  <si>
    <t>Free State Metro</t>
  </si>
  <si>
    <t>Andile Sibeko</t>
  </si>
  <si>
    <t>7203269994086</t>
  </si>
  <si>
    <t>15/01/2025</t>
  </si>
  <si>
    <t>30/11/2025</t>
  </si>
  <si>
    <t>Operations</t>
  </si>
  <si>
    <t>Informal Mentorship</t>
  </si>
  <si>
    <t>G</t>
  </si>
  <si>
    <t>Limpopo</t>
  </si>
  <si>
    <t>Limpopo Metro</t>
  </si>
  <si>
    <t>Nomvula Mabaso</t>
  </si>
  <si>
    <t>9306142536087</t>
  </si>
  <si>
    <t>On-the-job Coaching</t>
  </si>
  <si>
    <t>E</t>
  </si>
  <si>
    <t>Gauteng</t>
  </si>
  <si>
    <t>Gauteng Metro</t>
  </si>
  <si>
    <t>Hlengiwe Maluleke</t>
  </si>
  <si>
    <t>7802210295087</t>
  </si>
  <si>
    <t>Workplace Skills Programme</t>
  </si>
  <si>
    <t>D</t>
  </si>
  <si>
    <t>Lucky Maluleke</t>
  </si>
  <si>
    <t>0507117908081</t>
  </si>
  <si>
    <t>Leadership Bursary Programme</t>
  </si>
  <si>
    <t>A</t>
  </si>
  <si>
    <t>Kwazulu-Natal</t>
  </si>
  <si>
    <t>Kwazulu-Natal Metro</t>
  </si>
  <si>
    <t>Phumzile Ndlovu</t>
  </si>
  <si>
    <t>7110044031086</t>
  </si>
  <si>
    <t>Western Cape</t>
  </si>
  <si>
    <t>Western Cape Metro</t>
  </si>
  <si>
    <t>7607276100083</t>
  </si>
  <si>
    <t>9507013006080</t>
  </si>
  <si>
    <t>Health &amp; Safety Induction</t>
  </si>
  <si>
    <t>F</t>
  </si>
  <si>
    <t>Deshen Singh</t>
  </si>
  <si>
    <t>7810026901087</t>
  </si>
  <si>
    <t>NQF5 Business Admin</t>
  </si>
  <si>
    <t>B</t>
  </si>
  <si>
    <t>Eastern Cape</t>
  </si>
  <si>
    <t>Eastern Cape Metro</t>
  </si>
  <si>
    <t>Phumzile Radebe</t>
  </si>
  <si>
    <t>9702244087088</t>
  </si>
  <si>
    <t>Tshepo Khoza</t>
  </si>
  <si>
    <t>8706138969088</t>
  </si>
  <si>
    <t>Lindiwe Radebe</t>
  </si>
  <si>
    <t>7911141119082</t>
  </si>
  <si>
    <t>Tumelo Mthembu</t>
  </si>
  <si>
    <t>8510187340088</t>
  </si>
  <si>
    <t>Carike Nel</t>
  </si>
  <si>
    <t>7507153173080</t>
  </si>
  <si>
    <t>Michelle Booysen</t>
  </si>
  <si>
    <t>0306012176088</t>
  </si>
  <si>
    <t>8605242267084</t>
  </si>
  <si>
    <t>Northern Cape</t>
  </si>
  <si>
    <t>Northern Cape Metro</t>
  </si>
  <si>
    <t>Lerato Mthembu</t>
  </si>
  <si>
    <t>8707281749087</t>
  </si>
  <si>
    <t>Sanjay Govender</t>
  </si>
  <si>
    <t>7512067628088</t>
  </si>
  <si>
    <t>7308234082089</t>
  </si>
  <si>
    <t>Lehlohonolo Dlamini</t>
  </si>
  <si>
    <t>7208045970086</t>
  </si>
  <si>
    <t>Gift Khoza</t>
  </si>
  <si>
    <t>9902138725088</t>
  </si>
  <si>
    <t>Byron Petersen</t>
  </si>
  <si>
    <t>7705287728080</t>
  </si>
  <si>
    <t>9907282921086</t>
  </si>
  <si>
    <t>Bongani Nkosi</t>
  </si>
  <si>
    <t>8412197157083</t>
  </si>
  <si>
    <t>Bernard Fourie</t>
  </si>
  <si>
    <t>8605045038088</t>
  </si>
  <si>
    <t>Gavin Hendricks</t>
  </si>
  <si>
    <t>8109196572086</t>
  </si>
  <si>
    <t>9511127481080</t>
  </si>
  <si>
    <t>Zanele Mthembu</t>
  </si>
  <si>
    <t>6702134605083</t>
  </si>
  <si>
    <t>Lehlohonolo Maluleke</t>
  </si>
  <si>
    <t>8003069694087</t>
  </si>
  <si>
    <t>North West</t>
  </si>
  <si>
    <t>North West Metro</t>
  </si>
  <si>
    <t>Sipho Ndlovu</t>
  </si>
  <si>
    <t>9702225274085</t>
  </si>
  <si>
    <t>7906127328087</t>
  </si>
  <si>
    <t>Thabo Ngcobo</t>
  </si>
  <si>
    <t>7809186955081</t>
  </si>
  <si>
    <t>Sipho Sibeko</t>
  </si>
  <si>
    <t>9610219887087</t>
  </si>
  <si>
    <t>Mpumalanga</t>
  </si>
  <si>
    <t>Mpumalanga Metro</t>
  </si>
  <si>
    <t>7012111895080</t>
  </si>
  <si>
    <t>Pravin Padayachee</t>
  </si>
  <si>
    <t>8402237527080</t>
  </si>
  <si>
    <t>Tumelo Mokoena</t>
  </si>
  <si>
    <t>7104146585081</t>
  </si>
  <si>
    <t>Nokuthula Zulu</t>
  </si>
  <si>
    <t>0001072006081</t>
  </si>
  <si>
    <t>Lindiwe Mbatha</t>
  </si>
  <si>
    <t>8107012794082</t>
  </si>
  <si>
    <t>8602108455085</t>
  </si>
  <si>
    <t>Sipho Sithole</t>
  </si>
  <si>
    <t>9209166384089</t>
  </si>
  <si>
    <t>Sandile Sibeko</t>
  </si>
  <si>
    <t>8303035551084</t>
  </si>
  <si>
    <t>9705128136087</t>
  </si>
  <si>
    <t>Boitumelo Mbatha</t>
  </si>
  <si>
    <t>9408133138087</t>
  </si>
  <si>
    <t>Retha Steyn</t>
  </si>
  <si>
    <t>7509022369089</t>
  </si>
  <si>
    <t>Ilse Nel</t>
  </si>
  <si>
    <t>0005043685089</t>
  </si>
  <si>
    <t>Mmabatho Zulu</t>
  </si>
  <si>
    <t>9501120133085</t>
  </si>
  <si>
    <t>Lwazi Khoza</t>
  </si>
  <si>
    <t>8912079595086</t>
  </si>
  <si>
    <t>Phumzile Ngcobo</t>
  </si>
  <si>
    <t>8303183255082</t>
  </si>
  <si>
    <t>Ntombi Mthembu</t>
  </si>
  <si>
    <t>6905154145084</t>
  </si>
  <si>
    <t>Katlego Mthembu</t>
  </si>
  <si>
    <t>9910099826084</t>
  </si>
  <si>
    <t>Ayanda Khumalo</t>
  </si>
  <si>
    <t>7901282173089</t>
  </si>
  <si>
    <t>Marius Botha</t>
  </si>
  <si>
    <t>9301106706081</t>
  </si>
  <si>
    <t>Avesh Chetty</t>
  </si>
  <si>
    <t>9101108085082</t>
  </si>
  <si>
    <t>Tshepo Sibeko</t>
  </si>
  <si>
    <t>9407096013089</t>
  </si>
  <si>
    <t>Palesa Khoza</t>
  </si>
  <si>
    <t>9310121554087</t>
  </si>
  <si>
    <t>Lerato Radebe</t>
  </si>
  <si>
    <t>7907112497085</t>
  </si>
  <si>
    <t>Tshepo Maluleke</t>
  </si>
  <si>
    <t>8008147663087</t>
  </si>
  <si>
    <t>Precious Khumalo</t>
  </si>
  <si>
    <t>8205182717089</t>
  </si>
  <si>
    <t>Boitumelo Ndlovu</t>
  </si>
  <si>
    <t>0002081638088</t>
  </si>
  <si>
    <t>Ashwin Williams</t>
  </si>
  <si>
    <t>8209147537087</t>
  </si>
  <si>
    <t>7502033759083</t>
  </si>
  <si>
    <t>7909136368086</t>
  </si>
  <si>
    <t>0205181041083</t>
  </si>
  <si>
    <t>9505064268088</t>
  </si>
  <si>
    <t>Nkosana Mthembu</t>
  </si>
  <si>
    <t>9602235293085</t>
  </si>
  <si>
    <t>Oupa Maseko</t>
  </si>
  <si>
    <t>0611096561083</t>
  </si>
  <si>
    <t>Hlengiwe Mbatha</t>
  </si>
  <si>
    <t>9503143847089</t>
  </si>
  <si>
    <t>Khanyisile Mabaso</t>
  </si>
  <si>
    <t>8810053316083</t>
  </si>
  <si>
    <t>Lize Du Plessis</t>
  </si>
  <si>
    <t>9405121437083</t>
  </si>
  <si>
    <t>Lucky Buthelezi</t>
  </si>
  <si>
    <t>7104175313082</t>
  </si>
  <si>
    <t>Vusi Tshabalala</t>
  </si>
  <si>
    <t>7502217897089</t>
  </si>
  <si>
    <t>Dineo Dlamini</t>
  </si>
  <si>
    <t>7608151492082</t>
  </si>
  <si>
    <t>8511199920081</t>
  </si>
  <si>
    <t>7308066868084</t>
  </si>
  <si>
    <t>Mandla Ngcobo</t>
  </si>
  <si>
    <t>0002197174085</t>
  </si>
  <si>
    <t>Ntombi Dlamini</t>
  </si>
  <si>
    <t>9606200578081</t>
  </si>
  <si>
    <t>Lwazi Sithole</t>
  </si>
  <si>
    <t>0604115408089</t>
  </si>
  <si>
    <t>Marlene Steyn</t>
  </si>
  <si>
    <t>9103184981085</t>
  </si>
  <si>
    <t>Sindiswa Ndlovu</t>
  </si>
  <si>
    <t>9701140925086</t>
  </si>
  <si>
    <t>Mpho Mokoena</t>
  </si>
  <si>
    <t>0011188853086</t>
  </si>
  <si>
    <t>Devon Daniels</t>
  </si>
  <si>
    <t>9606268467086</t>
  </si>
  <si>
    <t>Bheki Mokoena</t>
  </si>
  <si>
    <t>9404129066085</t>
  </si>
  <si>
    <t>Naledi Maluleke</t>
  </si>
  <si>
    <t>7103072692085</t>
  </si>
  <si>
    <t>Thandeka Mokoena</t>
  </si>
  <si>
    <t>8506092885084</t>
  </si>
  <si>
    <t>Johan Van der Merwe</t>
  </si>
  <si>
    <t>0003169005083</t>
  </si>
  <si>
    <t>0302126493089</t>
  </si>
  <si>
    <t>9104079787082</t>
  </si>
  <si>
    <t>8607243418088</t>
  </si>
  <si>
    <t>Zinhle Khoza</t>
  </si>
  <si>
    <t>7301163943082</t>
  </si>
  <si>
    <t>9610286197089</t>
  </si>
  <si>
    <t>Hlengiwe Khoza</t>
  </si>
  <si>
    <t>7104272901086</t>
  </si>
  <si>
    <t>Vusi Buthelezi</t>
  </si>
  <si>
    <t>8010127545086</t>
  </si>
  <si>
    <t>Naledi Mabaso</t>
  </si>
  <si>
    <t>8009062061083</t>
  </si>
  <si>
    <t>Gift Buthelezi</t>
  </si>
  <si>
    <t>8004127623084</t>
  </si>
  <si>
    <t>Chad Adams</t>
  </si>
  <si>
    <t>0006107035088</t>
  </si>
  <si>
    <t>Sandile Dlamini</t>
  </si>
  <si>
    <t>9511259804083</t>
  </si>
  <si>
    <t>9406062373089</t>
  </si>
  <si>
    <t>Devon Adams</t>
  </si>
  <si>
    <t>8908146614082</t>
  </si>
  <si>
    <t>Zinhle Ngcobo</t>
  </si>
  <si>
    <t>9405063265088</t>
  </si>
  <si>
    <t>9010120273081</t>
  </si>
  <si>
    <t>7507251590086</t>
  </si>
  <si>
    <t>Lehlohonolo Mthembu</t>
  </si>
  <si>
    <t>8911236765087</t>
  </si>
  <si>
    <t>Naadir Singh</t>
  </si>
  <si>
    <t>9711268419085</t>
  </si>
  <si>
    <t>8501282023083</t>
  </si>
  <si>
    <t>Chantal Fortuin</t>
  </si>
  <si>
    <t>7809131490085</t>
  </si>
  <si>
    <t>Reshma Pillay</t>
  </si>
  <si>
    <t>7108034948087</t>
  </si>
  <si>
    <t>Phumzile Dlamini</t>
  </si>
  <si>
    <t>8605132291087</t>
  </si>
  <si>
    <t>Candice Daniels</t>
  </si>
  <si>
    <t>9907260808081</t>
  </si>
  <si>
    <t>Annelise Botha</t>
  </si>
  <si>
    <t>8501194680087</t>
  </si>
  <si>
    <t>Shereen Maharaj</t>
  </si>
  <si>
    <t>0102104160084</t>
  </si>
  <si>
    <t>Mandla Sithole</t>
  </si>
  <si>
    <t>7303249071086</t>
  </si>
  <si>
    <t>8710040498087</t>
  </si>
  <si>
    <t>Nosipho Mabaso</t>
  </si>
  <si>
    <t>7910200075086</t>
  </si>
  <si>
    <t>Themba Mbatha</t>
  </si>
  <si>
    <t>8101159052081</t>
  </si>
  <si>
    <t>Sandile Khoza</t>
  </si>
  <si>
    <t>8508117759088</t>
  </si>
  <si>
    <t>7603245024082</t>
  </si>
  <si>
    <t>Sandile Radebe</t>
  </si>
  <si>
    <t>8309275734082</t>
  </si>
  <si>
    <t>Nosipho Tshabalala</t>
  </si>
  <si>
    <t>9105091275089</t>
  </si>
  <si>
    <t>9703198287088</t>
  </si>
  <si>
    <t>Pravin Naicker</t>
  </si>
  <si>
    <t>7811235755082</t>
  </si>
  <si>
    <t>Mmabatho Buthelezi</t>
  </si>
  <si>
    <t>7506180373085</t>
  </si>
  <si>
    <t>Ilse Coetzee</t>
  </si>
  <si>
    <t>7808192976081</t>
  </si>
  <si>
    <t>Nonhlanhla Buthelezi</t>
  </si>
  <si>
    <t>9802204725089</t>
  </si>
  <si>
    <t>Themba Mokoena</t>
  </si>
  <si>
    <t>8504187017085</t>
  </si>
  <si>
    <t>Bheki Khoza</t>
  </si>
  <si>
    <t>9203088077087</t>
  </si>
  <si>
    <t>Pravin Govender</t>
  </si>
  <si>
    <t>7712057334081</t>
  </si>
  <si>
    <t>Kagiso Mahlangu</t>
  </si>
  <si>
    <t>7808029221081</t>
  </si>
  <si>
    <t>Chad Williams</t>
  </si>
  <si>
    <t>6911068699083</t>
  </si>
  <si>
    <t>0606171282084</t>
  </si>
  <si>
    <t>Suraj Pillay</t>
  </si>
  <si>
    <t>8801277615087</t>
  </si>
  <si>
    <t>Thandeka Sibeko</t>
  </si>
  <si>
    <t>9107243861089</t>
  </si>
  <si>
    <t>Precious Buthelezi</t>
  </si>
  <si>
    <t>9602281478085</t>
  </si>
  <si>
    <t>Lwazi Zulu</t>
  </si>
  <si>
    <t>9402166023084</t>
  </si>
  <si>
    <t>Musa Mabaso</t>
  </si>
  <si>
    <t>0607225612086</t>
  </si>
  <si>
    <t>Karabo Nkosi</t>
  </si>
  <si>
    <t>8605073747089</t>
  </si>
  <si>
    <t>9604047255088</t>
  </si>
  <si>
    <t>Zanele Buthelezi</t>
  </si>
  <si>
    <t>8402093759082</t>
  </si>
  <si>
    <t>Bianca Jacobs</t>
  </si>
  <si>
    <t>9605210005085</t>
  </si>
  <si>
    <t>9502070607086</t>
  </si>
  <si>
    <t>7004099228087</t>
  </si>
  <si>
    <t>7104100216087</t>
  </si>
  <si>
    <t>7505212875083</t>
  </si>
  <si>
    <t>9003077924087</t>
  </si>
  <si>
    <t>Lehlohonolo Mokoena</t>
  </si>
  <si>
    <t>6708147860086</t>
  </si>
  <si>
    <t>Gift Tshabalala</t>
  </si>
  <si>
    <t>9608279001086</t>
  </si>
  <si>
    <t>8703033964082</t>
  </si>
  <si>
    <t>Kagiso Mthembu</t>
  </si>
  <si>
    <t>9608246593082</t>
  </si>
  <si>
    <t>Nosipho Maluleke</t>
  </si>
  <si>
    <t>6907254125081</t>
  </si>
  <si>
    <t>9811061319084</t>
  </si>
  <si>
    <t>Thandeka Khumalo</t>
  </si>
  <si>
    <t>8810270906088</t>
  </si>
  <si>
    <t>Vusi Maluleke</t>
  </si>
  <si>
    <t>7007288625088</t>
  </si>
  <si>
    <t>9606127315088</t>
  </si>
  <si>
    <t>Khaya Dlamini</t>
  </si>
  <si>
    <t>6707198943080</t>
  </si>
  <si>
    <t>Tshepo Maseko</t>
  </si>
  <si>
    <t>7807038876083</t>
  </si>
  <si>
    <t>Thandeka Maseko</t>
  </si>
  <si>
    <t>6805044237085</t>
  </si>
  <si>
    <t>0002167459086</t>
  </si>
  <si>
    <t>8909118812084</t>
  </si>
  <si>
    <t>Phumzile Buthelezi</t>
  </si>
  <si>
    <t>9505284066080</t>
  </si>
  <si>
    <t>Mandla Khoza</t>
  </si>
  <si>
    <t>9205096310087</t>
  </si>
  <si>
    <t>Mandla Maluleke</t>
  </si>
  <si>
    <t>9807169699088</t>
  </si>
  <si>
    <t>Bradley Jacobs</t>
  </si>
  <si>
    <t>6901018492085</t>
  </si>
  <si>
    <t>Chad Hendricks</t>
  </si>
  <si>
    <t>9308236744080</t>
  </si>
  <si>
    <t>9508124306088</t>
  </si>
  <si>
    <t>Ashwin September</t>
  </si>
  <si>
    <t>0211088564086</t>
  </si>
  <si>
    <t>Naledi Nkosi</t>
  </si>
  <si>
    <t>7601132078088</t>
  </si>
  <si>
    <t>9609132220087</t>
  </si>
  <si>
    <t>8601158650082</t>
  </si>
  <si>
    <t>Naledi Mokoena</t>
  </si>
  <si>
    <t>7809133577087</t>
  </si>
  <si>
    <t>9801285707081</t>
  </si>
  <si>
    <t>Musa Nkosi</t>
  </si>
  <si>
    <t>8407056986085</t>
  </si>
  <si>
    <t>Refilwe Maluleke</t>
  </si>
  <si>
    <t>8105083685080</t>
  </si>
  <si>
    <t>Hlengiwe Zulu</t>
  </si>
  <si>
    <t>6804214391087</t>
  </si>
  <si>
    <t>8412273873082</t>
  </si>
  <si>
    <t>Musa Tshabalala</t>
  </si>
  <si>
    <t>7311276304080</t>
  </si>
  <si>
    <t>Naadir Moodley</t>
  </si>
  <si>
    <t>9004237617082</t>
  </si>
  <si>
    <t>Lee-Ann Daniels</t>
  </si>
  <si>
    <t>9903280509080</t>
  </si>
  <si>
    <t>Kavisha Naidoo</t>
  </si>
  <si>
    <t>9806033791089</t>
  </si>
  <si>
    <t>Mpho Khoza</t>
  </si>
  <si>
    <t>8801185259085</t>
  </si>
  <si>
    <t>9610052753081</t>
  </si>
  <si>
    <t>Logan Padayachee</t>
  </si>
  <si>
    <t>7701238410084</t>
  </si>
  <si>
    <t>Katlego Mbatha</t>
  </si>
  <si>
    <t>6906276775089</t>
  </si>
  <si>
    <t>Riyaad Naicker</t>
  </si>
  <si>
    <t>0004078379080</t>
  </si>
  <si>
    <t>Tshepo Ngcobo</t>
  </si>
  <si>
    <t>9310059335087</t>
  </si>
  <si>
    <t>8010249061087</t>
  </si>
  <si>
    <t>Karabo Ngcobo</t>
  </si>
  <si>
    <t>9307133396085</t>
  </si>
  <si>
    <t>9902247212085</t>
  </si>
  <si>
    <t>Chad Daniels</t>
  </si>
  <si>
    <t>7602095487084</t>
  </si>
  <si>
    <t>8404269044083</t>
  </si>
  <si>
    <t>Gavin Petersen</t>
  </si>
  <si>
    <t>7001166418088</t>
  </si>
  <si>
    <t>Sindiswa Sibeko</t>
  </si>
  <si>
    <t>7808192190089</t>
  </si>
  <si>
    <t>0001236204085</t>
  </si>
  <si>
    <t>Hlengiwe Buthelezi</t>
  </si>
  <si>
    <t>7603271581088</t>
  </si>
  <si>
    <t>Stefan Venter</t>
  </si>
  <si>
    <t>9110197879081</t>
  </si>
  <si>
    <t>0007012421082</t>
  </si>
  <si>
    <t>9709244859085</t>
  </si>
  <si>
    <t>Mandla Mahlangu</t>
  </si>
  <si>
    <t>9109247980089</t>
  </si>
  <si>
    <t>6810048245084</t>
  </si>
  <si>
    <t>Dimakatso Mahlangu</t>
  </si>
  <si>
    <t>7110161473087</t>
  </si>
  <si>
    <t>Asha Reddy</t>
  </si>
  <si>
    <t>8006274356087</t>
  </si>
  <si>
    <t>Nomvula Nkosi</t>
  </si>
  <si>
    <t>9011231160084</t>
  </si>
  <si>
    <t>Anjali Naicker</t>
  </si>
  <si>
    <t>9305054534080</t>
  </si>
  <si>
    <t>Preferential Procurement</t>
  </si>
  <si>
    <t>Supplier Name *</t>
  </si>
  <si>
    <t>Current Company Size *</t>
  </si>
  <si>
    <t>B-BBEE Level</t>
  </si>
  <si>
    <t>VAT Number</t>
  </si>
  <si>
    <t>Measured Under (CoGP/RCoGP)</t>
  </si>
  <si>
    <t>Empowering Supplier? (Yes/No)</t>
  </si>
  <si>
    <t>Date of first procurement (format: dd/mm/yyyy)</t>
  </si>
  <si>
    <t>Size at first procurement</t>
  </si>
  <si>
    <t>Current Black ownership</t>
  </si>
  <si>
    <t>Current Black Female ownership</t>
  </si>
  <si>
    <t>Has modified Black ownership? (Yes/No)</t>
  </si>
  <si>
    <t>Unmodified Black ownership</t>
  </si>
  <si>
    <t>Supplier development recipient? (Yes/No)</t>
  </si>
  <si>
    <t>3 year contract in place? (Yes/No)</t>
  </si>
  <si>
    <t>Designated? (Yes/No)</t>
  </si>
  <si>
    <t>Spend *</t>
  </si>
  <si>
    <t>Certificate Expiry Date (format: dd/mm/yyyy)</t>
  </si>
  <si>
    <t>Masakhane Manufacturing (Pty) Ltd</t>
  </si>
  <si>
    <t>QSE</t>
  </si>
  <si>
    <t>1</t>
  </si>
  <si>
    <t>4102664784</t>
  </si>
  <si>
    <t>RCoGP</t>
  </si>
  <si>
    <t>03/02/2020</t>
  </si>
  <si>
    <t>Group</t>
  </si>
  <si>
    <t>31/03/2026</t>
  </si>
  <si>
    <t>Highveld Manufacturing (Pty) Ltd</t>
  </si>
  <si>
    <t>Large</t>
  </si>
  <si>
    <t>Non-compliant</t>
  </si>
  <si>
    <t>4454921230</t>
  </si>
  <si>
    <t>Procurement</t>
  </si>
  <si>
    <t>Morester Solutions (Pty) Ltd</t>
  </si>
  <si>
    <t>4332930634</t>
  </si>
  <si>
    <t>Letsema Industrial (Pty) Ltd</t>
  </si>
  <si>
    <t>7</t>
  </si>
  <si>
    <t>4493451073</t>
  </si>
  <si>
    <t>Drakens Trading (Pty) Ltd</t>
  </si>
  <si>
    <t>4</t>
  </si>
  <si>
    <t>4290606075</t>
  </si>
  <si>
    <t>Sebenza Holdings (Pty) Ltd</t>
  </si>
  <si>
    <t>4361900715</t>
  </si>
  <si>
    <t>Khanyisa Group (Pty) Ltd</t>
  </si>
  <si>
    <t>4116329249</t>
  </si>
  <si>
    <t>Lethabo Holdings (Pty) Ltd</t>
  </si>
  <si>
    <t>4191634475</t>
  </si>
  <si>
    <t>Letsema Trading (Pty) Ltd</t>
  </si>
  <si>
    <t>EME</t>
  </si>
  <si>
    <t>4324535013</t>
  </si>
  <si>
    <t>Tshwaranang Distributors (Pty) Ltd</t>
  </si>
  <si>
    <t>4410484792</t>
  </si>
  <si>
    <t>Sebenza Trading (Pty) Ltd</t>
  </si>
  <si>
    <t>4457270292</t>
  </si>
  <si>
    <t>Vukani Manufacturing (Pty) Ltd</t>
  </si>
  <si>
    <t>4199759831</t>
  </si>
  <si>
    <t>Rise Holdings (Pty) Ltd</t>
  </si>
  <si>
    <t>4469731085</t>
  </si>
  <si>
    <t>Khanyisa Projects (Pty) Ltd</t>
  </si>
  <si>
    <t>4496990050</t>
  </si>
  <si>
    <t>Highveld Holdings (Pty) Ltd</t>
  </si>
  <si>
    <t>3</t>
  </si>
  <si>
    <t>4197120837</t>
  </si>
  <si>
    <t>Highveld Industrial (Pty) Ltd</t>
  </si>
  <si>
    <t>4159554451</t>
  </si>
  <si>
    <t>Bophelo Engineering (Pty) Ltd</t>
  </si>
  <si>
    <t>2</t>
  </si>
  <si>
    <t>4148410291</t>
  </si>
  <si>
    <t>Vukani Distributors (Pty) Ltd</t>
  </si>
  <si>
    <t>4447231957</t>
  </si>
  <si>
    <t>Masakhane Group (Pty) Ltd</t>
  </si>
  <si>
    <t>4116410535</t>
  </si>
  <si>
    <t>Kgwele Solutions (Pty) Ltd</t>
  </si>
  <si>
    <t>4267027987</t>
  </si>
  <si>
    <t>Morester Holdings (Pty) Ltd</t>
  </si>
  <si>
    <t>6</t>
  </si>
  <si>
    <t>4399820389</t>
  </si>
  <si>
    <t>Drakens Solutions (Pty) Ltd</t>
  </si>
  <si>
    <t>4487976588</t>
  </si>
  <si>
    <t>Letsema Services (Pty) Ltd</t>
  </si>
  <si>
    <t>4352351458</t>
  </si>
  <si>
    <t>Sebenza Group (Pty) Ltd</t>
  </si>
  <si>
    <t>4441394424</t>
  </si>
  <si>
    <t>Sandton Trading (Pty) Ltd</t>
  </si>
  <si>
    <t>4245969960</t>
  </si>
  <si>
    <t>Sebenza Projects (Pty) Ltd</t>
  </si>
  <si>
    <t>8</t>
  </si>
  <si>
    <t>4280616385</t>
  </si>
  <si>
    <t>Tshwaranang Supplies (Pty) Ltd</t>
  </si>
  <si>
    <t>4347719268</t>
  </si>
  <si>
    <t>Cape Manufacturing (Pty) Ltd</t>
  </si>
  <si>
    <t>4341253498</t>
  </si>
  <si>
    <t>Morester Manufacturing (Pty) Ltd</t>
  </si>
  <si>
    <t>4182767749</t>
  </si>
  <si>
    <t>Letsema Distributors (Pty) Ltd</t>
  </si>
  <si>
    <t>4461794420</t>
  </si>
  <si>
    <t>Khanyisa Distributors (Pty) Ltd</t>
  </si>
  <si>
    <t>4378786327</t>
  </si>
  <si>
    <t>Lethabo Projects (Pty) Ltd</t>
  </si>
  <si>
    <t>4211454874</t>
  </si>
  <si>
    <t>Bophelo Trading (Pty) Ltd</t>
  </si>
  <si>
    <t>4270081450</t>
  </si>
  <si>
    <t>Morester Supplies (Pty) Ltd</t>
  </si>
  <si>
    <t>4266975212</t>
  </si>
  <si>
    <t>Bophelo Projects (Pty) Ltd</t>
  </si>
  <si>
    <t>4225371662</t>
  </si>
  <si>
    <t>Vukani Trading (Pty) Ltd</t>
  </si>
  <si>
    <t>4402399110</t>
  </si>
  <si>
    <t>Khanyisa Engineering (Pty) Ltd</t>
  </si>
  <si>
    <t>4135219145</t>
  </si>
  <si>
    <t>Imvula Services (Pty) Ltd</t>
  </si>
  <si>
    <t>4270766815</t>
  </si>
  <si>
    <t>Khanyisa Services (Pty) Ltd</t>
  </si>
  <si>
    <t>4275321147</t>
  </si>
  <si>
    <t>Umoya Services (Pty) Ltd</t>
  </si>
  <si>
    <t>4267652907</t>
  </si>
  <si>
    <t>Vukani Solutions (Pty) Ltd</t>
  </si>
  <si>
    <t>4439542029</t>
  </si>
  <si>
    <t>Vukani Engineering (Pty) Ltd</t>
  </si>
  <si>
    <t>4334088028</t>
  </si>
  <si>
    <t>Sandton Supplies (Pty) Ltd</t>
  </si>
  <si>
    <t>4333908993</t>
  </si>
  <si>
    <t>Vukani Services (Pty) Ltd</t>
  </si>
  <si>
    <t>4320718059</t>
  </si>
  <si>
    <t>Bokamoso Services (Pty) Ltd</t>
  </si>
  <si>
    <t>4132908214</t>
  </si>
  <si>
    <t>Bokamoso Engineering (Pty) Ltd</t>
  </si>
  <si>
    <t>4425435110</t>
  </si>
  <si>
    <t>Sebenza Industrial (Pty) Ltd</t>
  </si>
  <si>
    <t>4387094009</t>
  </si>
  <si>
    <t>Bophelo Solutions (Pty) Ltd</t>
  </si>
  <si>
    <t>4123626469</t>
  </si>
  <si>
    <t>Sizanani Engineering (Pty) Ltd</t>
  </si>
  <si>
    <t>4130660455</t>
  </si>
  <si>
    <t>Kgwele Supplies (Pty) Ltd</t>
  </si>
  <si>
    <t>4443498956</t>
  </si>
  <si>
    <t>Sandton Manufacturing (Pty) Ltd</t>
  </si>
  <si>
    <t>4368323450</t>
  </si>
  <si>
    <t>Imvula Industrial (Pty) Ltd</t>
  </si>
  <si>
    <t>4399905788</t>
  </si>
  <si>
    <t>Bophelo Group (Pty) Ltd</t>
  </si>
  <si>
    <t>4407997870</t>
  </si>
  <si>
    <t>Bophelo Supplies (Pty) Ltd</t>
  </si>
  <si>
    <t>5</t>
  </si>
  <si>
    <t>4413624444</t>
  </si>
  <si>
    <t>Lethabo Distributors (Pty) Ltd</t>
  </si>
  <si>
    <t>4399201362</t>
  </si>
  <si>
    <t>Imvula Logistics (Pty) Ltd</t>
  </si>
  <si>
    <t>4155991264</t>
  </si>
  <si>
    <t>Masakhane Projects (Pty) Ltd</t>
  </si>
  <si>
    <t>4233238418</t>
  </si>
  <si>
    <t>Bokamoso Logistics (Pty) Ltd</t>
  </si>
  <si>
    <t>4162424287</t>
  </si>
  <si>
    <t>Lethabo Supplies (Pty) Ltd</t>
  </si>
  <si>
    <t>4225293736</t>
  </si>
  <si>
    <t>Cape Group (Pty) Ltd</t>
  </si>
  <si>
    <t>4408979105</t>
  </si>
  <si>
    <t>Masakhane Engineering (Pty) Ltd</t>
  </si>
  <si>
    <t>4288606294</t>
  </si>
  <si>
    <t>Umoya Distributors (Pty) Ltd</t>
  </si>
  <si>
    <t>4424423289</t>
  </si>
  <si>
    <t>Lethabo Trading (Pty) Ltd</t>
  </si>
  <si>
    <t>4364336588</t>
  </si>
  <si>
    <t>Imvula Supplies (Pty) Ltd</t>
  </si>
  <si>
    <t>4142038543</t>
  </si>
  <si>
    <t>Phakama Manufacturing (Pty) Ltd</t>
  </si>
  <si>
    <t>4247439252</t>
  </si>
  <si>
    <t>Morester Group (Pty) Ltd</t>
  </si>
  <si>
    <t>4314329784</t>
  </si>
  <si>
    <t>Sebenza Logistics (Pty) Ltd</t>
  </si>
  <si>
    <t>4350209279</t>
  </si>
  <si>
    <t>Vukani Holdings (Pty) Ltd</t>
  </si>
  <si>
    <t>4159378358</t>
  </si>
  <si>
    <t>Masakhane Solutions (Pty) Ltd</t>
  </si>
  <si>
    <t>4116440263</t>
  </si>
  <si>
    <t>Tshwaranang Holdings (Pty) Ltd</t>
  </si>
  <si>
    <t>4134500565</t>
  </si>
  <si>
    <t>Sandton Projects (Pty) Ltd</t>
  </si>
  <si>
    <t>4162784022</t>
  </si>
  <si>
    <t>Sandton Group (Pty) Ltd</t>
  </si>
  <si>
    <t>4425420562</t>
  </si>
  <si>
    <t>Imvula Projects (Pty) Ltd</t>
  </si>
  <si>
    <t>4423257332</t>
  </si>
  <si>
    <t>Bokamoso Distributors (Pty) Ltd</t>
  </si>
  <si>
    <t>4458147041</t>
  </si>
  <si>
    <t>Kgwele Services (Pty) Ltd</t>
  </si>
  <si>
    <t>4484442380</t>
  </si>
  <si>
    <t>Imvula Solutions (Pty) Ltd</t>
  </si>
  <si>
    <t>4216379904</t>
  </si>
  <si>
    <t>Lethabo Industrial (Pty) Ltd</t>
  </si>
  <si>
    <t>4175512394</t>
  </si>
  <si>
    <t>Sandton Industrial (Pty) Ltd</t>
  </si>
  <si>
    <t>4437229343</t>
  </si>
  <si>
    <t>Khanyisa Manufacturing (Pty) Ltd</t>
  </si>
  <si>
    <t>4365271650</t>
  </si>
  <si>
    <t>Highveld Distributors (Pty) Ltd</t>
  </si>
  <si>
    <t>4190752118</t>
  </si>
  <si>
    <t>Current black ownership *</t>
  </si>
  <si>
    <t>Current size *</t>
  </si>
  <si>
    <t>Contribution Description*</t>
  </si>
  <si>
    <t>Date of Transaction (format: dd/mm/yyyy)</t>
  </si>
  <si>
    <t>Contribution Type *</t>
  </si>
  <si>
    <t>Amount *</t>
  </si>
  <si>
    <t>Invoice date (format: dd/mm/yyyy)</t>
  </si>
  <si>
    <t>Payment date (format: dd/mm/yyyy)</t>
  </si>
  <si>
    <t>Prime Rate</t>
  </si>
  <si>
    <t>Actual Rate</t>
  </si>
  <si>
    <t>Umoya Holdings (Pty) Ltd</t>
  </si>
  <si>
    <t>SD beneficiary (existing supplier): Interest-free working capital loan</t>
  </si>
  <si>
    <t>12/06/2025</t>
  </si>
  <si>
    <t>Loan</t>
  </si>
  <si>
    <t>10/07/2025</t>
  </si>
  <si>
    <t>ESD</t>
  </si>
  <si>
    <t>Khanyisa Industrial (Pty) Ltd</t>
  </si>
  <si>
    <t>SD beneficiary (existing supplier): Early-payment programme (30-day terms)</t>
  </si>
  <si>
    <t>Early payment</t>
  </si>
  <si>
    <t>Kgwele Projects (Pty) Ltd</t>
  </si>
  <si>
    <t>SD beneficiary (existing supplier): Free ERP licences and onboarding</t>
  </si>
  <si>
    <t>Grant</t>
  </si>
  <si>
    <t>Imvula Trading (Pty) Ltd</t>
  </si>
  <si>
    <t>SD beneficiary (existing supplier): Subsidised machinery lease</t>
  </si>
  <si>
    <t>Discount</t>
  </si>
  <si>
    <t>Sizanani Distributors (Pty) Ltd</t>
  </si>
  <si>
    <t>SD beneficiary (existing supplier): Mentorship and systems support 200 hrs</t>
  </si>
  <si>
    <t>Professional services</t>
  </si>
  <si>
    <t>Sizanani Holdings (Pty) Ltd</t>
  </si>
  <si>
    <t>SD beneficiary (existing supplier): Bulk-buying discount facility</t>
  </si>
  <si>
    <t>Sizanani Manufacturing (Pty) Ltd</t>
  </si>
  <si>
    <t>ENTERPRISE DEVELOPMENT (non-supplier beneficiary): Seed grant to black-owned start-up</t>
  </si>
  <si>
    <t>Morester Services (Pty) Ltd</t>
  </si>
  <si>
    <t>ENTERPRISE DEVELOPMENT (non-supplier beneficiary): Equipment donation to township enterprise</t>
  </si>
  <si>
    <t>Cape Logistics (Pty) Ltd</t>
  </si>
  <si>
    <t>ENTERPRISE DEVELOPMENT (non-supplier beneficiary): Incubation programme sponsorship</t>
  </si>
  <si>
    <t>Umoya Logistics (Pty) Ltd</t>
  </si>
  <si>
    <t>ENTERPRISE DEVELOPMENT (non-supplier beneficiary): Free professional services to black SMME</t>
  </si>
  <si>
    <t>Socioeconomic Development</t>
  </si>
  <si>
    <t>Beneficiary Name *</t>
  </si>
  <si>
    <t>Description of Spend *</t>
  </si>
  <si>
    <t>ICT Specific Initiative?</t>
  </si>
  <si>
    <t>% of Spend Benefiting Black Individuals *</t>
  </si>
  <si>
    <t>Itireleng Primary School</t>
  </si>
  <si>
    <t>Maths &amp; science bursaries for learners</t>
  </si>
  <si>
    <t>Donation</t>
  </si>
  <si>
    <t>CSI</t>
  </si>
  <si>
    <t>Sizanani Community Clinic</t>
  </si>
  <si>
    <t>Mobile health outreach in township</t>
  </si>
  <si>
    <t>Khula Youth Centre</t>
  </si>
  <si>
    <t>Coding and digital literacy programme</t>
  </si>
  <si>
    <t>Bohlokong Old Age Home</t>
  </si>
  <si>
    <t>Food and care support</t>
  </si>
  <si>
    <t>Reentseng Disability Trust</t>
  </si>
  <si>
    <t>Assistive devices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</si>
</sst>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R-1C09]\ * #,##0.00_ ;_ [$R-1C09]\ * \-#,##0.00_ ;_ [$R-1C09]\ * \-??_ ;_ @_ "/>
    <numFmt numFmtId="165" formatCode="0.0"/>
    <numFmt numFmtId="166" formatCode="dd\-mm\-yyyy"/>
    <numFmt numFmtId="167" formatCode="[$R-1C09]\ #,##0.00"/>
  </numFmts>
  <fonts count="21">
    <font>
      <sz val="11"/>
      <color rgb="FF000000"/>
      <name val="Calibri"/>
      <family val="2"/>
      <charset val="1"/>
    </font>
    <font>
      <sz val="11"/>
      <color theme="1"/>
      <name val="Calibri"/>
      <family val="2"/>
      <charset val="1"/>
    </font>
    <font>
      <sz val="10"/>
      <name val="Verdana"/>
      <family val="2"/>
      <charset val="1"/>
    </font>
    <font>
      <b/>
      <sz val="15"/>
      <color theme="1"/>
      <name val="Arial"/>
      <family val="2"/>
      <charset val="1"/>
    </font>
    <font>
      <b/>
      <sz val="11"/>
      <color rgb="FF000000"/>
      <name val="Calibri"/>
      <family val="2"/>
      <charset val="1"/>
    </font>
    <font>
      <sz val="7"/>
      <color rgb="FF000000"/>
      <name val="Times New Roman"/>
      <family val="1"/>
      <charset val="1"/>
    </font>
    <font>
      <b/>
      <sz val="13"/>
      <name val="Arial"/>
      <charset val="1"/>
    </font>
    <font>
      <b/>
      <sz val="10"/>
      <name val="Arial"/>
      <charset val="1"/>
    </font>
    <font>
      <sz val="10"/>
      <name val="Arial"/>
      <charset val="1"/>
    </font>
    <font>
      <b/>
      <sz val="11"/>
      <color rgb="FFFFFFFF"/>
      <name val="Arial"/>
      <charset val="1"/>
    </font>
    <font>
      <i/>
      <sz val="9"/>
      <name val="Arial"/>
      <charset val="1"/>
    </font>
    <font>
      <b/>
      <sz val="12"/>
      <color rgb="FF000000"/>
      <name val="Calibri"/>
      <family val="2"/>
      <charset val="1"/>
    </font>
    <font>
      <b/>
      <sz val="11"/>
      <color theme="1"/>
      <name val="Calibri"/>
      <family val="2"/>
      <charset val="1"/>
    </font>
    <font>
      <b/>
      <sz val="11"/>
      <name val="Arial"/>
      <family val="2"/>
      <charset val="1"/>
    </font>
    <font>
      <sz val="10"/>
      <name val="Calibri"/>
      <family val="2"/>
      <charset val="1"/>
    </font>
    <font>
      <b/>
      <sz val="11"/>
      <color rgb="FF000000"/>
      <name val="Arial"/>
      <family val="2"/>
      <charset val="1"/>
    </font>
    <font>
      <sz val="11"/>
      <name val="Calibri"/>
      <family val="2"/>
      <charset val="1"/>
    </font>
    <font>
      <sz val="10"/>
      <name val="Arial"/>
      <family val="2"/>
    </font>
    <font>
      <b/>
      <sz val="12"/>
      <name val="Calibri"/>
      <family val="2"/>
      <charset val="1"/>
    </font>
    <font>
      <b/>
      <sz val="11"/>
      <name val="Calibri"/>
      <family val="2"/>
      <charset val="1"/>
    </font>
    <font>
      <b/>
      <sz val="10"/>
      <name val="Calibri"/>
      <family val="2"/>
      <charset val="1"/>
    </font>
  </fonts>
  <fills count="8">
    <fill>
      <patternFill patternType="none"/>
    </fill>
    <fill>
      <patternFill patternType="gray125"/>
    </fill>
    <fill>
      <patternFill patternType="solid">
        <fgColor theme="5" tint="0.79989013336588644"/>
        <bgColor rgb="FFD7E4BD"/>
      </patternFill>
    </fill>
    <fill>
      <patternFill patternType="solid">
        <fgColor theme="0"/>
        <bgColor rgb="FFFFFFCC"/>
      </patternFill>
    </fill>
    <fill>
      <patternFill patternType="solid">
        <fgColor rgb="FF1F3B4D"/>
        <bgColor rgb="FF003366"/>
      </patternFill>
    </fill>
    <fill>
      <patternFill patternType="solid">
        <fgColor theme="3" tint="0.59987182226020086"/>
        <bgColor rgb="FF9999FF"/>
      </patternFill>
    </fill>
    <fill>
      <patternFill patternType="solid">
        <fgColor theme="3" tint="0.79989013336588644"/>
        <bgColor rgb="FFD7E4BD"/>
      </patternFill>
    </fill>
    <fill>
      <patternFill patternType="solid">
        <fgColor rgb="FFD7E4BD"/>
        <bgColor rgb="FFF2DCDB"/>
      </patternFill>
    </fill>
  </fills>
  <borders count="2">
    <border>
      <left/>
      <right/>
      <top/>
      <bottom/>
      <diagonal/>
    </border>
    <border>
      <left style="thin">
        <color auto="1"/>
      </left>
      <right style="thin">
        <color auto="1"/>
      </right>
      <top style="thin">
        <color auto="1"/>
      </top>
      <bottom style="thin">
        <color auto="1"/>
      </bottom>
      <diagonal/>
    </border>
  </borders>
  <cellStyleXfs count="7">
    <xf numFmtId="0" fontId="0" fillId="0" borderId="0"/>
    <xf numFmtId="0" fontId="1" fillId="2" borderId="0"/>
    <xf numFmtId="0" fontId="2" fillId="0" borderId="0"/>
    <xf numFmtId="0" fontId="2" fillId="0" borderId="0"/>
    <xf numFmtId="0" fontId="1" fillId="0" borderId="0"/>
    <xf numFmtId="9" fontId="1" fillId="0" borderId="0"/>
    <xf numFmtId="0" fontId="1" fillId="2" borderId="0"/>
  </cellStyleXfs>
  <cellXfs count="74">
    <xf numFmtId="0" fontId="0" fillId="0" borderId="0" xfId="0"/>
    <xf numFmtId="0" fontId="18" fillId="5" borderId="0" xfId="4" applyFont="1" applyFill="1" applyAlignment="1">
      <alignment horizontal="center" vertical="center"/>
    </xf>
    <xf numFmtId="0" fontId="18" fillId="5" borderId="0" xfId="3" applyFont="1" applyFill="1" applyAlignment="1">
      <alignment horizontal="center" vertical="center"/>
    </xf>
    <xf numFmtId="0" fontId="13" fillId="5" borderId="0" xfId="2" applyFont="1" applyFill="1" applyAlignment="1">
      <alignment horizontal="center" vertical="center"/>
    </xf>
    <xf numFmtId="0" fontId="11" fillId="5" borderId="0" xfId="0" applyFont="1" applyFill="1" applyAlignment="1">
      <alignment horizontal="center" vertical="center"/>
    </xf>
    <xf numFmtId="0" fontId="0" fillId="0" borderId="1" xfId="0" applyBorder="1" applyAlignment="1">
      <alignment horizontal="center" vertical="center" wrapText="1"/>
    </xf>
    <xf numFmtId="0" fontId="0" fillId="0" borderId="0" xfId="0" applyAlignment="1">
      <alignment wrapText="1"/>
    </xf>
    <xf numFmtId="0" fontId="3" fillId="3" borderId="0" xfId="0" applyFont="1" applyFill="1" applyAlignment="1">
      <alignment horizontal="left"/>
    </xf>
    <xf numFmtId="0" fontId="4" fillId="0" borderId="0" xfId="0" applyFont="1" applyAlignment="1">
      <alignment wrapText="1"/>
    </xf>
    <xf numFmtId="0" fontId="4" fillId="0" borderId="1" xfId="0" applyFont="1" applyBorder="1" applyAlignment="1">
      <alignment horizontal="left" vertical="center" wrapText="1"/>
    </xf>
    <xf numFmtId="0" fontId="4" fillId="0" borderId="1" xfId="0" applyFont="1" applyBorder="1" applyAlignment="1">
      <alignment wrapText="1"/>
    </xf>
    <xf numFmtId="0" fontId="0" fillId="0" borderId="1" xfId="0" applyBorder="1" applyAlignment="1">
      <alignment horizontal="left" vertical="center" wrapText="1"/>
    </xf>
    <xf numFmtId="0" fontId="4" fillId="0" borderId="1" xfId="0" applyFont="1" applyBorder="1" applyAlignment="1">
      <alignment horizontal="left" vertical="center" indent="1"/>
    </xf>
    <xf numFmtId="0" fontId="0" fillId="0" borderId="1" xfId="0" applyBorder="1" applyAlignment="1">
      <alignment horizontal="left" vertical="center" indent="2"/>
    </xf>
    <xf numFmtId="0" fontId="5" fillId="0" borderId="1" xfId="0" applyFont="1" applyBorder="1" applyAlignment="1">
      <alignment vertical="top"/>
    </xf>
    <xf numFmtId="0" fontId="0" fillId="0" borderId="1" xfId="0" applyBorder="1" applyAlignment="1">
      <alignment horizontal="left" vertical="center" wrapText="1" indent="2"/>
    </xf>
    <xf numFmtId="0" fontId="6" fillId="0" borderId="0" xfId="0" applyFont="1"/>
    <xf numFmtId="0" fontId="7" fillId="0" borderId="0" xfId="0" applyFont="1"/>
    <xf numFmtId="0" fontId="8" fillId="0" borderId="0" xfId="0" applyFont="1"/>
    <xf numFmtId="0" fontId="9" fillId="4" borderId="0" xfId="0" applyFont="1" applyFill="1"/>
    <xf numFmtId="3" fontId="8" fillId="0" borderId="0" xfId="0" applyNumberFormat="1" applyFont="1"/>
    <xf numFmtId="164" fontId="8" fillId="0" borderId="0" xfId="0" applyNumberFormat="1" applyFont="1"/>
    <xf numFmtId="0" fontId="9" fillId="4" borderId="0" xfId="0" applyFont="1" applyFill="1" applyAlignment="1">
      <alignment vertical="center" wrapText="1"/>
    </xf>
    <xf numFmtId="165" fontId="0" fillId="0" borderId="0" xfId="0" applyNumberFormat="1"/>
    <xf numFmtId="0" fontId="10" fillId="0" borderId="0" xfId="0" applyFont="1"/>
    <xf numFmtId="0" fontId="0" fillId="0" borderId="0" xfId="0" applyProtection="1">
      <protection locked="0"/>
    </xf>
    <xf numFmtId="49" fontId="0" fillId="0" borderId="0" xfId="0" applyNumberFormat="1" applyProtection="1">
      <protection locked="0"/>
    </xf>
    <xf numFmtId="10" fontId="0" fillId="0" borderId="0" xfId="0" applyNumberFormat="1" applyProtection="1">
      <protection locked="0"/>
    </xf>
    <xf numFmtId="0" fontId="4" fillId="2" borderId="0" xfId="0" applyFont="1" applyFill="1"/>
    <xf numFmtId="0" fontId="1" fillId="2" borderId="0" xfId="6" applyProtection="1">
      <protection locked="0"/>
    </xf>
    <xf numFmtId="0" fontId="12" fillId="2" borderId="0" xfId="6" applyFont="1" applyProtection="1">
      <protection locked="0"/>
    </xf>
    <xf numFmtId="0" fontId="4" fillId="6" borderId="0" xfId="0" applyFont="1" applyFill="1"/>
    <xf numFmtId="49" fontId="4" fillId="6" borderId="0" xfId="0" applyNumberFormat="1" applyFont="1" applyFill="1"/>
    <xf numFmtId="10" fontId="4" fillId="2" borderId="0" xfId="0" applyNumberFormat="1" applyFont="1" applyFill="1"/>
    <xf numFmtId="0" fontId="4" fillId="6" borderId="0" xfId="0" applyFont="1" applyFill="1" applyAlignment="1">
      <alignment wrapText="1"/>
    </xf>
    <xf numFmtId="0" fontId="2" fillId="0" borderId="0" xfId="2"/>
    <xf numFmtId="49" fontId="2" fillId="0" borderId="0" xfId="2" applyNumberFormat="1"/>
    <xf numFmtId="0" fontId="14" fillId="0" borderId="0" xfId="2" applyFont="1"/>
    <xf numFmtId="0" fontId="13" fillId="2" borderId="0" xfId="2" applyFont="1" applyFill="1" applyAlignment="1">
      <alignment horizontal="center" vertical="top" wrapText="1"/>
    </xf>
    <xf numFmtId="0" fontId="13" fillId="6" borderId="0" xfId="2" applyFont="1" applyFill="1" applyAlignment="1">
      <alignment horizontal="center" vertical="top" wrapText="1"/>
    </xf>
    <xf numFmtId="49" fontId="13" fillId="7" borderId="0" xfId="2" applyNumberFormat="1" applyFont="1" applyFill="1" applyAlignment="1">
      <alignment horizontal="center" vertical="top" wrapText="1"/>
    </xf>
    <xf numFmtId="0" fontId="15" fillId="2" borderId="0" xfId="2" applyFont="1" applyFill="1" applyAlignment="1">
      <alignment horizontal="center" vertical="top" wrapText="1"/>
    </xf>
    <xf numFmtId="0" fontId="13" fillId="7" borderId="0" xfId="2" applyFont="1" applyFill="1" applyAlignment="1">
      <alignment horizontal="center" vertical="top" wrapText="1"/>
    </xf>
    <xf numFmtId="2" fontId="13" fillId="6" borderId="0" xfId="2" applyNumberFormat="1" applyFont="1" applyFill="1" applyAlignment="1">
      <alignment horizontal="center" vertical="top" wrapText="1"/>
    </xf>
    <xf numFmtId="0" fontId="16" fillId="0" borderId="0" xfId="2" applyFont="1" applyAlignment="1">
      <alignment horizontal="center" vertical="top" wrapText="1"/>
    </xf>
    <xf numFmtId="0" fontId="14" fillId="0" borderId="0" xfId="3" applyFont="1" applyAlignment="1" applyProtection="1">
      <alignment horizontal="center"/>
      <protection locked="0"/>
    </xf>
    <xf numFmtId="166" fontId="14" fillId="0" borderId="0" xfId="3" applyNumberFormat="1" applyFont="1" applyAlignment="1" applyProtection="1">
      <alignment horizontal="center"/>
      <protection locked="0"/>
    </xf>
    <xf numFmtId="10" fontId="14" fillId="0" borderId="0" xfId="3" applyNumberFormat="1" applyFont="1" applyAlignment="1" applyProtection="1">
      <alignment horizontal="center"/>
      <protection locked="0"/>
    </xf>
    <xf numFmtId="164" fontId="14" fillId="0" borderId="0" xfId="3" applyNumberFormat="1" applyFont="1" applyAlignment="1" applyProtection="1">
      <alignment horizontal="center"/>
      <protection locked="0"/>
    </xf>
    <xf numFmtId="0" fontId="14" fillId="0" borderId="0" xfId="3" applyFont="1"/>
    <xf numFmtId="14" fontId="14" fillId="0" borderId="0" xfId="3" applyNumberFormat="1" applyFont="1" applyAlignment="1" applyProtection="1">
      <alignment horizontal="center"/>
      <protection locked="0"/>
    </xf>
    <xf numFmtId="49" fontId="19" fillId="2" borderId="0" xfId="3" applyNumberFormat="1" applyFont="1" applyFill="1" applyAlignment="1">
      <alignment horizontal="center" vertical="center" wrapText="1"/>
    </xf>
    <xf numFmtId="49" fontId="19" fillId="6" borderId="0" xfId="3" applyNumberFormat="1" applyFont="1" applyFill="1" applyAlignment="1">
      <alignment horizontal="center" vertical="center" wrapText="1"/>
    </xf>
    <xf numFmtId="49" fontId="16" fillId="0" borderId="0" xfId="3" applyNumberFormat="1" applyFont="1" applyAlignment="1">
      <alignment vertical="center" wrapText="1"/>
    </xf>
    <xf numFmtId="0" fontId="14" fillId="0" borderId="0" xfId="3" applyFont="1" applyAlignment="1" applyProtection="1">
      <alignment horizontal="center" vertical="center"/>
      <protection locked="0"/>
    </xf>
    <xf numFmtId="166" fontId="14" fillId="0" borderId="0" xfId="3" applyNumberFormat="1" applyFont="1" applyAlignment="1" applyProtection="1">
      <alignment horizontal="center" vertical="center"/>
      <protection locked="0"/>
    </xf>
    <xf numFmtId="10" fontId="14" fillId="0" borderId="0" xfId="3" applyNumberFormat="1" applyFont="1" applyAlignment="1" applyProtection="1">
      <alignment horizontal="center" vertical="center"/>
      <protection locked="0"/>
    </xf>
    <xf numFmtId="164" fontId="14" fillId="0" borderId="0" xfId="3" applyNumberFormat="1" applyFont="1" applyAlignment="1" applyProtection="1">
      <alignment horizontal="center" vertical="center"/>
      <protection locked="0"/>
    </xf>
    <xf numFmtId="0" fontId="20" fillId="0" borderId="0" xfId="3" applyFont="1"/>
    <xf numFmtId="14" fontId="14" fillId="0" borderId="0" xfId="3" applyNumberFormat="1" applyFont="1" applyAlignment="1" applyProtection="1">
      <alignment horizontal="center" vertical="center"/>
      <protection locked="0"/>
    </xf>
    <xf numFmtId="0" fontId="1" fillId="0" borderId="0" xfId="4"/>
    <xf numFmtId="10" fontId="1" fillId="0" borderId="0" xfId="4" applyNumberFormat="1"/>
    <xf numFmtId="14" fontId="1" fillId="0" borderId="0" xfId="4" applyNumberFormat="1"/>
    <xf numFmtId="167" fontId="1" fillId="0" borderId="0" xfId="4" applyNumberFormat="1"/>
    <xf numFmtId="9" fontId="0" fillId="0" borderId="0" xfId="5" applyFont="1"/>
    <xf numFmtId="0" fontId="19" fillId="2" borderId="0" xfId="4" applyFont="1" applyFill="1" applyAlignment="1">
      <alignment vertical="center" wrapText="1"/>
    </xf>
    <xf numFmtId="10" fontId="19" fillId="2" borderId="0" xfId="4" applyNumberFormat="1" applyFont="1" applyFill="1" applyAlignment="1">
      <alignment vertical="center" wrapText="1"/>
    </xf>
    <xf numFmtId="0" fontId="12" fillId="2" borderId="0" xfId="1" applyFont="1" applyAlignment="1">
      <alignment vertical="center" wrapText="1"/>
    </xf>
    <xf numFmtId="0" fontId="19" fillId="6" borderId="0" xfId="4" applyFont="1" applyFill="1" applyAlignment="1">
      <alignment vertical="center" wrapText="1"/>
    </xf>
    <xf numFmtId="0" fontId="19" fillId="2" borderId="0" xfId="4" applyFont="1" applyFill="1" applyAlignment="1">
      <alignment vertical="center" wrapText="1" shrinkToFit="1"/>
    </xf>
    <xf numFmtId="9" fontId="19" fillId="6" borderId="0" xfId="5" applyFont="1" applyFill="1" applyAlignment="1">
      <alignment vertical="center" wrapText="1"/>
    </xf>
    <xf numFmtId="0" fontId="18" fillId="0" borderId="0" xfId="4" applyFont="1" applyAlignment="1">
      <alignment horizontal="center" vertical="center"/>
    </xf>
    <xf numFmtId="0" fontId="19" fillId="2" borderId="0" xfId="5" applyNumberFormat="1" applyFont="1" applyFill="1" applyAlignment="1">
      <alignment vertical="center" wrapText="1"/>
    </xf>
    <xf numFmtId="0" fontId="19" fillId="0" borderId="0" xfId="4" applyFont="1" applyAlignment="1">
      <alignment vertical="center" wrapText="1"/>
    </xf>
  </cellXfs>
  <cellStyles count="7">
    <cellStyle name="20% - Accent2 2" xfId="1" xr:uid="{00000000-0005-0000-0000-000006000000}"/>
    <cellStyle name="Excel Built-in 20% - Accent2" xfId="6" xr:uid="{00000000-0005-0000-0000-00000B000000}"/>
    <cellStyle name="Normal" xfId="0" builtinId="0"/>
    <cellStyle name="Normal 2" xfId="2" xr:uid="{00000000-0005-0000-0000-000007000000}"/>
    <cellStyle name="Normal 3" xfId="3" xr:uid="{00000000-0005-0000-0000-000008000000}"/>
    <cellStyle name="Normal 4" xfId="4" xr:uid="{00000000-0005-0000-0000-000009000000}"/>
    <cellStyle name="Percent 2" xfId="5"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8EB4E3"/>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B4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48"/>
  <sheetViews>
    <sheetView showGridLines="0" tabSelected="1" zoomScaleNormal="100" workbookViewId="0">
      <selection activeCell="A3" sqref="A3"/>
    </sheetView>
  </sheetViews>
  <sheetFormatPr defaultColWidth="8.7109375" defaultRowHeight="15"/>
  <cols>
    <col min="1" max="1" width="29.42578125" style="6" customWidth="1"/>
    <col min="2" max="2" width="168.5703125" style="6" customWidth="1"/>
    <col min="3" max="3" width="9.140625" customWidth="1"/>
  </cols>
  <sheetData>
    <row r="2" spans="1:2" ht="19.5" customHeight="1">
      <c r="A2" s="7" t="s">
        <v>0</v>
      </c>
    </row>
    <row r="6" spans="1:2">
      <c r="A6" s="8" t="s">
        <v>1</v>
      </c>
      <c r="B6" s="6" t="s">
        <v>2</v>
      </c>
    </row>
    <row r="8" spans="1:2" ht="30" customHeight="1">
      <c r="A8" s="5" t="s">
        <v>3</v>
      </c>
      <c r="B8" s="9" t="s">
        <v>4</v>
      </c>
    </row>
    <row r="9" spans="1:2">
      <c r="A9" s="5"/>
      <c r="B9" s="10" t="s">
        <v>5</v>
      </c>
    </row>
    <row r="10" spans="1:2">
      <c r="A10" s="5"/>
      <c r="B10" s="11" t="s">
        <v>6</v>
      </c>
    </row>
    <row r="11" spans="1:2">
      <c r="A11" s="5"/>
      <c r="B11" s="11" t="s">
        <v>7</v>
      </c>
    </row>
    <row r="12" spans="1:2">
      <c r="A12" s="5"/>
      <c r="B12" s="11" t="s">
        <v>8</v>
      </c>
    </row>
    <row r="13" spans="1:2">
      <c r="A13" s="5"/>
      <c r="B13" s="10" t="s">
        <v>9</v>
      </c>
    </row>
    <row r="14" spans="1:2">
      <c r="A14" s="5"/>
      <c r="B14" s="11" t="s">
        <v>10</v>
      </c>
    </row>
    <row r="15" spans="1:2">
      <c r="A15" s="5"/>
      <c r="B15" s="11" t="s">
        <v>11</v>
      </c>
    </row>
    <row r="16" spans="1:2">
      <c r="A16" s="5"/>
      <c r="B16" s="11" t="s">
        <v>12</v>
      </c>
    </row>
    <row r="18" spans="1:2" ht="15" customHeight="1">
      <c r="A18" s="5" t="s">
        <v>13</v>
      </c>
      <c r="B18" s="12" t="s">
        <v>14</v>
      </c>
    </row>
    <row r="19" spans="1:2">
      <c r="A19" s="5"/>
      <c r="B19" s="13" t="s">
        <v>15</v>
      </c>
    </row>
    <row r="20" spans="1:2">
      <c r="A20" s="5"/>
      <c r="B20" s="14" t="s">
        <v>16</v>
      </c>
    </row>
    <row r="21" spans="1:2">
      <c r="A21" s="5"/>
      <c r="B21" s="14" t="s">
        <v>17</v>
      </c>
    </row>
    <row r="22" spans="1:2">
      <c r="A22" s="5"/>
      <c r="B22" s="14" t="s">
        <v>18</v>
      </c>
    </row>
    <row r="23" spans="1:2">
      <c r="A23" s="5"/>
      <c r="B23" s="14" t="s">
        <v>19</v>
      </c>
    </row>
    <row r="24" spans="1:2">
      <c r="A24" s="5"/>
      <c r="B24" s="14" t="s">
        <v>20</v>
      </c>
    </row>
    <row r="25" spans="1:2">
      <c r="A25" s="5"/>
      <c r="B25" s="14" t="s">
        <v>21</v>
      </c>
    </row>
    <row r="26" spans="1:2">
      <c r="A26" s="5"/>
      <c r="B26" s="14" t="s">
        <v>22</v>
      </c>
    </row>
    <row r="27" spans="1:2">
      <c r="A27" s="5"/>
      <c r="B27" s="13" t="s">
        <v>23</v>
      </c>
    </row>
    <row r="29" spans="1:2" ht="15" customHeight="1">
      <c r="A29" s="5" t="s">
        <v>24</v>
      </c>
      <c r="B29" s="12" t="s">
        <v>25</v>
      </c>
    </row>
    <row r="30" spans="1:2">
      <c r="A30" s="5"/>
      <c r="B30" s="13" t="s">
        <v>26</v>
      </c>
    </row>
    <row r="31" spans="1:2">
      <c r="A31" s="5"/>
      <c r="B31" s="13" t="s">
        <v>27</v>
      </c>
    </row>
    <row r="32" spans="1:2" ht="30" customHeight="1">
      <c r="A32" s="5"/>
      <c r="B32" s="15" t="s">
        <v>28</v>
      </c>
    </row>
    <row r="33" spans="1:2">
      <c r="A33" s="5"/>
      <c r="B33" s="13" t="s">
        <v>29</v>
      </c>
    </row>
    <row r="35" spans="1:2" ht="15" customHeight="1">
      <c r="A35" s="5" t="s">
        <v>30</v>
      </c>
      <c r="B35" s="12" t="s">
        <v>31</v>
      </c>
    </row>
    <row r="36" spans="1:2" ht="30" customHeight="1">
      <c r="A36" s="5"/>
      <c r="B36" s="15" t="s">
        <v>32</v>
      </c>
    </row>
    <row r="37" spans="1:2" ht="30" customHeight="1">
      <c r="A37" s="5"/>
      <c r="B37" s="15" t="s">
        <v>33</v>
      </c>
    </row>
    <row r="38" spans="1:2">
      <c r="A38" s="5"/>
      <c r="B38" s="13" t="s">
        <v>34</v>
      </c>
    </row>
    <row r="39" spans="1:2">
      <c r="A39" s="5"/>
      <c r="B39" s="13" t="s">
        <v>35</v>
      </c>
    </row>
    <row r="40" spans="1:2">
      <c r="A40" s="5"/>
      <c r="B40" s="13" t="s">
        <v>36</v>
      </c>
    </row>
    <row r="42" spans="1:2" ht="15" customHeight="1">
      <c r="A42" s="5" t="s">
        <v>37</v>
      </c>
      <c r="B42" s="12" t="s">
        <v>38</v>
      </c>
    </row>
    <row r="43" spans="1:2" ht="105" customHeight="1">
      <c r="A43" s="5"/>
      <c r="B43" s="15" t="s">
        <v>39</v>
      </c>
    </row>
    <row r="44" spans="1:2">
      <c r="A44" s="5"/>
      <c r="B44" s="13" t="s">
        <v>40</v>
      </c>
    </row>
    <row r="46" spans="1:2" ht="15" customHeight="1">
      <c r="A46" s="5" t="s">
        <v>41</v>
      </c>
      <c r="B46" s="12" t="s">
        <v>42</v>
      </c>
    </row>
    <row r="47" spans="1:2" ht="105" customHeight="1">
      <c r="A47" s="5"/>
      <c r="B47" s="15" t="s">
        <v>43</v>
      </c>
    </row>
    <row r="48" spans="1:2">
      <c r="A48" s="5"/>
      <c r="B48" s="13" t="s">
        <v>40</v>
      </c>
    </row>
  </sheetData>
  <mergeCells count="6">
    <mergeCell ref="A46:A48"/>
    <mergeCell ref="A8:A16"/>
    <mergeCell ref="A18:A27"/>
    <mergeCell ref="A29:A33"/>
    <mergeCell ref="A35:A40"/>
    <mergeCell ref="A42:A4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zoomScaleNormal="100" workbookViewId="0"/>
  </sheetViews>
  <sheetFormatPr defaultColWidth="8.7109375" defaultRowHeight="15"/>
  <cols>
    <col min="1" max="1" width="42" customWidth="1"/>
    <col min="2" max="4" width="22" customWidth="1"/>
  </cols>
  <sheetData>
    <row r="1" spans="1:4" ht="16.149999999999999">
      <c r="A1" s="16" t="s">
        <v>44</v>
      </c>
    </row>
    <row r="2" spans="1:4">
      <c r="A2" s="17" t="s">
        <v>45</v>
      </c>
      <c r="B2" s="18" t="s">
        <v>46</v>
      </c>
      <c r="C2" s="18"/>
      <c r="D2" s="18"/>
    </row>
    <row r="3" spans="1:4">
      <c r="A3" s="17" t="s">
        <v>47</v>
      </c>
      <c r="B3" s="18" t="s">
        <v>48</v>
      </c>
      <c r="C3" s="18"/>
      <c r="D3" s="18"/>
    </row>
    <row r="4" spans="1:4">
      <c r="A4" s="17"/>
      <c r="B4" s="18"/>
      <c r="C4" s="18"/>
      <c r="D4" s="18"/>
    </row>
    <row r="5" spans="1:4">
      <c r="A5" s="19" t="s">
        <v>49</v>
      </c>
      <c r="B5" s="19" t="s">
        <v>50</v>
      </c>
      <c r="C5" s="19" t="s">
        <v>51</v>
      </c>
      <c r="D5" s="19" t="s">
        <v>52</v>
      </c>
    </row>
    <row r="6" spans="1:4">
      <c r="A6" s="17" t="s">
        <v>53</v>
      </c>
      <c r="B6" s="20">
        <v>390000000</v>
      </c>
      <c r="C6" s="20">
        <v>420000000</v>
      </c>
      <c r="D6" s="20">
        <v>455000000</v>
      </c>
    </row>
    <row r="7" spans="1:4">
      <c r="A7" s="17" t="s">
        <v>54</v>
      </c>
      <c r="B7" s="20">
        <v>47000000</v>
      </c>
      <c r="C7" s="20">
        <v>52000000</v>
      </c>
      <c r="D7" s="20">
        <v>58000000</v>
      </c>
    </row>
    <row r="8" spans="1:4">
      <c r="A8" s="17" t="s">
        <v>55</v>
      </c>
      <c r="B8" s="20">
        <v>90000000</v>
      </c>
      <c r="C8" s="20">
        <v>96000000</v>
      </c>
      <c r="D8" s="20">
        <v>104000000</v>
      </c>
    </row>
    <row r="9" spans="1:4">
      <c r="A9" s="17" t="s">
        <v>56</v>
      </c>
      <c r="B9" s="20">
        <v>90000000</v>
      </c>
      <c r="C9" s="20">
        <v>96000000</v>
      </c>
      <c r="D9" s="20">
        <v>104000000</v>
      </c>
    </row>
    <row r="10" spans="1:4">
      <c r="A10" s="17" t="s">
        <v>57</v>
      </c>
      <c r="B10" s="21">
        <f>SUM('Procurement - Suppliers'!P3:P82)</f>
        <v>268341557</v>
      </c>
      <c r="C10" s="21">
        <f>SUM('Procurement - Suppliers'!P3:P82)</f>
        <v>268341557</v>
      </c>
      <c r="D10" s="21">
        <f>SUM('Procurement - Suppliers'!P3:P82)</f>
        <v>268341557</v>
      </c>
    </row>
    <row r="11" spans="1:4">
      <c r="A11" s="17"/>
      <c r="B11" s="18"/>
      <c r="C11" s="18"/>
      <c r="D11" s="18"/>
    </row>
    <row r="12" spans="1:4">
      <c r="A12" s="17" t="s">
        <v>58</v>
      </c>
      <c r="B12" s="18" t="s">
        <v>59</v>
      </c>
      <c r="C12" s="18" t="s">
        <v>60</v>
      </c>
      <c r="D12" s="18"/>
    </row>
    <row r="13" spans="1:4">
      <c r="A13" s="17" t="s">
        <v>61</v>
      </c>
      <c r="B13" s="18" t="s">
        <v>62</v>
      </c>
      <c r="C13" s="18" t="s">
        <v>63</v>
      </c>
      <c r="D13" s="18"/>
    </row>
    <row r="14" spans="1:4">
      <c r="A14" s="17" t="s">
        <v>64</v>
      </c>
      <c r="B14" s="18" t="s">
        <v>65</v>
      </c>
      <c r="C14" s="18"/>
      <c r="D14" s="18"/>
    </row>
    <row r="15" spans="1:4">
      <c r="A15" s="17" t="s">
        <v>66</v>
      </c>
      <c r="B15" s="18" t="s">
        <v>67</v>
      </c>
      <c r="C15" s="18"/>
      <c r="D15" s="18"/>
    </row>
    <row r="16" spans="1:4">
      <c r="A16" s="17" t="s">
        <v>68</v>
      </c>
      <c r="B16" s="18" t="s">
        <v>69</v>
      </c>
      <c r="C16" s="18"/>
      <c r="D16" s="18"/>
    </row>
    <row r="17" spans="1:4">
      <c r="A17" s="17" t="s">
        <v>70</v>
      </c>
      <c r="B17" s="18" t="s">
        <v>69</v>
      </c>
      <c r="C17" s="18"/>
      <c r="D17" s="18"/>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zoomScaleNormal="100" workbookViewId="0"/>
  </sheetViews>
  <sheetFormatPr defaultColWidth="8.7109375" defaultRowHeight="15"/>
  <cols>
    <col min="1" max="1" width="32" customWidth="1"/>
    <col min="2" max="2" width="10" customWidth="1"/>
    <col min="3" max="3" width="9" customWidth="1"/>
    <col min="4" max="4" width="16" customWidth="1"/>
    <col min="5" max="6" width="15" customWidth="1"/>
    <col min="7" max="7" width="13" customWidth="1"/>
    <col min="8" max="8" width="15" customWidth="1"/>
    <col min="9" max="9" width="17" customWidth="1"/>
    <col min="10" max="10" width="18" customWidth="1"/>
    <col min="11" max="12" width="16" customWidth="1"/>
  </cols>
  <sheetData>
    <row r="1" spans="1:12" ht="16.149999999999999">
      <c r="A1" s="16" t="s">
        <v>71</v>
      </c>
    </row>
    <row r="2" spans="1:12" ht="39.6">
      <c r="A2" s="22" t="s">
        <v>72</v>
      </c>
      <c r="B2" s="22" t="s">
        <v>73</v>
      </c>
      <c r="C2" s="22" t="s">
        <v>74</v>
      </c>
      <c r="D2" s="22" t="s">
        <v>75</v>
      </c>
      <c r="E2" s="22" t="s">
        <v>76</v>
      </c>
      <c r="F2" s="22" t="s">
        <v>77</v>
      </c>
      <c r="G2" s="22" t="s">
        <v>78</v>
      </c>
      <c r="H2" s="22" t="s">
        <v>79</v>
      </c>
      <c r="I2" s="22" t="s">
        <v>80</v>
      </c>
      <c r="J2" s="22" t="s">
        <v>81</v>
      </c>
      <c r="K2" s="22" t="s">
        <v>82</v>
      </c>
      <c r="L2" s="22" t="s">
        <v>83</v>
      </c>
    </row>
    <row r="3" spans="1:12">
      <c r="A3" t="s">
        <v>84</v>
      </c>
      <c r="B3" t="s">
        <v>85</v>
      </c>
      <c r="C3" t="s">
        <v>86</v>
      </c>
      <c r="D3" t="s">
        <v>87</v>
      </c>
      <c r="E3" t="s">
        <v>87</v>
      </c>
      <c r="F3" t="s">
        <v>88</v>
      </c>
      <c r="G3">
        <v>28</v>
      </c>
      <c r="H3">
        <v>28</v>
      </c>
      <c r="I3" t="s">
        <v>89</v>
      </c>
      <c r="J3">
        <v>58800000</v>
      </c>
      <c r="K3">
        <v>0</v>
      </c>
      <c r="L3">
        <v>58800000</v>
      </c>
    </row>
    <row r="4" spans="1:12">
      <c r="A4" t="s">
        <v>90</v>
      </c>
      <c r="B4" t="s">
        <v>85</v>
      </c>
      <c r="C4" t="s">
        <v>91</v>
      </c>
      <c r="D4" t="s">
        <v>87</v>
      </c>
      <c r="E4" t="s">
        <v>88</v>
      </c>
      <c r="F4" t="s">
        <v>88</v>
      </c>
      <c r="G4">
        <v>24</v>
      </c>
      <c r="H4">
        <v>24</v>
      </c>
      <c r="I4" t="s">
        <v>89</v>
      </c>
      <c r="J4">
        <v>50400000</v>
      </c>
      <c r="K4">
        <v>0</v>
      </c>
      <c r="L4">
        <v>50400000</v>
      </c>
    </row>
    <row r="5" spans="1:12">
      <c r="A5" t="s">
        <v>92</v>
      </c>
      <c r="B5" t="s">
        <v>85</v>
      </c>
      <c r="C5" t="s">
        <v>86</v>
      </c>
      <c r="D5" t="s">
        <v>87</v>
      </c>
      <c r="E5" t="s">
        <v>88</v>
      </c>
      <c r="F5" t="s">
        <v>87</v>
      </c>
      <c r="G5">
        <v>6</v>
      </c>
      <c r="H5">
        <v>6</v>
      </c>
      <c r="I5" t="s">
        <v>93</v>
      </c>
      <c r="J5">
        <v>12600000</v>
      </c>
      <c r="K5">
        <v>0</v>
      </c>
      <c r="L5">
        <v>12600000</v>
      </c>
    </row>
    <row r="6" spans="1:12">
      <c r="A6" t="s">
        <v>94</v>
      </c>
      <c r="B6" t="s">
        <v>85</v>
      </c>
      <c r="C6" t="s">
        <v>86</v>
      </c>
      <c r="D6" t="s">
        <v>87</v>
      </c>
      <c r="E6" t="s">
        <v>88</v>
      </c>
      <c r="F6" t="s">
        <v>88</v>
      </c>
      <c r="G6">
        <v>5</v>
      </c>
      <c r="H6">
        <v>5</v>
      </c>
      <c r="I6" t="s">
        <v>95</v>
      </c>
      <c r="J6">
        <v>10500000</v>
      </c>
      <c r="K6">
        <v>0</v>
      </c>
      <c r="L6">
        <v>10500000</v>
      </c>
    </row>
    <row r="7" spans="1:12">
      <c r="A7" t="s">
        <v>96</v>
      </c>
      <c r="B7" t="s">
        <v>97</v>
      </c>
      <c r="C7" t="s">
        <v>91</v>
      </c>
      <c r="D7" t="s">
        <v>88</v>
      </c>
      <c r="E7" t="s">
        <v>88</v>
      </c>
      <c r="F7" t="s">
        <v>88</v>
      </c>
      <c r="G7">
        <v>37</v>
      </c>
      <c r="H7">
        <v>37</v>
      </c>
      <c r="I7" t="s">
        <v>89</v>
      </c>
      <c r="J7">
        <v>77700000</v>
      </c>
      <c r="K7">
        <v>0</v>
      </c>
      <c r="L7">
        <v>77700000</v>
      </c>
    </row>
    <row r="9" spans="1:12">
      <c r="A9" s="17" t="s">
        <v>98</v>
      </c>
      <c r="G9" s="23">
        <f>SUM(G3:G7)</f>
        <v>100</v>
      </c>
      <c r="H9" s="23">
        <f>SUM(H3:H7)</f>
        <v>100</v>
      </c>
    </row>
    <row r="11" spans="1:12">
      <c r="A11" s="17" t="s">
        <v>99</v>
      </c>
      <c r="B11" s="23">
        <f>SUMIF(B3:B7,"&lt;&gt;White",G3:G7)</f>
        <v>63</v>
      </c>
    </row>
    <row r="12" spans="1:12">
      <c r="A12" s="17" t="s">
        <v>100</v>
      </c>
      <c r="B12" s="23">
        <f>SUMIFS(G3:G7,B3:B7,"&lt;&gt;White",C3:C7,"Female")</f>
        <v>39</v>
      </c>
    </row>
    <row r="14" spans="1:12">
      <c r="A14" s="24" t="s">
        <v>101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02"/>
  <sheetViews>
    <sheetView zoomScaleNormal="100" workbookViewId="0">
      <selection activeCell="D3" sqref="D3"/>
    </sheetView>
  </sheetViews>
  <sheetFormatPr defaultColWidth="8.85546875" defaultRowHeight="15"/>
  <cols>
    <col min="1" max="1" width="25.28515625" style="25" customWidth="1"/>
    <col min="2" max="2" width="10.42578125" style="25" customWidth="1"/>
    <col min="3" max="3" width="9.140625" style="25" customWidth="1"/>
    <col min="4" max="4" width="19" style="25" customWidth="1"/>
    <col min="5" max="6" width="10.42578125" style="25" customWidth="1"/>
    <col min="7" max="7" width="10.42578125" style="26" customWidth="1"/>
    <col min="8" max="8" width="14.28515625" style="27" customWidth="1"/>
    <col min="9" max="9" width="14.140625" customWidth="1"/>
    <col min="10" max="10" width="14.28515625" customWidth="1"/>
  </cols>
  <sheetData>
    <row r="1" spans="1:10" ht="18" customHeight="1">
      <c r="A1" s="4" t="s">
        <v>102</v>
      </c>
      <c r="B1" s="4"/>
      <c r="C1" s="4"/>
      <c r="D1" s="4"/>
      <c r="E1" s="4"/>
      <c r="F1" s="4"/>
      <c r="G1" s="4"/>
      <c r="H1" s="4"/>
      <c r="I1" s="4"/>
      <c r="J1" s="4"/>
    </row>
    <row r="2" spans="1:10" ht="45" customHeight="1">
      <c r="A2" s="28" t="s">
        <v>103</v>
      </c>
      <c r="B2" s="29" t="s">
        <v>104</v>
      </c>
      <c r="C2" s="29" t="s">
        <v>105</v>
      </c>
      <c r="D2" s="30" t="s">
        <v>106</v>
      </c>
      <c r="E2" s="31" t="s">
        <v>107</v>
      </c>
      <c r="F2" s="31" t="s">
        <v>108</v>
      </c>
      <c r="G2" s="32" t="s">
        <v>109</v>
      </c>
      <c r="H2" s="33" t="s">
        <v>110</v>
      </c>
      <c r="I2" s="31" t="s">
        <v>111</v>
      </c>
      <c r="J2" s="34" t="s">
        <v>112</v>
      </c>
    </row>
    <row r="3" spans="1:10">
      <c r="A3" s="25" t="s">
        <v>113</v>
      </c>
      <c r="B3" s="25" t="s">
        <v>91</v>
      </c>
      <c r="C3" s="25" t="s">
        <v>85</v>
      </c>
      <c r="D3" s="25" t="s">
        <v>114</v>
      </c>
      <c r="E3" s="25" t="s">
        <v>88</v>
      </c>
      <c r="F3" s="25" t="s">
        <v>88</v>
      </c>
      <c r="G3" s="26" t="s">
        <v>115</v>
      </c>
      <c r="H3" s="27">
        <v>9.1</v>
      </c>
      <c r="I3" t="s">
        <v>116</v>
      </c>
      <c r="J3" t="s">
        <v>117</v>
      </c>
    </row>
    <row r="4" spans="1:10">
      <c r="A4" s="25" t="s">
        <v>118</v>
      </c>
      <c r="B4" s="25" t="s">
        <v>91</v>
      </c>
      <c r="C4" s="25" t="s">
        <v>85</v>
      </c>
      <c r="D4" s="25" t="s">
        <v>114</v>
      </c>
      <c r="E4" s="25" t="s">
        <v>88</v>
      </c>
      <c r="F4" s="25" t="s">
        <v>88</v>
      </c>
      <c r="G4" s="26" t="s">
        <v>119</v>
      </c>
      <c r="H4" s="27">
        <v>9.09</v>
      </c>
      <c r="I4" t="s">
        <v>120</v>
      </c>
      <c r="J4" t="s">
        <v>121</v>
      </c>
    </row>
    <row r="5" spans="1:10">
      <c r="A5" s="25" t="s">
        <v>122</v>
      </c>
      <c r="B5" s="25" t="s">
        <v>86</v>
      </c>
      <c r="C5" s="25" t="s">
        <v>123</v>
      </c>
      <c r="D5" s="25" t="s">
        <v>114</v>
      </c>
      <c r="E5" s="25" t="s">
        <v>88</v>
      </c>
      <c r="F5" s="25" t="s">
        <v>88</v>
      </c>
      <c r="G5" s="26" t="s">
        <v>124</v>
      </c>
      <c r="H5" s="27">
        <v>9.09</v>
      </c>
      <c r="I5" t="s">
        <v>125</v>
      </c>
      <c r="J5" t="s">
        <v>126</v>
      </c>
    </row>
    <row r="6" spans="1:10">
      <c r="A6" s="25" t="s">
        <v>127</v>
      </c>
      <c r="B6" s="25" t="s">
        <v>86</v>
      </c>
      <c r="C6" s="25" t="s">
        <v>85</v>
      </c>
      <c r="D6" s="25" t="s">
        <v>114</v>
      </c>
      <c r="E6" s="25" t="s">
        <v>88</v>
      </c>
      <c r="F6" s="25" t="s">
        <v>88</v>
      </c>
      <c r="G6" s="26" t="s">
        <v>128</v>
      </c>
      <c r="H6" s="27">
        <v>9.09</v>
      </c>
      <c r="I6" t="s">
        <v>129</v>
      </c>
      <c r="J6" t="s">
        <v>130</v>
      </c>
    </row>
    <row r="7" spans="1:10">
      <c r="A7" s="25" t="s">
        <v>131</v>
      </c>
      <c r="B7" s="25" t="s">
        <v>91</v>
      </c>
      <c r="C7" s="25" t="s">
        <v>97</v>
      </c>
      <c r="D7" s="25" t="s">
        <v>114</v>
      </c>
      <c r="E7" s="25" t="s">
        <v>88</v>
      </c>
      <c r="F7" s="25" t="s">
        <v>88</v>
      </c>
      <c r="G7" s="26" t="s">
        <v>132</v>
      </c>
      <c r="H7" s="27">
        <v>9.09</v>
      </c>
      <c r="I7" t="s">
        <v>133</v>
      </c>
      <c r="J7" t="s">
        <v>134</v>
      </c>
    </row>
    <row r="8" spans="1:10">
      <c r="A8" s="25" t="s">
        <v>135</v>
      </c>
      <c r="B8" s="25" t="s">
        <v>86</v>
      </c>
      <c r="C8" s="25" t="s">
        <v>97</v>
      </c>
      <c r="D8" s="25" t="s">
        <v>114</v>
      </c>
      <c r="E8" s="25" t="s">
        <v>88</v>
      </c>
      <c r="F8" s="25" t="s">
        <v>88</v>
      </c>
      <c r="G8" s="26" t="s">
        <v>136</v>
      </c>
      <c r="H8" s="27">
        <v>9.09</v>
      </c>
      <c r="I8" t="s">
        <v>137</v>
      </c>
      <c r="J8" t="s">
        <v>138</v>
      </c>
    </row>
    <row r="9" spans="1:10">
      <c r="A9" s="25" t="s">
        <v>139</v>
      </c>
      <c r="B9" s="25" t="s">
        <v>86</v>
      </c>
      <c r="C9" s="25" t="s">
        <v>85</v>
      </c>
      <c r="D9" s="25" t="s">
        <v>140</v>
      </c>
      <c r="E9" s="25" t="s">
        <v>88</v>
      </c>
      <c r="F9" s="25" t="s">
        <v>88</v>
      </c>
      <c r="G9" s="26" t="s">
        <v>141</v>
      </c>
      <c r="H9" s="27">
        <v>9.09</v>
      </c>
      <c r="I9" t="s">
        <v>142</v>
      </c>
      <c r="J9" t="s">
        <v>143</v>
      </c>
    </row>
    <row r="10" spans="1:10">
      <c r="A10" s="25" t="s">
        <v>144</v>
      </c>
      <c r="B10" s="25" t="s">
        <v>91</v>
      </c>
      <c r="C10" s="25" t="s">
        <v>145</v>
      </c>
      <c r="D10" s="25" t="s">
        <v>140</v>
      </c>
      <c r="E10" s="25" t="s">
        <v>88</v>
      </c>
      <c r="F10" s="25" t="s">
        <v>88</v>
      </c>
      <c r="G10" s="26" t="s">
        <v>146</v>
      </c>
      <c r="H10" s="27">
        <v>9.09</v>
      </c>
      <c r="I10" t="s">
        <v>147</v>
      </c>
      <c r="J10" t="s">
        <v>148</v>
      </c>
    </row>
    <row r="11" spans="1:10">
      <c r="A11" s="25" t="s">
        <v>149</v>
      </c>
      <c r="B11" s="25" t="s">
        <v>86</v>
      </c>
      <c r="C11" s="25" t="s">
        <v>97</v>
      </c>
      <c r="D11" s="25" t="s">
        <v>140</v>
      </c>
      <c r="E11" s="25" t="s">
        <v>88</v>
      </c>
      <c r="F11" s="25" t="s">
        <v>88</v>
      </c>
      <c r="G11" s="26" t="s">
        <v>150</v>
      </c>
      <c r="H11" s="27">
        <v>9.09</v>
      </c>
      <c r="I11" t="s">
        <v>151</v>
      </c>
      <c r="J11" t="s">
        <v>152</v>
      </c>
    </row>
    <row r="12" spans="1:10">
      <c r="A12" s="25" t="s">
        <v>153</v>
      </c>
      <c r="B12" s="25" t="s">
        <v>91</v>
      </c>
      <c r="C12" s="25" t="s">
        <v>85</v>
      </c>
      <c r="D12" s="25" t="s">
        <v>140</v>
      </c>
      <c r="E12" s="25" t="s">
        <v>88</v>
      </c>
      <c r="F12" s="25" t="s">
        <v>88</v>
      </c>
      <c r="G12" s="26" t="s">
        <v>154</v>
      </c>
      <c r="H12" s="27">
        <v>9.09</v>
      </c>
      <c r="I12" t="s">
        <v>155</v>
      </c>
      <c r="J12" t="s">
        <v>156</v>
      </c>
    </row>
    <row r="13" spans="1:10">
      <c r="A13" s="25" t="s">
        <v>157</v>
      </c>
      <c r="B13" s="25" t="s">
        <v>86</v>
      </c>
      <c r="C13" s="25" t="s">
        <v>85</v>
      </c>
      <c r="D13" s="25" t="s">
        <v>140</v>
      </c>
      <c r="E13" s="25" t="s">
        <v>88</v>
      </c>
      <c r="F13" s="25" t="s">
        <v>88</v>
      </c>
      <c r="G13" s="26" t="s">
        <v>158</v>
      </c>
      <c r="H13" s="27">
        <v>9.09</v>
      </c>
      <c r="I13" t="s">
        <v>159</v>
      </c>
      <c r="J13" t="s">
        <v>160</v>
      </c>
    </row>
    <row r="14" spans="1:10">
      <c r="A14" s="25" t="s">
        <v>161</v>
      </c>
      <c r="B14" s="25" t="s">
        <v>91</v>
      </c>
      <c r="C14" s="25" t="s">
        <v>85</v>
      </c>
      <c r="D14" s="25" t="s">
        <v>162</v>
      </c>
      <c r="E14" s="25" t="s">
        <v>88</v>
      </c>
      <c r="F14" s="25" t="s">
        <v>88</v>
      </c>
      <c r="G14" s="26" t="s">
        <v>163</v>
      </c>
      <c r="H14" s="27">
        <v>0</v>
      </c>
      <c r="I14" t="s">
        <v>164</v>
      </c>
      <c r="J14" t="s">
        <v>165</v>
      </c>
    </row>
    <row r="15" spans="1:10">
      <c r="A15" s="25" t="s">
        <v>166</v>
      </c>
      <c r="B15" s="25" t="s">
        <v>91</v>
      </c>
      <c r="C15" s="25" t="s">
        <v>97</v>
      </c>
      <c r="D15" s="25" t="s">
        <v>162</v>
      </c>
      <c r="E15" s="25" t="s">
        <v>88</v>
      </c>
      <c r="F15" s="25" t="s">
        <v>88</v>
      </c>
      <c r="G15" s="26" t="s">
        <v>167</v>
      </c>
      <c r="H15" s="27">
        <v>0</v>
      </c>
      <c r="I15" t="s">
        <v>168</v>
      </c>
      <c r="J15" t="s">
        <v>169</v>
      </c>
    </row>
    <row r="16" spans="1:10">
      <c r="A16" s="25" t="s">
        <v>170</v>
      </c>
      <c r="B16" s="25" t="s">
        <v>86</v>
      </c>
      <c r="C16" s="25" t="s">
        <v>85</v>
      </c>
      <c r="D16" s="25" t="s">
        <v>162</v>
      </c>
      <c r="E16" s="25" t="s">
        <v>88</v>
      </c>
      <c r="F16" s="25" t="s">
        <v>88</v>
      </c>
      <c r="G16" s="26" t="s">
        <v>171</v>
      </c>
      <c r="H16" s="27">
        <v>0</v>
      </c>
      <c r="I16" t="s">
        <v>172</v>
      </c>
      <c r="J16" t="s">
        <v>173</v>
      </c>
    </row>
    <row r="17" spans="1:10">
      <c r="A17" s="25" t="s">
        <v>174</v>
      </c>
      <c r="B17" s="25" t="s">
        <v>86</v>
      </c>
      <c r="C17" s="25" t="s">
        <v>85</v>
      </c>
      <c r="D17" s="25" t="s">
        <v>162</v>
      </c>
      <c r="E17" s="25" t="s">
        <v>88</v>
      </c>
      <c r="F17" s="25" t="s">
        <v>88</v>
      </c>
      <c r="G17" s="26" t="s">
        <v>175</v>
      </c>
      <c r="H17" s="27">
        <v>0</v>
      </c>
      <c r="I17" t="s">
        <v>176</v>
      </c>
      <c r="J17" t="s">
        <v>177</v>
      </c>
    </row>
    <row r="18" spans="1:10">
      <c r="A18" s="25" t="s">
        <v>178</v>
      </c>
      <c r="B18" s="25" t="s">
        <v>91</v>
      </c>
      <c r="C18" s="25" t="s">
        <v>97</v>
      </c>
      <c r="D18" s="25" t="s">
        <v>162</v>
      </c>
      <c r="E18" s="25" t="s">
        <v>88</v>
      </c>
      <c r="F18" s="25" t="s">
        <v>88</v>
      </c>
      <c r="G18" s="26" t="s">
        <v>179</v>
      </c>
      <c r="H18" s="27">
        <v>0</v>
      </c>
      <c r="I18" t="s">
        <v>180</v>
      </c>
      <c r="J18" t="s">
        <v>181</v>
      </c>
    </row>
    <row r="19" spans="1:10">
      <c r="A19" s="25" t="s">
        <v>182</v>
      </c>
      <c r="B19" s="25" t="s">
        <v>86</v>
      </c>
      <c r="C19" s="25" t="s">
        <v>85</v>
      </c>
      <c r="D19" s="25" t="s">
        <v>162</v>
      </c>
      <c r="E19" s="25" t="s">
        <v>88</v>
      </c>
      <c r="F19" s="25" t="s">
        <v>88</v>
      </c>
      <c r="G19" s="26" t="s">
        <v>183</v>
      </c>
      <c r="H19" s="27">
        <v>0</v>
      </c>
      <c r="I19" t="s">
        <v>184</v>
      </c>
      <c r="J19" t="s">
        <v>185</v>
      </c>
    </row>
    <row r="20" spans="1:10">
      <c r="A20" s="25" t="s">
        <v>186</v>
      </c>
      <c r="B20" s="25" t="s">
        <v>91</v>
      </c>
      <c r="C20" s="25" t="s">
        <v>85</v>
      </c>
      <c r="D20" s="25" t="s">
        <v>162</v>
      </c>
      <c r="E20" s="25" t="s">
        <v>88</v>
      </c>
      <c r="F20" s="25" t="s">
        <v>88</v>
      </c>
      <c r="G20" s="26" t="s">
        <v>187</v>
      </c>
      <c r="H20" s="27">
        <v>0</v>
      </c>
      <c r="I20" t="s">
        <v>188</v>
      </c>
      <c r="J20" t="s">
        <v>189</v>
      </c>
    </row>
    <row r="21" spans="1:10">
      <c r="A21" s="25" t="s">
        <v>190</v>
      </c>
      <c r="B21" s="25" t="s">
        <v>86</v>
      </c>
      <c r="C21" s="25" t="s">
        <v>85</v>
      </c>
      <c r="D21" s="25" t="s">
        <v>162</v>
      </c>
      <c r="E21" s="25" t="s">
        <v>88</v>
      </c>
      <c r="F21" s="25" t="s">
        <v>88</v>
      </c>
      <c r="G21" s="26" t="s">
        <v>191</v>
      </c>
      <c r="H21" s="27">
        <v>0</v>
      </c>
      <c r="I21" t="s">
        <v>192</v>
      </c>
      <c r="J21" t="s">
        <v>193</v>
      </c>
    </row>
    <row r="22" spans="1:10">
      <c r="A22" s="25" t="s">
        <v>194</v>
      </c>
      <c r="B22" s="25" t="s">
        <v>86</v>
      </c>
      <c r="C22" s="25" t="s">
        <v>97</v>
      </c>
      <c r="D22" s="25" t="s">
        <v>162</v>
      </c>
      <c r="E22" s="25" t="s">
        <v>88</v>
      </c>
      <c r="F22" s="25" t="s">
        <v>88</v>
      </c>
      <c r="G22" s="26" t="s">
        <v>195</v>
      </c>
      <c r="H22" s="27">
        <v>0</v>
      </c>
      <c r="I22" t="s">
        <v>196</v>
      </c>
      <c r="J22" t="s">
        <v>197</v>
      </c>
    </row>
    <row r="23" spans="1:10">
      <c r="A23" s="25" t="s">
        <v>198</v>
      </c>
      <c r="B23" s="25" t="s">
        <v>91</v>
      </c>
      <c r="C23" s="25" t="s">
        <v>123</v>
      </c>
      <c r="D23" s="25" t="s">
        <v>162</v>
      </c>
      <c r="E23" s="25" t="s">
        <v>88</v>
      </c>
      <c r="F23" s="25" t="s">
        <v>88</v>
      </c>
      <c r="G23" s="26" t="s">
        <v>199</v>
      </c>
      <c r="H23" s="27">
        <v>0</v>
      </c>
      <c r="I23" t="s">
        <v>200</v>
      </c>
      <c r="J23" t="s">
        <v>201</v>
      </c>
    </row>
    <row r="24" spans="1:10">
      <c r="A24" s="25" t="s">
        <v>202</v>
      </c>
      <c r="B24" s="25" t="s">
        <v>91</v>
      </c>
      <c r="C24" s="25" t="s">
        <v>85</v>
      </c>
      <c r="D24" s="25" t="s">
        <v>162</v>
      </c>
      <c r="E24" s="25" t="s">
        <v>88</v>
      </c>
      <c r="F24" s="25" t="s">
        <v>88</v>
      </c>
      <c r="G24" s="26" t="s">
        <v>203</v>
      </c>
      <c r="H24" s="27">
        <v>0</v>
      </c>
      <c r="I24" t="s">
        <v>204</v>
      </c>
      <c r="J24" t="s">
        <v>205</v>
      </c>
    </row>
    <row r="25" spans="1:10">
      <c r="A25" s="25" t="s">
        <v>206</v>
      </c>
      <c r="B25" s="25" t="s">
        <v>86</v>
      </c>
      <c r="C25" s="25" t="s">
        <v>97</v>
      </c>
      <c r="D25" s="25" t="s">
        <v>162</v>
      </c>
      <c r="E25" s="25" t="s">
        <v>88</v>
      </c>
      <c r="F25" s="25" t="s">
        <v>88</v>
      </c>
      <c r="G25" s="26" t="s">
        <v>207</v>
      </c>
      <c r="H25" s="27">
        <v>0</v>
      </c>
      <c r="I25" t="s">
        <v>208</v>
      </c>
      <c r="J25" t="s">
        <v>209</v>
      </c>
    </row>
    <row r="26" spans="1:10">
      <c r="A26" s="25" t="s">
        <v>210</v>
      </c>
      <c r="B26" s="25" t="s">
        <v>86</v>
      </c>
      <c r="C26" s="25" t="s">
        <v>85</v>
      </c>
      <c r="D26" s="25" t="s">
        <v>162</v>
      </c>
      <c r="E26" s="25" t="s">
        <v>88</v>
      </c>
      <c r="F26" s="25" t="s">
        <v>88</v>
      </c>
      <c r="G26" s="26" t="s">
        <v>211</v>
      </c>
      <c r="H26" s="27">
        <v>0</v>
      </c>
      <c r="I26" t="s">
        <v>212</v>
      </c>
      <c r="J26" t="s">
        <v>213</v>
      </c>
    </row>
    <row r="27" spans="1:10">
      <c r="A27" s="25" t="s">
        <v>214</v>
      </c>
      <c r="B27" s="25" t="s">
        <v>91</v>
      </c>
      <c r="C27" s="25" t="s">
        <v>97</v>
      </c>
      <c r="D27" s="25" t="s">
        <v>162</v>
      </c>
      <c r="E27" s="25" t="s">
        <v>88</v>
      </c>
      <c r="F27" s="25" t="s">
        <v>88</v>
      </c>
      <c r="G27" s="26" t="s">
        <v>215</v>
      </c>
      <c r="H27" s="27">
        <v>0</v>
      </c>
      <c r="I27" t="s">
        <v>216</v>
      </c>
      <c r="J27" t="s">
        <v>217</v>
      </c>
    </row>
    <row r="28" spans="1:10">
      <c r="A28" s="25" t="s">
        <v>218</v>
      </c>
      <c r="B28" s="25" t="s">
        <v>86</v>
      </c>
      <c r="C28" s="25" t="s">
        <v>97</v>
      </c>
      <c r="D28" s="25" t="s">
        <v>219</v>
      </c>
      <c r="E28" s="25" t="s">
        <v>88</v>
      </c>
      <c r="F28" s="25" t="s">
        <v>88</v>
      </c>
      <c r="G28" s="26" t="s">
        <v>220</v>
      </c>
      <c r="H28" s="27">
        <v>0</v>
      </c>
      <c r="I28" t="s">
        <v>221</v>
      </c>
      <c r="J28" t="s">
        <v>222</v>
      </c>
    </row>
    <row r="29" spans="1:10">
      <c r="A29" s="25" t="s">
        <v>223</v>
      </c>
      <c r="B29" s="25" t="s">
        <v>91</v>
      </c>
      <c r="C29" s="25" t="s">
        <v>85</v>
      </c>
      <c r="D29" s="25" t="s">
        <v>219</v>
      </c>
      <c r="E29" s="25" t="s">
        <v>88</v>
      </c>
      <c r="F29" s="25" t="s">
        <v>88</v>
      </c>
      <c r="G29" s="26" t="s">
        <v>224</v>
      </c>
      <c r="H29" s="27">
        <v>0</v>
      </c>
      <c r="I29" t="s">
        <v>225</v>
      </c>
      <c r="J29" t="s">
        <v>226</v>
      </c>
    </row>
    <row r="30" spans="1:10">
      <c r="A30" s="25" t="s">
        <v>227</v>
      </c>
      <c r="B30" s="25" t="s">
        <v>91</v>
      </c>
      <c r="C30" s="25" t="s">
        <v>97</v>
      </c>
      <c r="D30" s="25" t="s">
        <v>219</v>
      </c>
      <c r="E30" s="25" t="s">
        <v>88</v>
      </c>
      <c r="F30" s="25" t="s">
        <v>88</v>
      </c>
      <c r="G30" s="26" t="s">
        <v>228</v>
      </c>
      <c r="H30" s="27">
        <v>0</v>
      </c>
      <c r="I30" t="s">
        <v>229</v>
      </c>
      <c r="J30" t="s">
        <v>230</v>
      </c>
    </row>
    <row r="31" spans="1:10">
      <c r="A31" s="25" t="s">
        <v>231</v>
      </c>
      <c r="B31" s="25" t="s">
        <v>86</v>
      </c>
      <c r="C31" s="25" t="s">
        <v>85</v>
      </c>
      <c r="D31" s="25" t="s">
        <v>219</v>
      </c>
      <c r="E31" s="25" t="s">
        <v>87</v>
      </c>
      <c r="F31" s="25" t="s">
        <v>88</v>
      </c>
      <c r="G31" s="26" t="s">
        <v>232</v>
      </c>
      <c r="H31" s="27">
        <v>0</v>
      </c>
      <c r="I31" t="s">
        <v>233</v>
      </c>
      <c r="J31" t="s">
        <v>234</v>
      </c>
    </row>
    <row r="32" spans="1:10">
      <c r="A32" s="25" t="s">
        <v>235</v>
      </c>
      <c r="B32" s="25" t="s">
        <v>86</v>
      </c>
      <c r="C32" s="25" t="s">
        <v>85</v>
      </c>
      <c r="D32" s="25" t="s">
        <v>219</v>
      </c>
      <c r="E32" s="25" t="s">
        <v>88</v>
      </c>
      <c r="F32" s="25" t="s">
        <v>88</v>
      </c>
      <c r="G32" s="26" t="s">
        <v>236</v>
      </c>
      <c r="H32" s="27">
        <v>0</v>
      </c>
      <c r="I32" t="s">
        <v>237</v>
      </c>
      <c r="J32" t="s">
        <v>238</v>
      </c>
    </row>
    <row r="33" spans="1:10">
      <c r="A33" s="25" t="s">
        <v>239</v>
      </c>
      <c r="B33" s="25" t="s">
        <v>86</v>
      </c>
      <c r="C33" s="25" t="s">
        <v>85</v>
      </c>
      <c r="D33" s="25" t="s">
        <v>219</v>
      </c>
      <c r="E33" s="25" t="s">
        <v>88</v>
      </c>
      <c r="F33" s="25" t="s">
        <v>88</v>
      </c>
      <c r="G33" s="26" t="s">
        <v>240</v>
      </c>
      <c r="H33" s="27">
        <v>0</v>
      </c>
      <c r="I33" t="s">
        <v>241</v>
      </c>
      <c r="J33" t="s">
        <v>242</v>
      </c>
    </row>
    <row r="34" spans="1:10">
      <c r="A34" s="25" t="s">
        <v>243</v>
      </c>
      <c r="B34" s="25" t="s">
        <v>86</v>
      </c>
      <c r="C34" s="25" t="s">
        <v>145</v>
      </c>
      <c r="D34" s="25" t="s">
        <v>219</v>
      </c>
      <c r="E34" s="25" t="s">
        <v>88</v>
      </c>
      <c r="F34" s="25" t="s">
        <v>88</v>
      </c>
      <c r="G34" s="26" t="s">
        <v>244</v>
      </c>
      <c r="H34" s="27">
        <v>0</v>
      </c>
      <c r="I34" t="s">
        <v>245</v>
      </c>
      <c r="J34" t="s">
        <v>246</v>
      </c>
    </row>
    <row r="35" spans="1:10">
      <c r="A35" s="25" t="s">
        <v>247</v>
      </c>
      <c r="B35" s="25" t="s">
        <v>86</v>
      </c>
      <c r="C35" s="25" t="s">
        <v>97</v>
      </c>
      <c r="D35" s="25" t="s">
        <v>219</v>
      </c>
      <c r="E35" s="25" t="s">
        <v>88</v>
      </c>
      <c r="F35" s="25" t="s">
        <v>88</v>
      </c>
      <c r="G35" s="26" t="s">
        <v>248</v>
      </c>
      <c r="H35" s="27">
        <v>0</v>
      </c>
      <c r="I35" t="s">
        <v>249</v>
      </c>
      <c r="J35" t="s">
        <v>250</v>
      </c>
    </row>
    <row r="36" spans="1:10">
      <c r="A36" s="25" t="s">
        <v>251</v>
      </c>
      <c r="B36" s="25" t="s">
        <v>86</v>
      </c>
      <c r="C36" s="25" t="s">
        <v>85</v>
      </c>
      <c r="D36" s="25" t="s">
        <v>219</v>
      </c>
      <c r="E36" s="25" t="s">
        <v>88</v>
      </c>
      <c r="F36" s="25" t="s">
        <v>88</v>
      </c>
      <c r="G36" s="26" t="s">
        <v>252</v>
      </c>
      <c r="H36" s="27">
        <v>0</v>
      </c>
      <c r="I36" t="s">
        <v>253</v>
      </c>
      <c r="J36" t="s">
        <v>254</v>
      </c>
    </row>
    <row r="37" spans="1:10">
      <c r="A37" s="25" t="s">
        <v>255</v>
      </c>
      <c r="B37" s="25" t="s">
        <v>91</v>
      </c>
      <c r="C37" s="25" t="s">
        <v>97</v>
      </c>
      <c r="D37" s="25" t="s">
        <v>219</v>
      </c>
      <c r="E37" s="25" t="s">
        <v>88</v>
      </c>
      <c r="F37" s="25" t="s">
        <v>88</v>
      </c>
      <c r="G37" s="26" t="s">
        <v>256</v>
      </c>
      <c r="H37" s="27">
        <v>0</v>
      </c>
      <c r="I37" t="s">
        <v>257</v>
      </c>
      <c r="J37" t="s">
        <v>258</v>
      </c>
    </row>
    <row r="38" spans="1:10">
      <c r="A38" s="25" t="s">
        <v>259</v>
      </c>
      <c r="B38" s="25" t="s">
        <v>91</v>
      </c>
      <c r="C38" s="25" t="s">
        <v>97</v>
      </c>
      <c r="D38" s="25" t="s">
        <v>219</v>
      </c>
      <c r="E38" s="25" t="s">
        <v>88</v>
      </c>
      <c r="F38" s="25" t="s">
        <v>88</v>
      </c>
      <c r="G38" s="26" t="s">
        <v>260</v>
      </c>
      <c r="H38" s="27">
        <v>0</v>
      </c>
      <c r="I38" t="s">
        <v>261</v>
      </c>
      <c r="J38" t="s">
        <v>262</v>
      </c>
    </row>
    <row r="39" spans="1:10">
      <c r="A39" s="25" t="s">
        <v>263</v>
      </c>
      <c r="B39" s="25" t="s">
        <v>86</v>
      </c>
      <c r="C39" s="25" t="s">
        <v>85</v>
      </c>
      <c r="D39" s="25" t="s">
        <v>219</v>
      </c>
      <c r="E39" s="25" t="s">
        <v>88</v>
      </c>
      <c r="F39" s="25" t="s">
        <v>88</v>
      </c>
      <c r="G39" s="26" t="s">
        <v>264</v>
      </c>
      <c r="H39" s="27">
        <v>0</v>
      </c>
      <c r="I39" t="s">
        <v>265</v>
      </c>
      <c r="J39" t="s">
        <v>266</v>
      </c>
    </row>
    <row r="40" spans="1:10">
      <c r="A40" s="25" t="s">
        <v>267</v>
      </c>
      <c r="B40" s="25" t="s">
        <v>86</v>
      </c>
      <c r="C40" s="25" t="s">
        <v>85</v>
      </c>
      <c r="D40" s="25" t="s">
        <v>219</v>
      </c>
      <c r="E40" s="25" t="s">
        <v>88</v>
      </c>
      <c r="F40" s="25" t="s">
        <v>88</v>
      </c>
      <c r="G40" s="26" t="s">
        <v>268</v>
      </c>
      <c r="H40" s="27">
        <v>0</v>
      </c>
      <c r="I40" t="s">
        <v>269</v>
      </c>
      <c r="J40" t="s">
        <v>270</v>
      </c>
    </row>
    <row r="41" spans="1:10">
      <c r="A41" s="25" t="s">
        <v>263</v>
      </c>
      <c r="B41" s="25" t="s">
        <v>86</v>
      </c>
      <c r="C41" s="25" t="s">
        <v>85</v>
      </c>
      <c r="D41" s="25" t="s">
        <v>219</v>
      </c>
      <c r="E41" s="25" t="s">
        <v>88</v>
      </c>
      <c r="F41" s="25" t="s">
        <v>88</v>
      </c>
      <c r="G41" s="26" t="s">
        <v>271</v>
      </c>
      <c r="H41" s="27">
        <v>0</v>
      </c>
      <c r="I41" t="s">
        <v>272</v>
      </c>
      <c r="J41" t="s">
        <v>273</v>
      </c>
    </row>
    <row r="42" spans="1:10">
      <c r="A42" s="25" t="s">
        <v>274</v>
      </c>
      <c r="B42" s="25" t="s">
        <v>86</v>
      </c>
      <c r="C42" s="25" t="s">
        <v>97</v>
      </c>
      <c r="D42" s="25" t="s">
        <v>219</v>
      </c>
      <c r="E42" s="25" t="s">
        <v>88</v>
      </c>
      <c r="F42" s="25" t="s">
        <v>88</v>
      </c>
      <c r="G42" s="26" t="s">
        <v>275</v>
      </c>
      <c r="H42" s="27">
        <v>0</v>
      </c>
      <c r="I42" t="s">
        <v>276</v>
      </c>
      <c r="J42" t="s">
        <v>234</v>
      </c>
    </row>
    <row r="43" spans="1:10">
      <c r="A43" s="25" t="s">
        <v>277</v>
      </c>
      <c r="B43" s="25" t="s">
        <v>91</v>
      </c>
      <c r="C43" s="25" t="s">
        <v>85</v>
      </c>
      <c r="D43" s="25" t="s">
        <v>219</v>
      </c>
      <c r="E43" s="25" t="s">
        <v>88</v>
      </c>
      <c r="F43" s="25" t="s">
        <v>88</v>
      </c>
      <c r="G43" s="26" t="s">
        <v>278</v>
      </c>
      <c r="H43" s="27">
        <v>0</v>
      </c>
      <c r="I43" t="s">
        <v>279</v>
      </c>
      <c r="J43" t="s">
        <v>280</v>
      </c>
    </row>
    <row r="44" spans="1:10">
      <c r="A44" s="25" t="s">
        <v>281</v>
      </c>
      <c r="B44" s="25" t="s">
        <v>91</v>
      </c>
      <c r="C44" s="25" t="s">
        <v>85</v>
      </c>
      <c r="D44" s="25" t="s">
        <v>219</v>
      </c>
      <c r="E44" s="25" t="s">
        <v>88</v>
      </c>
      <c r="F44" s="25" t="s">
        <v>88</v>
      </c>
      <c r="G44" s="26" t="s">
        <v>282</v>
      </c>
      <c r="H44" s="27">
        <v>0</v>
      </c>
      <c r="I44" t="s">
        <v>283</v>
      </c>
      <c r="J44" t="s">
        <v>284</v>
      </c>
    </row>
    <row r="45" spans="1:10">
      <c r="A45" s="25" t="s">
        <v>285</v>
      </c>
      <c r="B45" s="25" t="s">
        <v>91</v>
      </c>
      <c r="C45" s="25" t="s">
        <v>97</v>
      </c>
      <c r="D45" s="25" t="s">
        <v>219</v>
      </c>
      <c r="E45" s="25" t="s">
        <v>88</v>
      </c>
      <c r="F45" s="25" t="s">
        <v>88</v>
      </c>
      <c r="G45" s="26" t="s">
        <v>286</v>
      </c>
      <c r="H45" s="27">
        <v>0</v>
      </c>
      <c r="I45" t="s">
        <v>287</v>
      </c>
      <c r="J45" t="s">
        <v>288</v>
      </c>
    </row>
    <row r="46" spans="1:10">
      <c r="A46" s="25" t="s">
        <v>289</v>
      </c>
      <c r="B46" s="25" t="s">
        <v>91</v>
      </c>
      <c r="C46" s="25" t="s">
        <v>85</v>
      </c>
      <c r="D46" s="25" t="s">
        <v>219</v>
      </c>
      <c r="E46" s="25" t="s">
        <v>88</v>
      </c>
      <c r="F46" s="25" t="s">
        <v>88</v>
      </c>
      <c r="G46" s="26" t="s">
        <v>290</v>
      </c>
      <c r="H46" s="27">
        <v>0</v>
      </c>
      <c r="I46" t="s">
        <v>291</v>
      </c>
      <c r="J46" t="s">
        <v>292</v>
      </c>
    </row>
    <row r="47" spans="1:10">
      <c r="A47" s="25" t="s">
        <v>293</v>
      </c>
      <c r="B47" s="25" t="s">
        <v>91</v>
      </c>
      <c r="C47" s="25" t="s">
        <v>85</v>
      </c>
      <c r="D47" s="25" t="s">
        <v>219</v>
      </c>
      <c r="E47" s="25" t="s">
        <v>88</v>
      </c>
      <c r="F47" s="25" t="s">
        <v>88</v>
      </c>
      <c r="G47" s="26" t="s">
        <v>294</v>
      </c>
      <c r="H47" s="27">
        <v>0</v>
      </c>
      <c r="I47" t="s">
        <v>295</v>
      </c>
      <c r="J47" t="s">
        <v>296</v>
      </c>
    </row>
    <row r="48" spans="1:10">
      <c r="A48" s="25" t="s">
        <v>297</v>
      </c>
      <c r="B48" s="25" t="s">
        <v>91</v>
      </c>
      <c r="C48" s="25" t="s">
        <v>97</v>
      </c>
      <c r="D48" s="25" t="s">
        <v>219</v>
      </c>
      <c r="E48" s="25" t="s">
        <v>88</v>
      </c>
      <c r="F48" s="25" t="s">
        <v>88</v>
      </c>
      <c r="G48" s="26" t="s">
        <v>298</v>
      </c>
      <c r="H48" s="27">
        <v>0</v>
      </c>
      <c r="I48" t="s">
        <v>299</v>
      </c>
      <c r="J48" t="s">
        <v>300</v>
      </c>
    </row>
    <row r="49" spans="1:10">
      <c r="A49" s="25" t="s">
        <v>301</v>
      </c>
      <c r="B49" s="25" t="s">
        <v>91</v>
      </c>
      <c r="C49" s="25" t="s">
        <v>85</v>
      </c>
      <c r="D49" s="25" t="s">
        <v>219</v>
      </c>
      <c r="E49" s="25" t="s">
        <v>88</v>
      </c>
      <c r="F49" s="25" t="s">
        <v>88</v>
      </c>
      <c r="G49" s="26" t="s">
        <v>302</v>
      </c>
      <c r="H49" s="27">
        <v>0</v>
      </c>
      <c r="I49" t="s">
        <v>303</v>
      </c>
      <c r="J49" t="s">
        <v>304</v>
      </c>
    </row>
    <row r="50" spans="1:10">
      <c r="A50" s="25" t="s">
        <v>305</v>
      </c>
      <c r="B50" s="25" t="s">
        <v>86</v>
      </c>
      <c r="C50" s="25" t="s">
        <v>85</v>
      </c>
      <c r="D50" s="25" t="s">
        <v>219</v>
      </c>
      <c r="E50" s="25" t="s">
        <v>88</v>
      </c>
      <c r="F50" s="25" t="s">
        <v>88</v>
      </c>
      <c r="G50" s="26" t="s">
        <v>306</v>
      </c>
      <c r="H50" s="27">
        <v>0</v>
      </c>
      <c r="I50" t="s">
        <v>307</v>
      </c>
      <c r="J50" t="s">
        <v>308</v>
      </c>
    </row>
    <row r="51" spans="1:10">
      <c r="A51" s="25" t="s">
        <v>309</v>
      </c>
      <c r="B51" s="25" t="s">
        <v>91</v>
      </c>
      <c r="C51" s="25" t="s">
        <v>97</v>
      </c>
      <c r="D51" s="25" t="s">
        <v>219</v>
      </c>
      <c r="E51" s="25" t="s">
        <v>88</v>
      </c>
      <c r="F51" s="25" t="s">
        <v>88</v>
      </c>
      <c r="G51" s="26" t="s">
        <v>310</v>
      </c>
      <c r="H51" s="27">
        <v>0</v>
      </c>
      <c r="I51" t="s">
        <v>311</v>
      </c>
      <c r="J51" t="s">
        <v>312</v>
      </c>
    </row>
    <row r="52" spans="1:10">
      <c r="A52" s="25" t="s">
        <v>313</v>
      </c>
      <c r="B52" s="25" t="s">
        <v>86</v>
      </c>
      <c r="C52" s="25" t="s">
        <v>85</v>
      </c>
      <c r="D52" s="25" t="s">
        <v>219</v>
      </c>
      <c r="E52" s="25" t="s">
        <v>88</v>
      </c>
      <c r="F52" s="25" t="s">
        <v>88</v>
      </c>
      <c r="G52" s="26" t="s">
        <v>314</v>
      </c>
      <c r="H52" s="27">
        <v>0</v>
      </c>
      <c r="I52" t="s">
        <v>315</v>
      </c>
      <c r="J52" t="s">
        <v>316</v>
      </c>
    </row>
    <row r="53" spans="1:10">
      <c r="A53" s="25" t="s">
        <v>317</v>
      </c>
      <c r="B53" s="25" t="s">
        <v>86</v>
      </c>
      <c r="C53" s="25" t="s">
        <v>97</v>
      </c>
      <c r="D53" s="25" t="s">
        <v>219</v>
      </c>
      <c r="E53" s="25" t="s">
        <v>88</v>
      </c>
      <c r="F53" s="25" t="s">
        <v>88</v>
      </c>
      <c r="G53" s="26" t="s">
        <v>318</v>
      </c>
      <c r="H53" s="27">
        <v>0</v>
      </c>
      <c r="I53" t="s">
        <v>319</v>
      </c>
      <c r="J53" t="s">
        <v>320</v>
      </c>
    </row>
    <row r="54" spans="1:10">
      <c r="A54" s="25" t="s">
        <v>321</v>
      </c>
      <c r="B54" s="25" t="s">
        <v>91</v>
      </c>
      <c r="C54" s="25" t="s">
        <v>85</v>
      </c>
      <c r="D54" s="25" t="s">
        <v>219</v>
      </c>
      <c r="E54" s="25" t="s">
        <v>87</v>
      </c>
      <c r="F54" s="25" t="s">
        <v>88</v>
      </c>
      <c r="G54" s="26" t="s">
        <v>322</v>
      </c>
      <c r="H54" s="27">
        <v>0</v>
      </c>
      <c r="I54" t="s">
        <v>323</v>
      </c>
      <c r="J54" t="s">
        <v>324</v>
      </c>
    </row>
    <row r="55" spans="1:10">
      <c r="A55" s="25" t="s">
        <v>325</v>
      </c>
      <c r="B55" s="25" t="s">
        <v>86</v>
      </c>
      <c r="C55" s="25" t="s">
        <v>145</v>
      </c>
      <c r="D55" s="25" t="s">
        <v>219</v>
      </c>
      <c r="E55" s="25" t="s">
        <v>88</v>
      </c>
      <c r="F55" s="25" t="s">
        <v>88</v>
      </c>
      <c r="G55" s="26" t="s">
        <v>326</v>
      </c>
      <c r="H55" s="27">
        <v>0</v>
      </c>
      <c r="I55" t="s">
        <v>327</v>
      </c>
      <c r="J55" t="s">
        <v>328</v>
      </c>
    </row>
    <row r="56" spans="1:10">
      <c r="A56" s="25" t="s">
        <v>90</v>
      </c>
      <c r="B56" s="25" t="s">
        <v>91</v>
      </c>
      <c r="C56" s="25" t="s">
        <v>85</v>
      </c>
      <c r="D56" s="25" t="s">
        <v>219</v>
      </c>
      <c r="E56" s="25" t="s">
        <v>88</v>
      </c>
      <c r="F56" s="25" t="s">
        <v>88</v>
      </c>
      <c r="G56" s="26" t="s">
        <v>329</v>
      </c>
      <c r="H56" s="27">
        <v>0</v>
      </c>
      <c r="I56" t="s">
        <v>330</v>
      </c>
      <c r="J56" t="s">
        <v>331</v>
      </c>
    </row>
    <row r="57" spans="1:10">
      <c r="A57" s="25" t="s">
        <v>332</v>
      </c>
      <c r="B57" s="25" t="s">
        <v>91</v>
      </c>
      <c r="C57" s="25" t="s">
        <v>123</v>
      </c>
      <c r="D57" s="25" t="s">
        <v>219</v>
      </c>
      <c r="E57" s="25" t="s">
        <v>88</v>
      </c>
      <c r="F57" s="25" t="s">
        <v>88</v>
      </c>
      <c r="G57" s="26" t="s">
        <v>333</v>
      </c>
      <c r="H57" s="27">
        <v>0</v>
      </c>
      <c r="I57" t="s">
        <v>334</v>
      </c>
      <c r="J57" t="s">
        <v>335</v>
      </c>
    </row>
    <row r="58" spans="1:10">
      <c r="A58" s="25" t="s">
        <v>336</v>
      </c>
      <c r="B58" s="25" t="s">
        <v>86</v>
      </c>
      <c r="C58" s="25" t="s">
        <v>97</v>
      </c>
      <c r="D58" s="25" t="s">
        <v>219</v>
      </c>
      <c r="E58" s="25" t="s">
        <v>88</v>
      </c>
      <c r="F58" s="25" t="s">
        <v>88</v>
      </c>
      <c r="G58" s="26" t="s">
        <v>337</v>
      </c>
      <c r="H58" s="27">
        <v>0</v>
      </c>
      <c r="I58" t="s">
        <v>338</v>
      </c>
      <c r="J58" t="s">
        <v>339</v>
      </c>
    </row>
    <row r="59" spans="1:10">
      <c r="A59" s="25" t="s">
        <v>340</v>
      </c>
      <c r="B59" s="25" t="s">
        <v>86</v>
      </c>
      <c r="C59" s="25" t="s">
        <v>85</v>
      </c>
      <c r="D59" s="25" t="s">
        <v>219</v>
      </c>
      <c r="E59" s="25" t="s">
        <v>88</v>
      </c>
      <c r="F59" s="25" t="s">
        <v>88</v>
      </c>
      <c r="G59" s="26" t="s">
        <v>341</v>
      </c>
      <c r="H59" s="27">
        <v>0</v>
      </c>
      <c r="I59" t="s">
        <v>342</v>
      </c>
      <c r="J59" t="s">
        <v>343</v>
      </c>
    </row>
    <row r="60" spans="1:10">
      <c r="A60" s="25" t="s">
        <v>344</v>
      </c>
      <c r="B60" s="25" t="s">
        <v>86</v>
      </c>
      <c r="C60" s="25" t="s">
        <v>85</v>
      </c>
      <c r="D60" s="25" t="s">
        <v>219</v>
      </c>
      <c r="E60" s="25" t="s">
        <v>87</v>
      </c>
      <c r="F60" s="25" t="s">
        <v>88</v>
      </c>
      <c r="G60" s="26" t="s">
        <v>345</v>
      </c>
      <c r="H60" s="27">
        <v>0</v>
      </c>
      <c r="I60" t="s">
        <v>346</v>
      </c>
      <c r="J60" t="s">
        <v>347</v>
      </c>
    </row>
    <row r="61" spans="1:10">
      <c r="A61" s="25" t="s">
        <v>348</v>
      </c>
      <c r="B61" s="25" t="s">
        <v>86</v>
      </c>
      <c r="C61" s="25" t="s">
        <v>123</v>
      </c>
      <c r="D61" s="25" t="s">
        <v>219</v>
      </c>
      <c r="E61" s="25" t="s">
        <v>88</v>
      </c>
      <c r="F61" s="25" t="s">
        <v>88</v>
      </c>
      <c r="G61" s="26" t="s">
        <v>349</v>
      </c>
      <c r="H61" s="27">
        <v>0</v>
      </c>
      <c r="I61" t="s">
        <v>350</v>
      </c>
      <c r="J61" t="s">
        <v>351</v>
      </c>
    </row>
    <row r="62" spans="1:10">
      <c r="A62" s="25" t="s">
        <v>352</v>
      </c>
      <c r="B62" s="25" t="s">
        <v>86</v>
      </c>
      <c r="C62" s="25" t="s">
        <v>123</v>
      </c>
      <c r="D62" s="25" t="s">
        <v>219</v>
      </c>
      <c r="E62" s="25" t="s">
        <v>87</v>
      </c>
      <c r="F62" s="25" t="s">
        <v>88</v>
      </c>
      <c r="G62" s="26" t="s">
        <v>353</v>
      </c>
      <c r="H62" s="27">
        <v>0</v>
      </c>
      <c r="I62" t="s">
        <v>354</v>
      </c>
      <c r="J62" t="s">
        <v>355</v>
      </c>
    </row>
    <row r="63" spans="1:10">
      <c r="A63" s="25" t="s">
        <v>356</v>
      </c>
      <c r="B63" s="25" t="s">
        <v>86</v>
      </c>
      <c r="C63" s="25" t="s">
        <v>145</v>
      </c>
      <c r="D63" s="25" t="s">
        <v>219</v>
      </c>
      <c r="E63" s="25" t="s">
        <v>88</v>
      </c>
      <c r="F63" s="25" t="s">
        <v>88</v>
      </c>
      <c r="G63" s="26" t="s">
        <v>357</v>
      </c>
      <c r="H63" s="27">
        <v>0</v>
      </c>
      <c r="I63" t="s">
        <v>358</v>
      </c>
      <c r="J63" t="s">
        <v>359</v>
      </c>
    </row>
    <row r="64" spans="1:10">
      <c r="A64" s="25" t="s">
        <v>360</v>
      </c>
      <c r="B64" s="25" t="s">
        <v>91</v>
      </c>
      <c r="C64" s="25" t="s">
        <v>85</v>
      </c>
      <c r="D64" s="25" t="s">
        <v>219</v>
      </c>
      <c r="E64" s="25" t="s">
        <v>88</v>
      </c>
      <c r="F64" s="25" t="s">
        <v>88</v>
      </c>
      <c r="G64" s="26" t="s">
        <v>361</v>
      </c>
      <c r="H64" s="27">
        <v>0</v>
      </c>
      <c r="I64" t="s">
        <v>362</v>
      </c>
      <c r="J64" t="s">
        <v>363</v>
      </c>
    </row>
    <row r="65" spans="1:10">
      <c r="A65" s="25" t="s">
        <v>364</v>
      </c>
      <c r="B65" s="25" t="s">
        <v>86</v>
      </c>
      <c r="C65" s="25" t="s">
        <v>85</v>
      </c>
      <c r="D65" s="25" t="s">
        <v>219</v>
      </c>
      <c r="E65" s="25" t="s">
        <v>88</v>
      </c>
      <c r="F65" s="25" t="s">
        <v>88</v>
      </c>
      <c r="G65" s="26" t="s">
        <v>365</v>
      </c>
      <c r="H65" s="27">
        <v>0</v>
      </c>
      <c r="I65" t="s">
        <v>366</v>
      </c>
      <c r="J65" t="s">
        <v>367</v>
      </c>
    </row>
    <row r="66" spans="1:10">
      <c r="A66" s="25" t="s">
        <v>368</v>
      </c>
      <c r="B66" s="25" t="s">
        <v>91</v>
      </c>
      <c r="C66" s="25" t="s">
        <v>145</v>
      </c>
      <c r="D66" s="25" t="s">
        <v>219</v>
      </c>
      <c r="E66" s="25" t="s">
        <v>88</v>
      </c>
      <c r="F66" s="25" t="s">
        <v>88</v>
      </c>
      <c r="G66" s="26" t="s">
        <v>369</v>
      </c>
      <c r="H66" s="27">
        <v>0</v>
      </c>
      <c r="I66" t="s">
        <v>370</v>
      </c>
      <c r="J66" t="s">
        <v>371</v>
      </c>
    </row>
    <row r="67" spans="1:10">
      <c r="A67" s="25" t="s">
        <v>372</v>
      </c>
      <c r="B67" s="25" t="s">
        <v>91</v>
      </c>
      <c r="C67" s="25" t="s">
        <v>97</v>
      </c>
      <c r="D67" s="25" t="s">
        <v>219</v>
      </c>
      <c r="E67" s="25" t="s">
        <v>88</v>
      </c>
      <c r="F67" s="25" t="s">
        <v>88</v>
      </c>
      <c r="G67" s="26" t="s">
        <v>373</v>
      </c>
      <c r="H67" s="27">
        <v>0</v>
      </c>
      <c r="I67" t="s">
        <v>374</v>
      </c>
      <c r="J67" t="s">
        <v>375</v>
      </c>
    </row>
    <row r="68" spans="1:10">
      <c r="A68" s="25" t="s">
        <v>376</v>
      </c>
      <c r="B68" s="25" t="s">
        <v>91</v>
      </c>
      <c r="C68" s="25" t="s">
        <v>85</v>
      </c>
      <c r="D68" s="25" t="s">
        <v>219</v>
      </c>
      <c r="E68" s="25" t="s">
        <v>88</v>
      </c>
      <c r="F68" s="25" t="s">
        <v>88</v>
      </c>
      <c r="G68" s="26" t="s">
        <v>377</v>
      </c>
      <c r="H68" s="27">
        <v>0</v>
      </c>
      <c r="I68" t="s">
        <v>378</v>
      </c>
      <c r="J68" t="s">
        <v>379</v>
      </c>
    </row>
    <row r="69" spans="1:10">
      <c r="A69" s="25" t="s">
        <v>380</v>
      </c>
      <c r="B69" s="25" t="s">
        <v>86</v>
      </c>
      <c r="C69" s="25" t="s">
        <v>97</v>
      </c>
      <c r="D69" s="25" t="s">
        <v>219</v>
      </c>
      <c r="E69" s="25" t="s">
        <v>88</v>
      </c>
      <c r="F69" s="25" t="s">
        <v>88</v>
      </c>
      <c r="G69" s="26" t="s">
        <v>381</v>
      </c>
      <c r="H69" s="27">
        <v>0</v>
      </c>
      <c r="I69" t="s">
        <v>382</v>
      </c>
      <c r="J69" t="s">
        <v>383</v>
      </c>
    </row>
    <row r="70" spans="1:10">
      <c r="A70" s="25" t="s">
        <v>384</v>
      </c>
      <c r="B70" s="25" t="s">
        <v>91</v>
      </c>
      <c r="C70" s="25" t="s">
        <v>85</v>
      </c>
      <c r="D70" s="25" t="s">
        <v>219</v>
      </c>
      <c r="E70" s="25" t="s">
        <v>88</v>
      </c>
      <c r="F70" s="25" t="s">
        <v>88</v>
      </c>
      <c r="G70" s="26" t="s">
        <v>385</v>
      </c>
      <c r="H70" s="27">
        <v>0</v>
      </c>
      <c r="I70" t="s">
        <v>386</v>
      </c>
      <c r="J70" t="s">
        <v>387</v>
      </c>
    </row>
    <row r="71" spans="1:10">
      <c r="A71" s="25" t="s">
        <v>388</v>
      </c>
      <c r="B71" s="25" t="s">
        <v>86</v>
      </c>
      <c r="C71" s="25" t="s">
        <v>97</v>
      </c>
      <c r="D71" s="25" t="s">
        <v>219</v>
      </c>
      <c r="E71" s="25" t="s">
        <v>88</v>
      </c>
      <c r="F71" s="25" t="s">
        <v>88</v>
      </c>
      <c r="G71" s="26" t="s">
        <v>389</v>
      </c>
      <c r="H71" s="27">
        <v>0</v>
      </c>
      <c r="I71" t="s">
        <v>390</v>
      </c>
      <c r="J71" t="s">
        <v>391</v>
      </c>
    </row>
    <row r="72" spans="1:10">
      <c r="A72" s="25" t="s">
        <v>392</v>
      </c>
      <c r="B72" s="25" t="s">
        <v>91</v>
      </c>
      <c r="C72" s="25" t="s">
        <v>85</v>
      </c>
      <c r="D72" s="25" t="s">
        <v>219</v>
      </c>
      <c r="E72" s="25" t="s">
        <v>87</v>
      </c>
      <c r="F72" s="25" t="s">
        <v>88</v>
      </c>
      <c r="G72" s="26" t="s">
        <v>393</v>
      </c>
      <c r="H72" s="27">
        <v>0</v>
      </c>
      <c r="I72" t="s">
        <v>394</v>
      </c>
      <c r="J72" t="s">
        <v>395</v>
      </c>
    </row>
    <row r="73" spans="1:10">
      <c r="A73" s="25" t="s">
        <v>396</v>
      </c>
      <c r="B73" s="25" t="s">
        <v>91</v>
      </c>
      <c r="C73" s="25" t="s">
        <v>97</v>
      </c>
      <c r="D73" s="25" t="s">
        <v>397</v>
      </c>
      <c r="E73" s="25" t="s">
        <v>88</v>
      </c>
      <c r="F73" s="25" t="s">
        <v>88</v>
      </c>
      <c r="G73" s="26" t="s">
        <v>398</v>
      </c>
      <c r="H73" s="27">
        <v>0</v>
      </c>
      <c r="I73" t="s">
        <v>399</v>
      </c>
      <c r="J73" t="s">
        <v>400</v>
      </c>
    </row>
    <row r="74" spans="1:10">
      <c r="A74" s="25" t="s">
        <v>401</v>
      </c>
      <c r="B74" s="25" t="s">
        <v>86</v>
      </c>
      <c r="C74" s="25" t="s">
        <v>85</v>
      </c>
      <c r="D74" s="25" t="s">
        <v>397</v>
      </c>
      <c r="E74" s="25" t="s">
        <v>88</v>
      </c>
      <c r="F74" s="25" t="s">
        <v>88</v>
      </c>
      <c r="G74" s="26" t="s">
        <v>402</v>
      </c>
      <c r="H74" s="27">
        <v>0</v>
      </c>
      <c r="I74" t="s">
        <v>403</v>
      </c>
      <c r="J74" t="s">
        <v>404</v>
      </c>
    </row>
    <row r="75" spans="1:10">
      <c r="A75" s="25" t="s">
        <v>405</v>
      </c>
      <c r="B75" s="25" t="s">
        <v>91</v>
      </c>
      <c r="C75" s="25" t="s">
        <v>85</v>
      </c>
      <c r="D75" s="25" t="s">
        <v>397</v>
      </c>
      <c r="E75" s="25" t="s">
        <v>88</v>
      </c>
      <c r="F75" s="25" t="s">
        <v>88</v>
      </c>
      <c r="G75" s="26" t="s">
        <v>406</v>
      </c>
      <c r="H75" s="27">
        <v>0</v>
      </c>
      <c r="I75" t="s">
        <v>407</v>
      </c>
      <c r="J75" t="s">
        <v>205</v>
      </c>
    </row>
    <row r="76" spans="1:10">
      <c r="A76" s="25" t="s">
        <v>408</v>
      </c>
      <c r="B76" s="25" t="s">
        <v>86</v>
      </c>
      <c r="C76" s="25" t="s">
        <v>85</v>
      </c>
      <c r="D76" s="25" t="s">
        <v>397</v>
      </c>
      <c r="E76" s="25" t="s">
        <v>88</v>
      </c>
      <c r="F76" s="25" t="s">
        <v>88</v>
      </c>
      <c r="G76" s="26" t="s">
        <v>409</v>
      </c>
      <c r="H76" s="27">
        <v>0</v>
      </c>
      <c r="I76" t="s">
        <v>410</v>
      </c>
      <c r="J76" t="s">
        <v>411</v>
      </c>
    </row>
    <row r="77" spans="1:10">
      <c r="A77" s="25" t="s">
        <v>412</v>
      </c>
      <c r="B77" s="25" t="s">
        <v>91</v>
      </c>
      <c r="C77" s="25" t="s">
        <v>85</v>
      </c>
      <c r="D77" s="25" t="s">
        <v>397</v>
      </c>
      <c r="E77" s="25" t="s">
        <v>88</v>
      </c>
      <c r="F77" s="25" t="s">
        <v>88</v>
      </c>
      <c r="G77" s="26" t="s">
        <v>413</v>
      </c>
      <c r="H77" s="27">
        <v>0</v>
      </c>
      <c r="I77" t="s">
        <v>414</v>
      </c>
      <c r="J77" t="s">
        <v>415</v>
      </c>
    </row>
    <row r="78" spans="1:10">
      <c r="A78" s="25" t="s">
        <v>416</v>
      </c>
      <c r="B78" s="25" t="s">
        <v>86</v>
      </c>
      <c r="C78" s="25" t="s">
        <v>85</v>
      </c>
      <c r="D78" s="25" t="s">
        <v>397</v>
      </c>
      <c r="E78" s="25" t="s">
        <v>88</v>
      </c>
      <c r="F78" s="25" t="s">
        <v>88</v>
      </c>
      <c r="G78" s="26" t="s">
        <v>417</v>
      </c>
      <c r="H78" s="27">
        <v>0</v>
      </c>
      <c r="I78" t="s">
        <v>418</v>
      </c>
      <c r="J78" t="s">
        <v>419</v>
      </c>
    </row>
    <row r="79" spans="1:10">
      <c r="A79" s="25" t="s">
        <v>420</v>
      </c>
      <c r="B79" s="25" t="s">
        <v>86</v>
      </c>
      <c r="C79" s="25" t="s">
        <v>97</v>
      </c>
      <c r="D79" s="25" t="s">
        <v>397</v>
      </c>
      <c r="E79" s="25" t="s">
        <v>88</v>
      </c>
      <c r="F79" s="25" t="s">
        <v>88</v>
      </c>
      <c r="G79" s="26" t="s">
        <v>421</v>
      </c>
      <c r="H79" s="27">
        <v>0</v>
      </c>
      <c r="I79" t="s">
        <v>422</v>
      </c>
      <c r="J79" t="s">
        <v>423</v>
      </c>
    </row>
    <row r="80" spans="1:10">
      <c r="A80" s="25" t="s">
        <v>424</v>
      </c>
      <c r="B80" s="25" t="s">
        <v>91</v>
      </c>
      <c r="C80" s="25" t="s">
        <v>85</v>
      </c>
      <c r="D80" s="25" t="s">
        <v>397</v>
      </c>
      <c r="E80" s="25" t="s">
        <v>88</v>
      </c>
      <c r="F80" s="25" t="s">
        <v>88</v>
      </c>
      <c r="G80" s="26" t="s">
        <v>425</v>
      </c>
      <c r="H80" s="27">
        <v>0</v>
      </c>
      <c r="I80" t="s">
        <v>426</v>
      </c>
      <c r="J80" t="s">
        <v>427</v>
      </c>
    </row>
    <row r="81" spans="1:10">
      <c r="A81" s="25" t="s">
        <v>428</v>
      </c>
      <c r="B81" s="25" t="s">
        <v>91</v>
      </c>
      <c r="C81" s="25" t="s">
        <v>85</v>
      </c>
      <c r="D81" s="25" t="s">
        <v>397</v>
      </c>
      <c r="E81" s="25" t="s">
        <v>88</v>
      </c>
      <c r="F81" s="25" t="s">
        <v>88</v>
      </c>
      <c r="G81" s="26" t="s">
        <v>429</v>
      </c>
      <c r="H81" s="27">
        <v>0</v>
      </c>
      <c r="I81" t="s">
        <v>430</v>
      </c>
      <c r="J81" t="s">
        <v>431</v>
      </c>
    </row>
    <row r="82" spans="1:10">
      <c r="A82" s="25" t="s">
        <v>432</v>
      </c>
      <c r="B82" s="25" t="s">
        <v>86</v>
      </c>
      <c r="C82" s="25" t="s">
        <v>85</v>
      </c>
      <c r="D82" s="25" t="s">
        <v>397</v>
      </c>
      <c r="E82" s="25" t="s">
        <v>88</v>
      </c>
      <c r="F82" s="25" t="s">
        <v>88</v>
      </c>
      <c r="G82" s="26" t="s">
        <v>433</v>
      </c>
      <c r="H82" s="27">
        <v>0</v>
      </c>
      <c r="I82" t="s">
        <v>434</v>
      </c>
      <c r="J82" t="s">
        <v>435</v>
      </c>
    </row>
    <row r="83" spans="1:10">
      <c r="A83" s="25" t="s">
        <v>436</v>
      </c>
      <c r="B83" s="25" t="s">
        <v>91</v>
      </c>
      <c r="C83" s="25" t="s">
        <v>97</v>
      </c>
      <c r="D83" s="25" t="s">
        <v>397</v>
      </c>
      <c r="E83" s="25" t="s">
        <v>88</v>
      </c>
      <c r="F83" s="25" t="s">
        <v>88</v>
      </c>
      <c r="G83" s="26" t="s">
        <v>437</v>
      </c>
      <c r="H83" s="27">
        <v>0</v>
      </c>
      <c r="I83" t="s">
        <v>438</v>
      </c>
      <c r="J83" t="s">
        <v>439</v>
      </c>
    </row>
    <row r="84" spans="1:10">
      <c r="A84" s="25" t="s">
        <v>440</v>
      </c>
      <c r="B84" s="25" t="s">
        <v>86</v>
      </c>
      <c r="C84" s="25" t="s">
        <v>85</v>
      </c>
      <c r="D84" s="25" t="s">
        <v>397</v>
      </c>
      <c r="E84" s="25" t="s">
        <v>88</v>
      </c>
      <c r="F84" s="25" t="s">
        <v>88</v>
      </c>
      <c r="G84" s="26" t="s">
        <v>441</v>
      </c>
      <c r="H84" s="27">
        <v>0</v>
      </c>
      <c r="I84" t="s">
        <v>442</v>
      </c>
      <c r="J84" t="s">
        <v>443</v>
      </c>
    </row>
    <row r="85" spans="1:10">
      <c r="A85" s="25" t="s">
        <v>444</v>
      </c>
      <c r="B85" s="25" t="s">
        <v>86</v>
      </c>
      <c r="C85" s="25" t="s">
        <v>85</v>
      </c>
      <c r="D85" s="25" t="s">
        <v>397</v>
      </c>
      <c r="E85" s="25" t="s">
        <v>88</v>
      </c>
      <c r="F85" s="25" t="s">
        <v>88</v>
      </c>
      <c r="G85" s="26" t="s">
        <v>445</v>
      </c>
      <c r="H85" s="27">
        <v>0</v>
      </c>
      <c r="I85" t="s">
        <v>446</v>
      </c>
      <c r="J85" t="s">
        <v>447</v>
      </c>
    </row>
    <row r="86" spans="1:10">
      <c r="A86" s="25" t="s">
        <v>448</v>
      </c>
      <c r="B86" s="25" t="s">
        <v>91</v>
      </c>
      <c r="C86" s="25" t="s">
        <v>85</v>
      </c>
      <c r="D86" s="25" t="s">
        <v>397</v>
      </c>
      <c r="E86" s="25" t="s">
        <v>88</v>
      </c>
      <c r="F86" s="25" t="s">
        <v>88</v>
      </c>
      <c r="G86" s="26" t="s">
        <v>449</v>
      </c>
      <c r="H86" s="27">
        <v>0</v>
      </c>
      <c r="I86" t="s">
        <v>450</v>
      </c>
      <c r="J86" t="s">
        <v>451</v>
      </c>
    </row>
    <row r="87" spans="1:10">
      <c r="A87" s="25" t="s">
        <v>452</v>
      </c>
      <c r="B87" s="25" t="s">
        <v>86</v>
      </c>
      <c r="C87" s="25" t="s">
        <v>85</v>
      </c>
      <c r="D87" s="25" t="s">
        <v>397</v>
      </c>
      <c r="E87" s="25" t="s">
        <v>88</v>
      </c>
      <c r="F87" s="25" t="s">
        <v>88</v>
      </c>
      <c r="G87" s="26" t="s">
        <v>453</v>
      </c>
      <c r="H87" s="27">
        <v>0</v>
      </c>
      <c r="I87" t="s">
        <v>454</v>
      </c>
      <c r="J87" t="s">
        <v>455</v>
      </c>
    </row>
    <row r="88" spans="1:10">
      <c r="A88" s="25" t="s">
        <v>456</v>
      </c>
      <c r="B88" s="25" t="s">
        <v>91</v>
      </c>
      <c r="C88" s="25" t="s">
        <v>85</v>
      </c>
      <c r="D88" s="25" t="s">
        <v>397</v>
      </c>
      <c r="E88" s="25" t="s">
        <v>88</v>
      </c>
      <c r="F88" s="25" t="s">
        <v>88</v>
      </c>
      <c r="G88" s="26" t="s">
        <v>457</v>
      </c>
      <c r="H88" s="27">
        <v>0</v>
      </c>
      <c r="I88" t="s">
        <v>458</v>
      </c>
      <c r="J88" t="s">
        <v>459</v>
      </c>
    </row>
    <row r="89" spans="1:10">
      <c r="A89" s="25" t="s">
        <v>460</v>
      </c>
      <c r="B89" s="25" t="s">
        <v>86</v>
      </c>
      <c r="C89" s="25" t="s">
        <v>85</v>
      </c>
      <c r="D89" s="25" t="s">
        <v>397</v>
      </c>
      <c r="E89" s="25" t="s">
        <v>88</v>
      </c>
      <c r="F89" s="25" t="s">
        <v>88</v>
      </c>
      <c r="G89" s="26" t="s">
        <v>461</v>
      </c>
      <c r="H89" s="27">
        <v>0</v>
      </c>
      <c r="I89" t="s">
        <v>462</v>
      </c>
      <c r="J89" t="s">
        <v>463</v>
      </c>
    </row>
    <row r="90" spans="1:10">
      <c r="A90" s="25" t="s">
        <v>464</v>
      </c>
      <c r="B90" s="25" t="s">
        <v>91</v>
      </c>
      <c r="C90" s="25" t="s">
        <v>85</v>
      </c>
      <c r="D90" s="25" t="s">
        <v>397</v>
      </c>
      <c r="E90" s="25" t="s">
        <v>88</v>
      </c>
      <c r="F90" s="25" t="s">
        <v>88</v>
      </c>
      <c r="G90" s="26" t="s">
        <v>465</v>
      </c>
      <c r="H90" s="27">
        <v>0</v>
      </c>
      <c r="I90" t="s">
        <v>466</v>
      </c>
      <c r="J90" t="s">
        <v>467</v>
      </c>
    </row>
    <row r="91" spans="1:10">
      <c r="A91" s="25" t="s">
        <v>468</v>
      </c>
      <c r="B91" s="25" t="s">
        <v>91</v>
      </c>
      <c r="C91" s="25" t="s">
        <v>97</v>
      </c>
      <c r="D91" s="25" t="s">
        <v>397</v>
      </c>
      <c r="E91" s="25" t="s">
        <v>88</v>
      </c>
      <c r="F91" s="25" t="s">
        <v>88</v>
      </c>
      <c r="G91" s="26" t="s">
        <v>469</v>
      </c>
      <c r="H91" s="27">
        <v>0</v>
      </c>
      <c r="I91" t="s">
        <v>470</v>
      </c>
      <c r="J91" t="s">
        <v>471</v>
      </c>
    </row>
    <row r="92" spans="1:10">
      <c r="A92" s="25" t="s">
        <v>472</v>
      </c>
      <c r="B92" s="25" t="s">
        <v>86</v>
      </c>
      <c r="C92" s="25" t="s">
        <v>85</v>
      </c>
      <c r="D92" s="25" t="s">
        <v>397</v>
      </c>
      <c r="E92" s="25" t="s">
        <v>88</v>
      </c>
      <c r="F92" s="25" t="s">
        <v>88</v>
      </c>
      <c r="G92" s="26" t="s">
        <v>473</v>
      </c>
      <c r="H92" s="27">
        <v>0</v>
      </c>
      <c r="I92" t="s">
        <v>474</v>
      </c>
      <c r="J92" t="s">
        <v>475</v>
      </c>
    </row>
    <row r="93" spans="1:10">
      <c r="A93" s="25" t="s">
        <v>476</v>
      </c>
      <c r="B93" s="25" t="s">
        <v>91</v>
      </c>
      <c r="C93" s="25" t="s">
        <v>85</v>
      </c>
      <c r="D93" s="25" t="s">
        <v>397</v>
      </c>
      <c r="E93" s="25" t="s">
        <v>88</v>
      </c>
      <c r="F93" s="25" t="s">
        <v>88</v>
      </c>
      <c r="G93" s="26" t="s">
        <v>477</v>
      </c>
      <c r="H93" s="27">
        <v>0</v>
      </c>
      <c r="I93" t="s">
        <v>478</v>
      </c>
      <c r="J93" t="s">
        <v>479</v>
      </c>
    </row>
    <row r="94" spans="1:10">
      <c r="A94" s="25" t="s">
        <v>480</v>
      </c>
      <c r="B94" s="25" t="s">
        <v>86</v>
      </c>
      <c r="C94" s="25" t="s">
        <v>85</v>
      </c>
      <c r="D94" s="25" t="s">
        <v>397</v>
      </c>
      <c r="E94" s="25" t="s">
        <v>88</v>
      </c>
      <c r="F94" s="25" t="s">
        <v>88</v>
      </c>
      <c r="G94" s="26" t="s">
        <v>481</v>
      </c>
      <c r="H94" s="27">
        <v>0</v>
      </c>
      <c r="I94" t="s">
        <v>482</v>
      </c>
      <c r="J94" t="s">
        <v>483</v>
      </c>
    </row>
    <row r="95" spans="1:10">
      <c r="A95" s="25" t="s">
        <v>484</v>
      </c>
      <c r="B95" s="25" t="s">
        <v>91</v>
      </c>
      <c r="C95" s="25" t="s">
        <v>97</v>
      </c>
      <c r="D95" s="25" t="s">
        <v>397</v>
      </c>
      <c r="E95" s="25" t="s">
        <v>88</v>
      </c>
      <c r="F95" s="25" t="s">
        <v>88</v>
      </c>
      <c r="G95" s="26" t="s">
        <v>485</v>
      </c>
      <c r="H95" s="27">
        <v>0</v>
      </c>
      <c r="I95" t="s">
        <v>486</v>
      </c>
      <c r="J95" t="s">
        <v>487</v>
      </c>
    </row>
    <row r="96" spans="1:10">
      <c r="A96" s="25" t="s">
        <v>488</v>
      </c>
      <c r="B96" s="25" t="s">
        <v>91</v>
      </c>
      <c r="C96" s="25" t="s">
        <v>123</v>
      </c>
      <c r="D96" s="25" t="s">
        <v>397</v>
      </c>
      <c r="E96" s="25" t="s">
        <v>88</v>
      </c>
      <c r="F96" s="25" t="s">
        <v>88</v>
      </c>
      <c r="G96" s="26" t="s">
        <v>489</v>
      </c>
      <c r="H96" s="27">
        <v>0</v>
      </c>
      <c r="I96" t="s">
        <v>490</v>
      </c>
      <c r="J96" t="s">
        <v>491</v>
      </c>
    </row>
    <row r="97" spans="1:10">
      <c r="A97" s="25" t="s">
        <v>492</v>
      </c>
      <c r="B97" s="25" t="s">
        <v>91</v>
      </c>
      <c r="C97" s="25" t="s">
        <v>85</v>
      </c>
      <c r="D97" s="25" t="s">
        <v>397</v>
      </c>
      <c r="E97" s="25" t="s">
        <v>88</v>
      </c>
      <c r="F97" s="25" t="s">
        <v>88</v>
      </c>
      <c r="G97" s="26" t="s">
        <v>493</v>
      </c>
      <c r="H97" s="27">
        <v>0</v>
      </c>
      <c r="I97" t="s">
        <v>494</v>
      </c>
      <c r="J97" t="s">
        <v>495</v>
      </c>
    </row>
    <row r="98" spans="1:10">
      <c r="A98" s="25" t="s">
        <v>496</v>
      </c>
      <c r="B98" s="25" t="s">
        <v>86</v>
      </c>
      <c r="C98" s="25" t="s">
        <v>97</v>
      </c>
      <c r="D98" s="25" t="s">
        <v>397</v>
      </c>
      <c r="E98" s="25" t="s">
        <v>88</v>
      </c>
      <c r="F98" s="25" t="s">
        <v>88</v>
      </c>
      <c r="G98" s="26" t="s">
        <v>497</v>
      </c>
      <c r="H98" s="27">
        <v>0</v>
      </c>
      <c r="I98" t="s">
        <v>498</v>
      </c>
      <c r="J98" t="s">
        <v>499</v>
      </c>
    </row>
    <row r="99" spans="1:10">
      <c r="A99" s="25" t="s">
        <v>500</v>
      </c>
      <c r="B99" s="25" t="s">
        <v>91</v>
      </c>
      <c r="C99" s="25" t="s">
        <v>85</v>
      </c>
      <c r="D99" s="25" t="s">
        <v>397</v>
      </c>
      <c r="E99" s="25" t="s">
        <v>88</v>
      </c>
      <c r="F99" s="25" t="s">
        <v>88</v>
      </c>
      <c r="G99" s="26" t="s">
        <v>501</v>
      </c>
      <c r="H99" s="27">
        <v>0</v>
      </c>
      <c r="I99" t="s">
        <v>502</v>
      </c>
      <c r="J99" t="s">
        <v>503</v>
      </c>
    </row>
    <row r="100" spans="1:10">
      <c r="A100" s="25" t="s">
        <v>504</v>
      </c>
      <c r="B100" s="25" t="s">
        <v>86</v>
      </c>
      <c r="C100" s="25" t="s">
        <v>85</v>
      </c>
      <c r="D100" s="25" t="s">
        <v>397</v>
      </c>
      <c r="E100" s="25" t="s">
        <v>88</v>
      </c>
      <c r="F100" s="25" t="s">
        <v>88</v>
      </c>
      <c r="G100" s="26" t="s">
        <v>505</v>
      </c>
      <c r="H100" s="27">
        <v>0</v>
      </c>
      <c r="I100" t="s">
        <v>506</v>
      </c>
      <c r="J100" t="s">
        <v>507</v>
      </c>
    </row>
    <row r="101" spans="1:10">
      <c r="A101" s="25" t="s">
        <v>508</v>
      </c>
      <c r="B101" s="25" t="s">
        <v>86</v>
      </c>
      <c r="C101" s="25" t="s">
        <v>85</v>
      </c>
      <c r="D101" s="25" t="s">
        <v>397</v>
      </c>
      <c r="E101" s="25" t="s">
        <v>88</v>
      </c>
      <c r="F101" s="25" t="s">
        <v>88</v>
      </c>
      <c r="G101" s="26" t="s">
        <v>509</v>
      </c>
      <c r="H101" s="27">
        <v>0</v>
      </c>
      <c r="I101" t="s">
        <v>510</v>
      </c>
      <c r="J101" t="s">
        <v>511</v>
      </c>
    </row>
    <row r="102" spans="1:10">
      <c r="A102" s="25" t="s">
        <v>380</v>
      </c>
      <c r="B102" s="25" t="s">
        <v>86</v>
      </c>
      <c r="C102" s="25" t="s">
        <v>97</v>
      </c>
      <c r="D102" s="25" t="s">
        <v>397</v>
      </c>
      <c r="E102" s="25" t="s">
        <v>88</v>
      </c>
      <c r="F102" s="25" t="s">
        <v>88</v>
      </c>
      <c r="G102" s="26" t="s">
        <v>512</v>
      </c>
      <c r="H102" s="27">
        <v>0</v>
      </c>
      <c r="I102" t="s">
        <v>513</v>
      </c>
      <c r="J102" t="s">
        <v>514</v>
      </c>
    </row>
    <row r="103" spans="1:10">
      <c r="A103" s="25" t="s">
        <v>432</v>
      </c>
      <c r="B103" s="25" t="s">
        <v>86</v>
      </c>
      <c r="C103" s="25" t="s">
        <v>85</v>
      </c>
      <c r="D103" s="25" t="s">
        <v>397</v>
      </c>
      <c r="E103" s="25" t="s">
        <v>88</v>
      </c>
      <c r="F103" s="25" t="s">
        <v>88</v>
      </c>
      <c r="G103" s="26" t="s">
        <v>515</v>
      </c>
      <c r="H103" s="27">
        <v>0</v>
      </c>
      <c r="I103" t="s">
        <v>516</v>
      </c>
      <c r="J103" t="s">
        <v>517</v>
      </c>
    </row>
    <row r="104" spans="1:10">
      <c r="A104" s="25" t="s">
        <v>518</v>
      </c>
      <c r="B104" s="25" t="s">
        <v>86</v>
      </c>
      <c r="C104" s="25" t="s">
        <v>123</v>
      </c>
      <c r="D104" s="25" t="s">
        <v>397</v>
      </c>
      <c r="E104" s="25" t="s">
        <v>88</v>
      </c>
      <c r="F104" s="25" t="s">
        <v>88</v>
      </c>
      <c r="G104" s="26" t="s">
        <v>519</v>
      </c>
      <c r="H104" s="27">
        <v>0</v>
      </c>
      <c r="I104" t="s">
        <v>520</v>
      </c>
      <c r="J104" t="s">
        <v>521</v>
      </c>
    </row>
    <row r="105" spans="1:10">
      <c r="A105" s="25" t="s">
        <v>522</v>
      </c>
      <c r="B105" s="25" t="s">
        <v>86</v>
      </c>
      <c r="C105" s="25" t="s">
        <v>85</v>
      </c>
      <c r="D105" s="25" t="s">
        <v>397</v>
      </c>
      <c r="E105" s="25" t="s">
        <v>88</v>
      </c>
      <c r="F105" s="25" t="s">
        <v>88</v>
      </c>
      <c r="G105" s="26" t="s">
        <v>523</v>
      </c>
      <c r="H105" s="27">
        <v>0</v>
      </c>
      <c r="I105" t="s">
        <v>524</v>
      </c>
      <c r="J105" t="s">
        <v>525</v>
      </c>
    </row>
    <row r="106" spans="1:10">
      <c r="A106" s="25" t="s">
        <v>526</v>
      </c>
      <c r="B106" s="25" t="s">
        <v>86</v>
      </c>
      <c r="C106" s="25" t="s">
        <v>85</v>
      </c>
      <c r="D106" s="25" t="s">
        <v>397</v>
      </c>
      <c r="E106" s="25" t="s">
        <v>88</v>
      </c>
      <c r="F106" s="25" t="s">
        <v>88</v>
      </c>
      <c r="G106" s="26" t="s">
        <v>527</v>
      </c>
      <c r="H106" s="27">
        <v>0</v>
      </c>
      <c r="I106" t="s">
        <v>528</v>
      </c>
      <c r="J106" t="s">
        <v>529</v>
      </c>
    </row>
    <row r="107" spans="1:10">
      <c r="A107" s="25" t="s">
        <v>530</v>
      </c>
      <c r="B107" s="25" t="s">
        <v>86</v>
      </c>
      <c r="C107" s="25" t="s">
        <v>85</v>
      </c>
      <c r="D107" s="25" t="s">
        <v>397</v>
      </c>
      <c r="E107" s="25" t="s">
        <v>88</v>
      </c>
      <c r="F107" s="25" t="s">
        <v>88</v>
      </c>
      <c r="G107" s="26" t="s">
        <v>531</v>
      </c>
      <c r="H107" s="27">
        <v>0</v>
      </c>
      <c r="I107" t="s">
        <v>532</v>
      </c>
      <c r="J107" t="s">
        <v>533</v>
      </c>
    </row>
    <row r="108" spans="1:10">
      <c r="A108" s="25" t="s">
        <v>534</v>
      </c>
      <c r="B108" s="25" t="s">
        <v>86</v>
      </c>
      <c r="C108" s="25" t="s">
        <v>85</v>
      </c>
      <c r="D108" s="25" t="s">
        <v>397</v>
      </c>
      <c r="E108" s="25" t="s">
        <v>87</v>
      </c>
      <c r="F108" s="25" t="s">
        <v>88</v>
      </c>
      <c r="G108" s="26" t="s">
        <v>535</v>
      </c>
      <c r="H108" s="27">
        <v>0</v>
      </c>
      <c r="I108" t="s">
        <v>536</v>
      </c>
      <c r="J108" t="s">
        <v>537</v>
      </c>
    </row>
    <row r="109" spans="1:10">
      <c r="A109" s="25" t="s">
        <v>538</v>
      </c>
      <c r="B109" s="25" t="s">
        <v>86</v>
      </c>
      <c r="C109" s="25" t="s">
        <v>85</v>
      </c>
      <c r="D109" s="25" t="s">
        <v>397</v>
      </c>
      <c r="E109" s="25" t="s">
        <v>88</v>
      </c>
      <c r="F109" s="25" t="s">
        <v>88</v>
      </c>
      <c r="G109" s="26" t="s">
        <v>539</v>
      </c>
      <c r="H109" s="27">
        <v>0</v>
      </c>
      <c r="I109" t="s">
        <v>540</v>
      </c>
      <c r="J109" t="s">
        <v>541</v>
      </c>
    </row>
    <row r="110" spans="1:10">
      <c r="A110" s="25" t="s">
        <v>542</v>
      </c>
      <c r="B110" s="25" t="s">
        <v>86</v>
      </c>
      <c r="C110" s="25" t="s">
        <v>97</v>
      </c>
      <c r="D110" s="25" t="s">
        <v>397</v>
      </c>
      <c r="E110" s="25" t="s">
        <v>88</v>
      </c>
      <c r="F110" s="25" t="s">
        <v>88</v>
      </c>
      <c r="G110" s="26" t="s">
        <v>543</v>
      </c>
      <c r="H110" s="27">
        <v>0</v>
      </c>
      <c r="I110" t="s">
        <v>544</v>
      </c>
      <c r="J110" t="s">
        <v>545</v>
      </c>
    </row>
    <row r="111" spans="1:10">
      <c r="A111" s="25" t="s">
        <v>546</v>
      </c>
      <c r="B111" s="25" t="s">
        <v>91</v>
      </c>
      <c r="C111" s="25" t="s">
        <v>85</v>
      </c>
      <c r="D111" s="25" t="s">
        <v>397</v>
      </c>
      <c r="E111" s="25" t="s">
        <v>88</v>
      </c>
      <c r="F111" s="25" t="s">
        <v>88</v>
      </c>
      <c r="G111" s="26" t="s">
        <v>547</v>
      </c>
      <c r="H111" s="27">
        <v>0</v>
      </c>
      <c r="I111" t="s">
        <v>548</v>
      </c>
      <c r="J111" t="s">
        <v>549</v>
      </c>
    </row>
    <row r="112" spans="1:10">
      <c r="A112" s="25" t="s">
        <v>550</v>
      </c>
      <c r="B112" s="25" t="s">
        <v>86</v>
      </c>
      <c r="C112" s="25" t="s">
        <v>123</v>
      </c>
      <c r="D112" s="25" t="s">
        <v>397</v>
      </c>
      <c r="E112" s="25" t="s">
        <v>88</v>
      </c>
      <c r="F112" s="25" t="s">
        <v>88</v>
      </c>
      <c r="G112" s="26" t="s">
        <v>551</v>
      </c>
      <c r="H112" s="27">
        <v>0</v>
      </c>
      <c r="I112" t="s">
        <v>552</v>
      </c>
      <c r="J112" t="s">
        <v>553</v>
      </c>
    </row>
    <row r="113" spans="1:10">
      <c r="A113" s="25" t="s">
        <v>554</v>
      </c>
      <c r="B113" s="25" t="s">
        <v>86</v>
      </c>
      <c r="C113" s="25" t="s">
        <v>85</v>
      </c>
      <c r="D113" s="25" t="s">
        <v>397</v>
      </c>
      <c r="E113" s="25" t="s">
        <v>88</v>
      </c>
      <c r="F113" s="25" t="s">
        <v>88</v>
      </c>
      <c r="G113" s="26" t="s">
        <v>555</v>
      </c>
      <c r="H113" s="27">
        <v>0</v>
      </c>
      <c r="I113" t="s">
        <v>556</v>
      </c>
      <c r="J113" t="s">
        <v>557</v>
      </c>
    </row>
    <row r="114" spans="1:10">
      <c r="A114" s="25" t="s">
        <v>558</v>
      </c>
      <c r="B114" s="25" t="s">
        <v>86</v>
      </c>
      <c r="C114" s="25" t="s">
        <v>85</v>
      </c>
      <c r="D114" s="25" t="s">
        <v>397</v>
      </c>
      <c r="E114" s="25" t="s">
        <v>88</v>
      </c>
      <c r="F114" s="25" t="s">
        <v>88</v>
      </c>
      <c r="G114" s="26" t="s">
        <v>559</v>
      </c>
      <c r="H114" s="27">
        <v>0</v>
      </c>
      <c r="I114" t="s">
        <v>560</v>
      </c>
      <c r="J114" t="s">
        <v>561</v>
      </c>
    </row>
    <row r="115" spans="1:10">
      <c r="A115" s="25" t="s">
        <v>562</v>
      </c>
      <c r="B115" s="25" t="s">
        <v>91</v>
      </c>
      <c r="C115" s="25" t="s">
        <v>85</v>
      </c>
      <c r="D115" s="25" t="s">
        <v>397</v>
      </c>
      <c r="E115" s="25" t="s">
        <v>88</v>
      </c>
      <c r="F115" s="25" t="s">
        <v>88</v>
      </c>
      <c r="G115" s="26" t="s">
        <v>563</v>
      </c>
      <c r="H115" s="27">
        <v>0</v>
      </c>
      <c r="I115" t="s">
        <v>564</v>
      </c>
      <c r="J115" t="s">
        <v>565</v>
      </c>
    </row>
    <row r="116" spans="1:10">
      <c r="A116" s="25" t="s">
        <v>566</v>
      </c>
      <c r="B116" s="25" t="s">
        <v>86</v>
      </c>
      <c r="C116" s="25" t="s">
        <v>97</v>
      </c>
      <c r="D116" s="25" t="s">
        <v>397</v>
      </c>
      <c r="E116" s="25" t="s">
        <v>88</v>
      </c>
      <c r="F116" s="25" t="s">
        <v>88</v>
      </c>
      <c r="G116" s="26" t="s">
        <v>567</v>
      </c>
      <c r="H116" s="27">
        <v>0</v>
      </c>
      <c r="I116" t="s">
        <v>568</v>
      </c>
      <c r="J116" t="s">
        <v>569</v>
      </c>
    </row>
    <row r="117" spans="1:10">
      <c r="A117" s="25" t="s">
        <v>570</v>
      </c>
      <c r="B117" s="25" t="s">
        <v>91</v>
      </c>
      <c r="C117" s="25" t="s">
        <v>85</v>
      </c>
      <c r="D117" s="25" t="s">
        <v>397</v>
      </c>
      <c r="E117" s="25" t="s">
        <v>88</v>
      </c>
      <c r="F117" s="25" t="s">
        <v>88</v>
      </c>
      <c r="G117" s="26" t="s">
        <v>571</v>
      </c>
      <c r="H117" s="27">
        <v>0</v>
      </c>
      <c r="I117" t="s">
        <v>572</v>
      </c>
      <c r="J117" t="s">
        <v>573</v>
      </c>
    </row>
    <row r="118" spans="1:10">
      <c r="A118" s="25" t="s">
        <v>574</v>
      </c>
      <c r="B118" s="25" t="s">
        <v>91</v>
      </c>
      <c r="C118" s="25" t="s">
        <v>85</v>
      </c>
      <c r="D118" s="25" t="s">
        <v>397</v>
      </c>
      <c r="E118" s="25" t="s">
        <v>88</v>
      </c>
      <c r="F118" s="25" t="s">
        <v>88</v>
      </c>
      <c r="G118" s="26" t="s">
        <v>575</v>
      </c>
      <c r="H118" s="27">
        <v>0</v>
      </c>
      <c r="I118" t="s">
        <v>576</v>
      </c>
      <c r="J118" t="s">
        <v>577</v>
      </c>
    </row>
    <row r="119" spans="1:10">
      <c r="A119" s="25" t="s">
        <v>578</v>
      </c>
      <c r="B119" s="25" t="s">
        <v>91</v>
      </c>
      <c r="C119" s="25" t="s">
        <v>85</v>
      </c>
      <c r="D119" s="25" t="s">
        <v>397</v>
      </c>
      <c r="E119" s="25" t="s">
        <v>88</v>
      </c>
      <c r="F119" s="25" t="s">
        <v>88</v>
      </c>
      <c r="G119" s="26" t="s">
        <v>579</v>
      </c>
      <c r="H119" s="27">
        <v>0</v>
      </c>
      <c r="I119" t="s">
        <v>580</v>
      </c>
      <c r="J119" t="s">
        <v>581</v>
      </c>
    </row>
    <row r="120" spans="1:10">
      <c r="A120" s="25" t="s">
        <v>582</v>
      </c>
      <c r="B120" s="25" t="s">
        <v>91</v>
      </c>
      <c r="C120" s="25" t="s">
        <v>85</v>
      </c>
      <c r="D120" s="25" t="s">
        <v>397</v>
      </c>
      <c r="E120" s="25" t="s">
        <v>88</v>
      </c>
      <c r="F120" s="25" t="s">
        <v>88</v>
      </c>
      <c r="G120" s="26" t="s">
        <v>583</v>
      </c>
      <c r="H120" s="27">
        <v>0</v>
      </c>
      <c r="I120" t="s">
        <v>584</v>
      </c>
      <c r="J120" t="s">
        <v>585</v>
      </c>
    </row>
    <row r="121" spans="1:10">
      <c r="A121" s="25" t="s">
        <v>586</v>
      </c>
      <c r="B121" s="25" t="s">
        <v>86</v>
      </c>
      <c r="C121" s="25" t="s">
        <v>123</v>
      </c>
      <c r="D121" s="25" t="s">
        <v>397</v>
      </c>
      <c r="E121" s="25" t="s">
        <v>88</v>
      </c>
      <c r="F121" s="25" t="s">
        <v>88</v>
      </c>
      <c r="G121" s="26" t="s">
        <v>587</v>
      </c>
      <c r="H121" s="27">
        <v>0</v>
      </c>
      <c r="I121" t="s">
        <v>588</v>
      </c>
      <c r="J121" t="s">
        <v>589</v>
      </c>
    </row>
    <row r="122" spans="1:10">
      <c r="A122" s="25" t="s">
        <v>590</v>
      </c>
      <c r="B122" s="25" t="s">
        <v>91</v>
      </c>
      <c r="C122" s="25" t="s">
        <v>145</v>
      </c>
      <c r="D122" s="25" t="s">
        <v>397</v>
      </c>
      <c r="E122" s="25" t="s">
        <v>88</v>
      </c>
      <c r="F122" s="25" t="s">
        <v>88</v>
      </c>
      <c r="G122" s="26" t="s">
        <v>591</v>
      </c>
      <c r="H122" s="27">
        <v>0</v>
      </c>
      <c r="I122" t="s">
        <v>592</v>
      </c>
      <c r="J122" t="s">
        <v>593</v>
      </c>
    </row>
    <row r="123" spans="1:10">
      <c r="A123" s="25" t="s">
        <v>594</v>
      </c>
      <c r="B123" s="25" t="s">
        <v>86</v>
      </c>
      <c r="C123" s="25" t="s">
        <v>145</v>
      </c>
      <c r="D123" s="25" t="s">
        <v>397</v>
      </c>
      <c r="E123" s="25" t="s">
        <v>88</v>
      </c>
      <c r="F123" s="25" t="s">
        <v>88</v>
      </c>
      <c r="G123" s="26" t="s">
        <v>595</v>
      </c>
      <c r="H123" s="27">
        <v>0</v>
      </c>
      <c r="I123" t="s">
        <v>596</v>
      </c>
      <c r="J123" t="s">
        <v>597</v>
      </c>
    </row>
    <row r="124" spans="1:10">
      <c r="A124" s="25" t="s">
        <v>598</v>
      </c>
      <c r="B124" s="25" t="s">
        <v>86</v>
      </c>
      <c r="C124" s="25" t="s">
        <v>85</v>
      </c>
      <c r="D124" s="25" t="s">
        <v>397</v>
      </c>
      <c r="E124" s="25" t="s">
        <v>88</v>
      </c>
      <c r="F124" s="25" t="s">
        <v>88</v>
      </c>
      <c r="G124" s="26" t="s">
        <v>599</v>
      </c>
      <c r="H124" s="27">
        <v>0</v>
      </c>
      <c r="I124" t="s">
        <v>600</v>
      </c>
      <c r="J124" t="s">
        <v>601</v>
      </c>
    </row>
    <row r="125" spans="1:10">
      <c r="A125" s="25" t="s">
        <v>602</v>
      </c>
      <c r="B125" s="25" t="s">
        <v>91</v>
      </c>
      <c r="C125" s="25" t="s">
        <v>85</v>
      </c>
      <c r="D125" s="25" t="s">
        <v>397</v>
      </c>
      <c r="E125" s="25" t="s">
        <v>88</v>
      </c>
      <c r="F125" s="25" t="s">
        <v>88</v>
      </c>
      <c r="G125" s="26" t="s">
        <v>603</v>
      </c>
      <c r="H125" s="27">
        <v>0</v>
      </c>
      <c r="I125" t="s">
        <v>604</v>
      </c>
      <c r="J125" t="s">
        <v>605</v>
      </c>
    </row>
    <row r="126" spans="1:10">
      <c r="A126" s="25" t="s">
        <v>606</v>
      </c>
      <c r="B126" s="25" t="s">
        <v>91</v>
      </c>
      <c r="C126" s="25" t="s">
        <v>123</v>
      </c>
      <c r="D126" s="25" t="s">
        <v>397</v>
      </c>
      <c r="E126" s="25" t="s">
        <v>88</v>
      </c>
      <c r="F126" s="25" t="s">
        <v>88</v>
      </c>
      <c r="G126" s="26" t="s">
        <v>607</v>
      </c>
      <c r="H126" s="27">
        <v>0</v>
      </c>
      <c r="I126" t="s">
        <v>608</v>
      </c>
      <c r="J126" t="s">
        <v>609</v>
      </c>
    </row>
    <row r="127" spans="1:10">
      <c r="A127" s="25" t="s">
        <v>610</v>
      </c>
      <c r="B127" s="25" t="s">
        <v>91</v>
      </c>
      <c r="C127" s="25" t="s">
        <v>85</v>
      </c>
      <c r="D127" s="25" t="s">
        <v>397</v>
      </c>
      <c r="E127" s="25" t="s">
        <v>88</v>
      </c>
      <c r="F127" s="25" t="s">
        <v>88</v>
      </c>
      <c r="G127" s="26" t="s">
        <v>611</v>
      </c>
      <c r="H127" s="27">
        <v>0</v>
      </c>
      <c r="I127" t="s">
        <v>612</v>
      </c>
      <c r="J127" t="s">
        <v>613</v>
      </c>
    </row>
    <row r="128" spans="1:10">
      <c r="A128" s="25" t="s">
        <v>614</v>
      </c>
      <c r="B128" s="25" t="s">
        <v>86</v>
      </c>
      <c r="C128" s="25" t="s">
        <v>85</v>
      </c>
      <c r="D128" s="25" t="s">
        <v>397</v>
      </c>
      <c r="E128" s="25" t="s">
        <v>88</v>
      </c>
      <c r="F128" s="25" t="s">
        <v>88</v>
      </c>
      <c r="G128" s="26" t="s">
        <v>615</v>
      </c>
      <c r="H128" s="27">
        <v>0</v>
      </c>
      <c r="I128" t="s">
        <v>616</v>
      </c>
      <c r="J128" t="s">
        <v>617</v>
      </c>
    </row>
    <row r="129" spans="1:10">
      <c r="A129" s="25" t="s">
        <v>618</v>
      </c>
      <c r="B129" s="25" t="s">
        <v>91</v>
      </c>
      <c r="C129" s="25" t="s">
        <v>85</v>
      </c>
      <c r="D129" s="25" t="s">
        <v>397</v>
      </c>
      <c r="E129" s="25" t="s">
        <v>87</v>
      </c>
      <c r="F129" s="25" t="s">
        <v>88</v>
      </c>
      <c r="G129" s="26" t="s">
        <v>619</v>
      </c>
      <c r="H129" s="27">
        <v>0</v>
      </c>
      <c r="I129" t="s">
        <v>620</v>
      </c>
      <c r="J129" t="s">
        <v>621</v>
      </c>
    </row>
    <row r="130" spans="1:10">
      <c r="A130" s="25" t="s">
        <v>622</v>
      </c>
      <c r="B130" s="25" t="s">
        <v>86</v>
      </c>
      <c r="C130" s="25" t="s">
        <v>85</v>
      </c>
      <c r="D130" s="25" t="s">
        <v>397</v>
      </c>
      <c r="E130" s="25" t="s">
        <v>88</v>
      </c>
      <c r="F130" s="25" t="s">
        <v>88</v>
      </c>
      <c r="G130" s="26" t="s">
        <v>623</v>
      </c>
      <c r="H130" s="27">
        <v>0</v>
      </c>
      <c r="I130" t="s">
        <v>624</v>
      </c>
      <c r="J130" t="s">
        <v>625</v>
      </c>
    </row>
    <row r="131" spans="1:10">
      <c r="A131" s="25" t="s">
        <v>139</v>
      </c>
      <c r="B131" s="25" t="s">
        <v>86</v>
      </c>
      <c r="C131" s="25" t="s">
        <v>85</v>
      </c>
      <c r="D131" s="25" t="s">
        <v>397</v>
      </c>
      <c r="E131" s="25" t="s">
        <v>88</v>
      </c>
      <c r="F131" s="25" t="s">
        <v>88</v>
      </c>
      <c r="G131" s="26" t="s">
        <v>626</v>
      </c>
      <c r="H131" s="27">
        <v>0</v>
      </c>
      <c r="I131" t="s">
        <v>627</v>
      </c>
      <c r="J131" t="s">
        <v>628</v>
      </c>
    </row>
    <row r="132" spans="1:10">
      <c r="A132" s="25" t="s">
        <v>629</v>
      </c>
      <c r="B132" s="25" t="s">
        <v>91</v>
      </c>
      <c r="C132" s="25" t="s">
        <v>85</v>
      </c>
      <c r="D132" s="25" t="s">
        <v>397</v>
      </c>
      <c r="E132" s="25" t="s">
        <v>88</v>
      </c>
      <c r="F132" s="25" t="s">
        <v>88</v>
      </c>
      <c r="G132" s="26" t="s">
        <v>630</v>
      </c>
      <c r="H132" s="27">
        <v>0</v>
      </c>
      <c r="I132" t="s">
        <v>631</v>
      </c>
      <c r="J132" t="s">
        <v>632</v>
      </c>
    </row>
    <row r="133" spans="1:10">
      <c r="A133" s="25" t="s">
        <v>633</v>
      </c>
      <c r="B133" s="25" t="s">
        <v>91</v>
      </c>
      <c r="C133" s="25" t="s">
        <v>85</v>
      </c>
      <c r="D133" s="25" t="s">
        <v>397</v>
      </c>
      <c r="E133" s="25" t="s">
        <v>87</v>
      </c>
      <c r="F133" s="25" t="s">
        <v>88</v>
      </c>
      <c r="G133" s="26" t="s">
        <v>634</v>
      </c>
      <c r="H133" s="27">
        <v>0</v>
      </c>
      <c r="I133" t="s">
        <v>635</v>
      </c>
      <c r="J133" t="s">
        <v>636</v>
      </c>
    </row>
    <row r="134" spans="1:10">
      <c r="A134" s="25" t="s">
        <v>637</v>
      </c>
      <c r="B134" s="25" t="s">
        <v>86</v>
      </c>
      <c r="C134" s="25" t="s">
        <v>85</v>
      </c>
      <c r="D134" s="25" t="s">
        <v>397</v>
      </c>
      <c r="E134" s="25" t="s">
        <v>88</v>
      </c>
      <c r="F134" s="25" t="s">
        <v>88</v>
      </c>
      <c r="G134" s="26" t="s">
        <v>638</v>
      </c>
      <c r="H134" s="27">
        <v>0</v>
      </c>
      <c r="I134" t="s">
        <v>639</v>
      </c>
      <c r="J134" t="s">
        <v>640</v>
      </c>
    </row>
    <row r="135" spans="1:10">
      <c r="A135" s="25" t="s">
        <v>641</v>
      </c>
      <c r="B135" s="25" t="s">
        <v>91</v>
      </c>
      <c r="C135" s="25" t="s">
        <v>145</v>
      </c>
      <c r="D135" s="25" t="s">
        <v>397</v>
      </c>
      <c r="E135" s="25" t="s">
        <v>88</v>
      </c>
      <c r="F135" s="25" t="s">
        <v>88</v>
      </c>
      <c r="G135" s="26" t="s">
        <v>642</v>
      </c>
      <c r="H135" s="27">
        <v>0</v>
      </c>
      <c r="I135" t="s">
        <v>643</v>
      </c>
      <c r="J135" t="s">
        <v>644</v>
      </c>
    </row>
    <row r="136" spans="1:10">
      <c r="A136" s="25" t="s">
        <v>645</v>
      </c>
      <c r="B136" s="25" t="s">
        <v>91</v>
      </c>
      <c r="C136" s="25" t="s">
        <v>85</v>
      </c>
      <c r="D136" s="25" t="s">
        <v>397</v>
      </c>
      <c r="E136" s="25" t="s">
        <v>88</v>
      </c>
      <c r="F136" s="25" t="s">
        <v>88</v>
      </c>
      <c r="G136" s="26" t="s">
        <v>646</v>
      </c>
      <c r="H136" s="27">
        <v>0</v>
      </c>
      <c r="I136" t="s">
        <v>647</v>
      </c>
      <c r="J136" t="s">
        <v>648</v>
      </c>
    </row>
    <row r="137" spans="1:10">
      <c r="A137" s="25" t="s">
        <v>649</v>
      </c>
      <c r="B137" s="25" t="s">
        <v>86</v>
      </c>
      <c r="C137" s="25" t="s">
        <v>85</v>
      </c>
      <c r="D137" s="25" t="s">
        <v>397</v>
      </c>
      <c r="E137" s="25" t="s">
        <v>88</v>
      </c>
      <c r="F137" s="25" t="s">
        <v>88</v>
      </c>
      <c r="G137" s="26" t="s">
        <v>650</v>
      </c>
      <c r="H137" s="27">
        <v>0</v>
      </c>
      <c r="I137" t="s">
        <v>651</v>
      </c>
      <c r="J137" t="s">
        <v>652</v>
      </c>
    </row>
    <row r="138" spans="1:10">
      <c r="A138" s="25" t="s">
        <v>653</v>
      </c>
      <c r="B138" s="25" t="s">
        <v>91</v>
      </c>
      <c r="C138" s="25" t="s">
        <v>97</v>
      </c>
      <c r="D138" s="25" t="s">
        <v>397</v>
      </c>
      <c r="E138" s="25" t="s">
        <v>88</v>
      </c>
      <c r="F138" s="25" t="s">
        <v>88</v>
      </c>
      <c r="G138" s="26" t="s">
        <v>654</v>
      </c>
      <c r="H138" s="27">
        <v>0</v>
      </c>
      <c r="I138" t="s">
        <v>655</v>
      </c>
      <c r="J138" t="s">
        <v>656</v>
      </c>
    </row>
    <row r="139" spans="1:10">
      <c r="A139" s="25" t="s">
        <v>657</v>
      </c>
      <c r="B139" s="25" t="s">
        <v>91</v>
      </c>
      <c r="C139" s="25" t="s">
        <v>97</v>
      </c>
      <c r="D139" s="25" t="s">
        <v>397</v>
      </c>
      <c r="E139" s="25" t="s">
        <v>88</v>
      </c>
      <c r="F139" s="25" t="s">
        <v>88</v>
      </c>
      <c r="G139" s="26" t="s">
        <v>658</v>
      </c>
      <c r="H139" s="27">
        <v>0</v>
      </c>
      <c r="I139" t="s">
        <v>659</v>
      </c>
      <c r="J139" t="s">
        <v>660</v>
      </c>
    </row>
    <row r="140" spans="1:10">
      <c r="A140" s="25" t="s">
        <v>661</v>
      </c>
      <c r="B140" s="25" t="s">
        <v>86</v>
      </c>
      <c r="C140" s="25" t="s">
        <v>97</v>
      </c>
      <c r="D140" s="25" t="s">
        <v>397</v>
      </c>
      <c r="E140" s="25" t="s">
        <v>88</v>
      </c>
      <c r="F140" s="25" t="s">
        <v>88</v>
      </c>
      <c r="G140" s="26" t="s">
        <v>662</v>
      </c>
      <c r="H140" s="27">
        <v>0</v>
      </c>
      <c r="I140" t="s">
        <v>663</v>
      </c>
      <c r="J140" t="s">
        <v>664</v>
      </c>
    </row>
    <row r="141" spans="1:10">
      <c r="A141" s="25" t="s">
        <v>336</v>
      </c>
      <c r="B141" s="25" t="s">
        <v>86</v>
      </c>
      <c r="C141" s="25" t="s">
        <v>97</v>
      </c>
      <c r="D141" s="25" t="s">
        <v>397</v>
      </c>
      <c r="E141" s="25" t="s">
        <v>88</v>
      </c>
      <c r="F141" s="25" t="s">
        <v>88</v>
      </c>
      <c r="G141" s="26" t="s">
        <v>665</v>
      </c>
      <c r="H141" s="27">
        <v>0</v>
      </c>
      <c r="I141" t="s">
        <v>666</v>
      </c>
      <c r="J141" t="s">
        <v>667</v>
      </c>
    </row>
    <row r="142" spans="1:10">
      <c r="A142" s="25" t="s">
        <v>668</v>
      </c>
      <c r="B142" s="25" t="s">
        <v>86</v>
      </c>
      <c r="C142" s="25" t="s">
        <v>85</v>
      </c>
      <c r="D142" s="25" t="s">
        <v>397</v>
      </c>
      <c r="E142" s="25" t="s">
        <v>88</v>
      </c>
      <c r="F142" s="25" t="s">
        <v>88</v>
      </c>
      <c r="G142" s="26" t="s">
        <v>669</v>
      </c>
      <c r="H142" s="27">
        <v>0</v>
      </c>
      <c r="I142" t="s">
        <v>670</v>
      </c>
      <c r="J142" t="s">
        <v>671</v>
      </c>
    </row>
    <row r="143" spans="1:10">
      <c r="A143" s="25" t="s">
        <v>672</v>
      </c>
      <c r="B143" s="25" t="s">
        <v>86</v>
      </c>
      <c r="C143" s="25" t="s">
        <v>85</v>
      </c>
      <c r="D143" s="25" t="s">
        <v>397</v>
      </c>
      <c r="E143" s="25" t="s">
        <v>88</v>
      </c>
      <c r="F143" s="25" t="s">
        <v>88</v>
      </c>
      <c r="G143" s="26" t="s">
        <v>673</v>
      </c>
      <c r="H143" s="27">
        <v>0</v>
      </c>
      <c r="I143" t="s">
        <v>674</v>
      </c>
      <c r="J143" t="s">
        <v>675</v>
      </c>
    </row>
    <row r="144" spans="1:10">
      <c r="A144" s="25" t="s">
        <v>676</v>
      </c>
      <c r="B144" s="25" t="s">
        <v>86</v>
      </c>
      <c r="C144" s="25" t="s">
        <v>97</v>
      </c>
      <c r="D144" s="25" t="s">
        <v>397</v>
      </c>
      <c r="E144" s="25" t="s">
        <v>88</v>
      </c>
      <c r="F144" s="25" t="s">
        <v>88</v>
      </c>
      <c r="G144" s="26" t="s">
        <v>677</v>
      </c>
      <c r="H144" s="27">
        <v>0</v>
      </c>
      <c r="I144" t="s">
        <v>678</v>
      </c>
      <c r="J144" t="s">
        <v>679</v>
      </c>
    </row>
    <row r="145" spans="1:10">
      <c r="A145" s="25" t="s">
        <v>680</v>
      </c>
      <c r="B145" s="25" t="s">
        <v>91</v>
      </c>
      <c r="C145" s="25" t="s">
        <v>145</v>
      </c>
      <c r="D145" s="25" t="s">
        <v>397</v>
      </c>
      <c r="E145" s="25" t="s">
        <v>88</v>
      </c>
      <c r="F145" s="25" t="s">
        <v>88</v>
      </c>
      <c r="G145" s="26" t="s">
        <v>681</v>
      </c>
      <c r="H145" s="27">
        <v>0</v>
      </c>
      <c r="I145" t="s">
        <v>682</v>
      </c>
      <c r="J145" t="s">
        <v>683</v>
      </c>
    </row>
    <row r="146" spans="1:10">
      <c r="A146" s="25" t="s">
        <v>684</v>
      </c>
      <c r="B146" s="25" t="s">
        <v>86</v>
      </c>
      <c r="C146" s="25" t="s">
        <v>85</v>
      </c>
      <c r="D146" s="25" t="s">
        <v>397</v>
      </c>
      <c r="E146" s="25" t="s">
        <v>88</v>
      </c>
      <c r="F146" s="25" t="s">
        <v>88</v>
      </c>
      <c r="G146" s="26" t="s">
        <v>685</v>
      </c>
      <c r="H146" s="27">
        <v>0</v>
      </c>
      <c r="I146" t="s">
        <v>686</v>
      </c>
      <c r="J146" t="s">
        <v>687</v>
      </c>
    </row>
    <row r="147" spans="1:10">
      <c r="A147" s="25" t="s">
        <v>688</v>
      </c>
      <c r="B147" s="25" t="s">
        <v>86</v>
      </c>
      <c r="C147" s="25" t="s">
        <v>85</v>
      </c>
      <c r="D147" s="25" t="s">
        <v>397</v>
      </c>
      <c r="E147" s="25" t="s">
        <v>88</v>
      </c>
      <c r="F147" s="25" t="s">
        <v>88</v>
      </c>
      <c r="G147" s="26" t="s">
        <v>689</v>
      </c>
      <c r="H147" s="27">
        <v>0</v>
      </c>
      <c r="I147" t="s">
        <v>690</v>
      </c>
      <c r="J147" t="s">
        <v>691</v>
      </c>
    </row>
    <row r="148" spans="1:10">
      <c r="A148" s="25" t="s">
        <v>692</v>
      </c>
      <c r="B148" s="25" t="s">
        <v>86</v>
      </c>
      <c r="C148" s="25" t="s">
        <v>85</v>
      </c>
      <c r="D148" s="25" t="s">
        <v>397</v>
      </c>
      <c r="E148" s="25" t="s">
        <v>88</v>
      </c>
      <c r="F148" s="25" t="s">
        <v>88</v>
      </c>
      <c r="G148" s="26" t="s">
        <v>693</v>
      </c>
      <c r="H148" s="27">
        <v>0</v>
      </c>
      <c r="I148" t="s">
        <v>694</v>
      </c>
      <c r="J148" t="s">
        <v>695</v>
      </c>
    </row>
    <row r="149" spans="1:10">
      <c r="A149" s="25" t="s">
        <v>696</v>
      </c>
      <c r="B149" s="25" t="s">
        <v>86</v>
      </c>
      <c r="C149" s="25" t="s">
        <v>85</v>
      </c>
      <c r="D149" s="25" t="s">
        <v>397</v>
      </c>
      <c r="E149" s="25" t="s">
        <v>88</v>
      </c>
      <c r="F149" s="25" t="s">
        <v>88</v>
      </c>
      <c r="G149" s="26" t="s">
        <v>697</v>
      </c>
      <c r="H149" s="27">
        <v>0</v>
      </c>
      <c r="I149" t="s">
        <v>698</v>
      </c>
      <c r="J149" t="s">
        <v>699</v>
      </c>
    </row>
    <row r="150" spans="1:10">
      <c r="A150" s="25" t="s">
        <v>700</v>
      </c>
      <c r="B150" s="25" t="s">
        <v>91</v>
      </c>
      <c r="C150" s="25" t="s">
        <v>97</v>
      </c>
      <c r="D150" s="25" t="s">
        <v>397</v>
      </c>
      <c r="E150" s="25" t="s">
        <v>88</v>
      </c>
      <c r="F150" s="25" t="s">
        <v>88</v>
      </c>
      <c r="G150" s="26" t="s">
        <v>701</v>
      </c>
      <c r="H150" s="27">
        <v>0</v>
      </c>
      <c r="I150" t="s">
        <v>702</v>
      </c>
      <c r="J150" t="s">
        <v>703</v>
      </c>
    </row>
    <row r="151" spans="1:10">
      <c r="A151" s="25" t="s">
        <v>704</v>
      </c>
      <c r="B151" s="25" t="s">
        <v>86</v>
      </c>
      <c r="C151" s="25" t="s">
        <v>85</v>
      </c>
      <c r="D151" s="25" t="s">
        <v>397</v>
      </c>
      <c r="E151" s="25" t="s">
        <v>88</v>
      </c>
      <c r="F151" s="25" t="s">
        <v>88</v>
      </c>
      <c r="G151" s="26" t="s">
        <v>705</v>
      </c>
      <c r="H151" s="27">
        <v>0</v>
      </c>
      <c r="I151" t="s">
        <v>706</v>
      </c>
      <c r="J151" t="s">
        <v>707</v>
      </c>
    </row>
    <row r="152" spans="1:10">
      <c r="A152" s="25" t="s">
        <v>708</v>
      </c>
      <c r="B152" s="25" t="s">
        <v>91</v>
      </c>
      <c r="C152" s="25" t="s">
        <v>85</v>
      </c>
      <c r="D152" s="25" t="s">
        <v>397</v>
      </c>
      <c r="E152" s="25" t="s">
        <v>88</v>
      </c>
      <c r="F152" s="25" t="s">
        <v>88</v>
      </c>
      <c r="G152" s="26" t="s">
        <v>709</v>
      </c>
      <c r="H152" s="27">
        <v>0</v>
      </c>
      <c r="I152" t="s">
        <v>710</v>
      </c>
      <c r="J152" t="s">
        <v>711</v>
      </c>
    </row>
    <row r="153" spans="1:10">
      <c r="A153" s="25" t="s">
        <v>712</v>
      </c>
      <c r="B153" s="25" t="s">
        <v>91</v>
      </c>
      <c r="C153" s="25" t="s">
        <v>123</v>
      </c>
      <c r="D153" s="25" t="s">
        <v>397</v>
      </c>
      <c r="E153" s="25" t="s">
        <v>88</v>
      </c>
      <c r="F153" s="25" t="s">
        <v>88</v>
      </c>
      <c r="G153" s="26" t="s">
        <v>713</v>
      </c>
      <c r="H153" s="27">
        <v>0</v>
      </c>
      <c r="I153" t="s">
        <v>714</v>
      </c>
      <c r="J153" t="s">
        <v>715</v>
      </c>
    </row>
    <row r="154" spans="1:10">
      <c r="A154" s="25" t="s">
        <v>716</v>
      </c>
      <c r="B154" s="25" t="s">
        <v>91</v>
      </c>
      <c r="C154" s="25" t="s">
        <v>85</v>
      </c>
      <c r="D154" s="25" t="s">
        <v>397</v>
      </c>
      <c r="E154" s="25" t="s">
        <v>88</v>
      </c>
      <c r="F154" s="25" t="s">
        <v>88</v>
      </c>
      <c r="G154" s="26" t="s">
        <v>717</v>
      </c>
      <c r="H154" s="27">
        <v>0</v>
      </c>
      <c r="I154" t="s">
        <v>718</v>
      </c>
      <c r="J154" t="s">
        <v>719</v>
      </c>
    </row>
    <row r="155" spans="1:10">
      <c r="A155" s="25" t="s">
        <v>720</v>
      </c>
      <c r="B155" s="25" t="s">
        <v>91</v>
      </c>
      <c r="C155" s="25" t="s">
        <v>85</v>
      </c>
      <c r="D155" s="25" t="s">
        <v>397</v>
      </c>
      <c r="E155" s="25" t="s">
        <v>88</v>
      </c>
      <c r="F155" s="25" t="s">
        <v>88</v>
      </c>
      <c r="G155" s="26" t="s">
        <v>721</v>
      </c>
      <c r="H155" s="27">
        <v>0</v>
      </c>
      <c r="I155" t="s">
        <v>722</v>
      </c>
      <c r="J155" t="s">
        <v>723</v>
      </c>
    </row>
    <row r="156" spans="1:10">
      <c r="A156" s="25" t="s">
        <v>724</v>
      </c>
      <c r="B156" s="25" t="s">
        <v>91</v>
      </c>
      <c r="C156" s="25" t="s">
        <v>85</v>
      </c>
      <c r="D156" s="25" t="s">
        <v>397</v>
      </c>
      <c r="E156" s="25" t="s">
        <v>88</v>
      </c>
      <c r="F156" s="25" t="s">
        <v>88</v>
      </c>
      <c r="G156" s="26" t="s">
        <v>725</v>
      </c>
      <c r="H156" s="27">
        <v>0</v>
      </c>
      <c r="I156" t="s">
        <v>726</v>
      </c>
      <c r="J156" t="s">
        <v>727</v>
      </c>
    </row>
    <row r="157" spans="1:10">
      <c r="A157" s="25" t="s">
        <v>728</v>
      </c>
      <c r="B157" s="25" t="s">
        <v>91</v>
      </c>
      <c r="C157" s="25" t="s">
        <v>97</v>
      </c>
      <c r="D157" s="25" t="s">
        <v>397</v>
      </c>
      <c r="E157" s="25" t="s">
        <v>88</v>
      </c>
      <c r="F157" s="25" t="s">
        <v>88</v>
      </c>
      <c r="G157" s="26" t="s">
        <v>729</v>
      </c>
      <c r="H157" s="27">
        <v>0</v>
      </c>
      <c r="I157" t="s">
        <v>730</v>
      </c>
      <c r="J157" t="s">
        <v>731</v>
      </c>
    </row>
    <row r="158" spans="1:10">
      <c r="A158" s="25" t="s">
        <v>732</v>
      </c>
      <c r="B158" s="25" t="s">
        <v>86</v>
      </c>
      <c r="C158" s="25" t="s">
        <v>145</v>
      </c>
      <c r="D158" s="25" t="s">
        <v>397</v>
      </c>
      <c r="E158" s="25" t="s">
        <v>88</v>
      </c>
      <c r="F158" s="25" t="s">
        <v>88</v>
      </c>
      <c r="G158" s="26" t="s">
        <v>733</v>
      </c>
      <c r="H158" s="27">
        <v>0</v>
      </c>
      <c r="I158" t="s">
        <v>734</v>
      </c>
      <c r="J158" t="s">
        <v>735</v>
      </c>
    </row>
    <row r="159" spans="1:10">
      <c r="A159" s="25" t="s">
        <v>736</v>
      </c>
      <c r="B159" s="25" t="s">
        <v>86</v>
      </c>
      <c r="C159" s="25" t="s">
        <v>97</v>
      </c>
      <c r="D159" s="25" t="s">
        <v>397</v>
      </c>
      <c r="E159" s="25" t="s">
        <v>88</v>
      </c>
      <c r="F159" s="25" t="s">
        <v>88</v>
      </c>
      <c r="G159" s="26" t="s">
        <v>737</v>
      </c>
      <c r="H159" s="27">
        <v>0</v>
      </c>
      <c r="I159" t="s">
        <v>738</v>
      </c>
      <c r="J159" t="s">
        <v>739</v>
      </c>
    </row>
    <row r="160" spans="1:10">
      <c r="A160" s="25" t="s">
        <v>740</v>
      </c>
      <c r="B160" s="25" t="s">
        <v>91</v>
      </c>
      <c r="C160" s="25" t="s">
        <v>85</v>
      </c>
      <c r="D160" s="25" t="s">
        <v>397</v>
      </c>
      <c r="E160" s="25" t="s">
        <v>88</v>
      </c>
      <c r="F160" s="25" t="s">
        <v>88</v>
      </c>
      <c r="G160" s="26" t="s">
        <v>741</v>
      </c>
      <c r="H160" s="27">
        <v>0</v>
      </c>
      <c r="I160" t="s">
        <v>742</v>
      </c>
      <c r="J160" t="s">
        <v>743</v>
      </c>
    </row>
    <row r="161" spans="1:10">
      <c r="A161" s="25" t="s">
        <v>744</v>
      </c>
      <c r="B161" s="25" t="s">
        <v>86</v>
      </c>
      <c r="C161" s="25" t="s">
        <v>97</v>
      </c>
      <c r="D161" s="25" t="s">
        <v>397</v>
      </c>
      <c r="E161" s="25" t="s">
        <v>88</v>
      </c>
      <c r="F161" s="25" t="s">
        <v>88</v>
      </c>
      <c r="G161" s="26" t="s">
        <v>745</v>
      </c>
      <c r="H161" s="27">
        <v>0</v>
      </c>
      <c r="I161" t="s">
        <v>746</v>
      </c>
      <c r="J161" t="s">
        <v>747</v>
      </c>
    </row>
    <row r="162" spans="1:10">
      <c r="A162" s="25" t="s">
        <v>748</v>
      </c>
      <c r="B162" s="25" t="s">
        <v>86</v>
      </c>
      <c r="C162" s="25" t="s">
        <v>85</v>
      </c>
      <c r="D162" s="25" t="s">
        <v>397</v>
      </c>
      <c r="E162" s="25" t="s">
        <v>88</v>
      </c>
      <c r="F162" s="25" t="s">
        <v>88</v>
      </c>
      <c r="G162" s="26" t="s">
        <v>749</v>
      </c>
      <c r="H162" s="27">
        <v>0</v>
      </c>
      <c r="I162" t="s">
        <v>750</v>
      </c>
      <c r="J162" t="s">
        <v>751</v>
      </c>
    </row>
    <row r="163" spans="1:10">
      <c r="A163" s="25" t="s">
        <v>752</v>
      </c>
      <c r="B163" s="25" t="s">
        <v>91</v>
      </c>
      <c r="C163" s="25" t="s">
        <v>97</v>
      </c>
      <c r="D163" s="25" t="s">
        <v>397</v>
      </c>
      <c r="E163" s="25" t="s">
        <v>88</v>
      </c>
      <c r="F163" s="25" t="s">
        <v>88</v>
      </c>
      <c r="G163" s="26" t="s">
        <v>753</v>
      </c>
      <c r="H163" s="27">
        <v>0</v>
      </c>
      <c r="I163" t="s">
        <v>754</v>
      </c>
      <c r="J163" t="s">
        <v>755</v>
      </c>
    </row>
    <row r="164" spans="1:10">
      <c r="A164" s="25" t="s">
        <v>756</v>
      </c>
      <c r="B164" s="25" t="s">
        <v>86</v>
      </c>
      <c r="C164" s="25" t="s">
        <v>145</v>
      </c>
      <c r="D164" s="25" t="s">
        <v>397</v>
      </c>
      <c r="E164" s="25" t="s">
        <v>88</v>
      </c>
      <c r="F164" s="25" t="s">
        <v>88</v>
      </c>
      <c r="G164" s="26" t="s">
        <v>757</v>
      </c>
      <c r="H164" s="27">
        <v>0</v>
      </c>
      <c r="I164" t="s">
        <v>758</v>
      </c>
      <c r="J164" t="s">
        <v>759</v>
      </c>
    </row>
    <row r="165" spans="1:10">
      <c r="A165" s="25" t="s">
        <v>760</v>
      </c>
      <c r="B165" s="25" t="s">
        <v>91</v>
      </c>
      <c r="C165" s="25" t="s">
        <v>85</v>
      </c>
      <c r="D165" s="25" t="s">
        <v>397</v>
      </c>
      <c r="E165" s="25" t="s">
        <v>88</v>
      </c>
      <c r="F165" s="25" t="s">
        <v>88</v>
      </c>
      <c r="G165" s="26" t="s">
        <v>761</v>
      </c>
      <c r="H165" s="27">
        <v>0</v>
      </c>
      <c r="I165" t="s">
        <v>762</v>
      </c>
      <c r="J165" t="s">
        <v>763</v>
      </c>
    </row>
    <row r="166" spans="1:10">
      <c r="A166" s="25" t="s">
        <v>764</v>
      </c>
      <c r="B166" s="25" t="s">
        <v>91</v>
      </c>
      <c r="C166" s="25" t="s">
        <v>85</v>
      </c>
      <c r="D166" s="25" t="s">
        <v>397</v>
      </c>
      <c r="E166" s="25" t="s">
        <v>88</v>
      </c>
      <c r="F166" s="25" t="s">
        <v>88</v>
      </c>
      <c r="G166" s="26" t="s">
        <v>765</v>
      </c>
      <c r="H166" s="27">
        <v>0</v>
      </c>
      <c r="I166" t="s">
        <v>766</v>
      </c>
      <c r="J166" t="s">
        <v>767</v>
      </c>
    </row>
    <row r="167" spans="1:10">
      <c r="A167" s="25" t="s">
        <v>530</v>
      </c>
      <c r="B167" s="25" t="s">
        <v>86</v>
      </c>
      <c r="C167" s="25" t="s">
        <v>85</v>
      </c>
      <c r="D167" s="25" t="s">
        <v>397</v>
      </c>
      <c r="E167" s="25" t="s">
        <v>88</v>
      </c>
      <c r="F167" s="25" t="s">
        <v>88</v>
      </c>
      <c r="G167" s="26" t="s">
        <v>768</v>
      </c>
      <c r="H167" s="27">
        <v>0</v>
      </c>
      <c r="I167" t="s">
        <v>769</v>
      </c>
      <c r="J167" t="s">
        <v>770</v>
      </c>
    </row>
    <row r="168" spans="1:10">
      <c r="A168" s="25" t="s">
        <v>771</v>
      </c>
      <c r="B168" s="25" t="s">
        <v>91</v>
      </c>
      <c r="C168" s="25" t="s">
        <v>85</v>
      </c>
      <c r="D168" s="25" t="s">
        <v>772</v>
      </c>
      <c r="E168" s="25" t="s">
        <v>88</v>
      </c>
      <c r="F168" s="25" t="s">
        <v>88</v>
      </c>
      <c r="G168" s="26" t="s">
        <v>773</v>
      </c>
      <c r="H168" s="27">
        <v>0</v>
      </c>
      <c r="I168" t="s">
        <v>774</v>
      </c>
      <c r="J168" t="s">
        <v>775</v>
      </c>
    </row>
    <row r="169" spans="1:10">
      <c r="A169" s="25" t="s">
        <v>776</v>
      </c>
      <c r="B169" s="25" t="s">
        <v>86</v>
      </c>
      <c r="C169" s="25" t="s">
        <v>85</v>
      </c>
      <c r="D169" s="25" t="s">
        <v>772</v>
      </c>
      <c r="E169" s="25" t="s">
        <v>88</v>
      </c>
      <c r="F169" s="25" t="s">
        <v>88</v>
      </c>
      <c r="G169" s="26" t="s">
        <v>777</v>
      </c>
      <c r="H169" s="27">
        <v>0</v>
      </c>
      <c r="I169" t="s">
        <v>778</v>
      </c>
      <c r="J169" t="s">
        <v>779</v>
      </c>
    </row>
    <row r="170" spans="1:10">
      <c r="A170" s="25" t="s">
        <v>780</v>
      </c>
      <c r="B170" s="25" t="s">
        <v>86</v>
      </c>
      <c r="C170" s="25" t="s">
        <v>85</v>
      </c>
      <c r="D170" s="25" t="s">
        <v>772</v>
      </c>
      <c r="E170" s="25" t="s">
        <v>88</v>
      </c>
      <c r="F170" s="25" t="s">
        <v>88</v>
      </c>
      <c r="G170" s="26" t="s">
        <v>781</v>
      </c>
      <c r="H170" s="27">
        <v>0</v>
      </c>
      <c r="I170" t="s">
        <v>782</v>
      </c>
      <c r="J170" t="s">
        <v>404</v>
      </c>
    </row>
    <row r="171" spans="1:10">
      <c r="A171" s="25" t="s">
        <v>783</v>
      </c>
      <c r="B171" s="25" t="s">
        <v>91</v>
      </c>
      <c r="C171" s="25" t="s">
        <v>85</v>
      </c>
      <c r="D171" s="25" t="s">
        <v>772</v>
      </c>
      <c r="E171" s="25" t="s">
        <v>88</v>
      </c>
      <c r="F171" s="25" t="s">
        <v>88</v>
      </c>
      <c r="G171" s="26" t="s">
        <v>784</v>
      </c>
      <c r="H171" s="27">
        <v>0</v>
      </c>
      <c r="I171" t="s">
        <v>785</v>
      </c>
      <c r="J171" t="s">
        <v>786</v>
      </c>
    </row>
    <row r="172" spans="1:10">
      <c r="A172" s="25" t="s">
        <v>787</v>
      </c>
      <c r="B172" s="25" t="s">
        <v>86</v>
      </c>
      <c r="C172" s="25" t="s">
        <v>85</v>
      </c>
      <c r="D172" s="25" t="s">
        <v>772</v>
      </c>
      <c r="E172" s="25" t="s">
        <v>88</v>
      </c>
      <c r="F172" s="25" t="s">
        <v>88</v>
      </c>
      <c r="G172" s="26" t="s">
        <v>788</v>
      </c>
      <c r="H172" s="27">
        <v>0</v>
      </c>
      <c r="I172" t="s">
        <v>789</v>
      </c>
      <c r="J172" t="s">
        <v>790</v>
      </c>
    </row>
    <row r="173" spans="1:10">
      <c r="A173" s="25" t="s">
        <v>791</v>
      </c>
      <c r="B173" s="25" t="s">
        <v>91</v>
      </c>
      <c r="C173" s="25" t="s">
        <v>85</v>
      </c>
      <c r="D173" s="25" t="s">
        <v>772</v>
      </c>
      <c r="E173" s="25" t="s">
        <v>88</v>
      </c>
      <c r="F173" s="25" t="s">
        <v>88</v>
      </c>
      <c r="G173" s="26" t="s">
        <v>792</v>
      </c>
      <c r="H173" s="27">
        <v>0</v>
      </c>
      <c r="I173" t="s">
        <v>793</v>
      </c>
      <c r="J173" t="s">
        <v>794</v>
      </c>
    </row>
    <row r="174" spans="1:10">
      <c r="A174" s="25" t="s">
        <v>795</v>
      </c>
      <c r="B174" s="25" t="s">
        <v>91</v>
      </c>
      <c r="C174" s="25" t="s">
        <v>85</v>
      </c>
      <c r="D174" s="25" t="s">
        <v>772</v>
      </c>
      <c r="E174" s="25" t="s">
        <v>88</v>
      </c>
      <c r="F174" s="25" t="s">
        <v>88</v>
      </c>
      <c r="G174" s="26" t="s">
        <v>796</v>
      </c>
      <c r="H174" s="27">
        <v>0</v>
      </c>
      <c r="I174" t="s">
        <v>797</v>
      </c>
      <c r="J174" t="s">
        <v>798</v>
      </c>
    </row>
    <row r="175" spans="1:10">
      <c r="A175" s="25" t="s">
        <v>281</v>
      </c>
      <c r="B175" s="25" t="s">
        <v>91</v>
      </c>
      <c r="C175" s="25" t="s">
        <v>85</v>
      </c>
      <c r="D175" s="25" t="s">
        <v>772</v>
      </c>
      <c r="E175" s="25" t="s">
        <v>88</v>
      </c>
      <c r="F175" s="25" t="s">
        <v>88</v>
      </c>
      <c r="G175" s="26" t="s">
        <v>799</v>
      </c>
      <c r="H175" s="27">
        <v>0</v>
      </c>
      <c r="I175" t="s">
        <v>800</v>
      </c>
      <c r="J175" t="s">
        <v>801</v>
      </c>
    </row>
    <row r="176" spans="1:10">
      <c r="A176" s="25" t="s">
        <v>802</v>
      </c>
      <c r="B176" s="25" t="s">
        <v>86</v>
      </c>
      <c r="C176" s="25" t="s">
        <v>85</v>
      </c>
      <c r="D176" s="25" t="s">
        <v>772</v>
      </c>
      <c r="E176" s="25" t="s">
        <v>88</v>
      </c>
      <c r="F176" s="25" t="s">
        <v>88</v>
      </c>
      <c r="G176" s="26" t="s">
        <v>803</v>
      </c>
      <c r="H176" s="27">
        <v>0</v>
      </c>
      <c r="I176" t="s">
        <v>804</v>
      </c>
      <c r="J176" t="s">
        <v>805</v>
      </c>
    </row>
    <row r="177" spans="1:10">
      <c r="A177" s="25" t="s">
        <v>806</v>
      </c>
      <c r="B177" s="25" t="s">
        <v>86</v>
      </c>
      <c r="C177" s="25" t="s">
        <v>85</v>
      </c>
      <c r="D177" s="25" t="s">
        <v>772</v>
      </c>
      <c r="E177" s="25" t="s">
        <v>88</v>
      </c>
      <c r="F177" s="25" t="s">
        <v>88</v>
      </c>
      <c r="G177" s="26" t="s">
        <v>807</v>
      </c>
      <c r="H177" s="27">
        <v>0</v>
      </c>
      <c r="I177" t="s">
        <v>808</v>
      </c>
      <c r="J177" t="s">
        <v>809</v>
      </c>
    </row>
    <row r="178" spans="1:10">
      <c r="A178" s="25" t="s">
        <v>810</v>
      </c>
      <c r="B178" s="25" t="s">
        <v>86</v>
      </c>
      <c r="C178" s="25" t="s">
        <v>85</v>
      </c>
      <c r="D178" s="25" t="s">
        <v>772</v>
      </c>
      <c r="E178" s="25" t="s">
        <v>88</v>
      </c>
      <c r="F178" s="25" t="s">
        <v>88</v>
      </c>
      <c r="G178" s="26" t="s">
        <v>811</v>
      </c>
      <c r="H178" s="27">
        <v>0</v>
      </c>
      <c r="I178" t="s">
        <v>812</v>
      </c>
      <c r="J178" t="s">
        <v>813</v>
      </c>
    </row>
    <row r="179" spans="1:10">
      <c r="A179" s="25" t="s">
        <v>814</v>
      </c>
      <c r="B179" s="25" t="s">
        <v>91</v>
      </c>
      <c r="C179" s="25" t="s">
        <v>85</v>
      </c>
      <c r="D179" s="25" t="s">
        <v>772</v>
      </c>
      <c r="E179" s="25" t="s">
        <v>87</v>
      </c>
      <c r="F179" s="25" t="s">
        <v>88</v>
      </c>
      <c r="G179" s="26" t="s">
        <v>815</v>
      </c>
      <c r="H179" s="27">
        <v>0</v>
      </c>
      <c r="I179" t="s">
        <v>816</v>
      </c>
      <c r="J179" t="s">
        <v>817</v>
      </c>
    </row>
    <row r="180" spans="1:10">
      <c r="A180" s="25" t="s">
        <v>818</v>
      </c>
      <c r="B180" s="25" t="s">
        <v>86</v>
      </c>
      <c r="C180" s="25" t="s">
        <v>123</v>
      </c>
      <c r="D180" s="25" t="s">
        <v>772</v>
      </c>
      <c r="E180" s="25" t="s">
        <v>88</v>
      </c>
      <c r="F180" s="25" t="s">
        <v>88</v>
      </c>
      <c r="G180" s="26" t="s">
        <v>819</v>
      </c>
      <c r="H180" s="27">
        <v>0</v>
      </c>
      <c r="I180" t="s">
        <v>820</v>
      </c>
      <c r="J180" t="s">
        <v>821</v>
      </c>
    </row>
    <row r="181" spans="1:10">
      <c r="A181" s="25" t="s">
        <v>822</v>
      </c>
      <c r="B181" s="25" t="s">
        <v>86</v>
      </c>
      <c r="C181" s="25" t="s">
        <v>97</v>
      </c>
      <c r="D181" s="25" t="s">
        <v>772</v>
      </c>
      <c r="E181" s="25" t="s">
        <v>88</v>
      </c>
      <c r="F181" s="25" t="s">
        <v>88</v>
      </c>
      <c r="G181" s="26" t="s">
        <v>823</v>
      </c>
      <c r="H181" s="27">
        <v>0</v>
      </c>
      <c r="I181" t="s">
        <v>824</v>
      </c>
      <c r="J181" t="s">
        <v>825</v>
      </c>
    </row>
    <row r="182" spans="1:10">
      <c r="A182" s="25" t="s">
        <v>826</v>
      </c>
      <c r="B182" s="25" t="s">
        <v>91</v>
      </c>
      <c r="C182" s="25" t="s">
        <v>123</v>
      </c>
      <c r="D182" s="25" t="s">
        <v>772</v>
      </c>
      <c r="E182" s="25" t="s">
        <v>88</v>
      </c>
      <c r="F182" s="25" t="s">
        <v>88</v>
      </c>
      <c r="G182" s="26" t="s">
        <v>827</v>
      </c>
      <c r="H182" s="27">
        <v>0</v>
      </c>
      <c r="I182" t="s">
        <v>828</v>
      </c>
      <c r="J182" t="s">
        <v>829</v>
      </c>
    </row>
    <row r="183" spans="1:10">
      <c r="A183" s="25" t="s">
        <v>830</v>
      </c>
      <c r="B183" s="25" t="s">
        <v>91</v>
      </c>
      <c r="C183" s="25" t="s">
        <v>123</v>
      </c>
      <c r="D183" s="25" t="s">
        <v>772</v>
      </c>
      <c r="E183" s="25" t="s">
        <v>88</v>
      </c>
      <c r="F183" s="25" t="s">
        <v>88</v>
      </c>
      <c r="G183" s="26" t="s">
        <v>831</v>
      </c>
      <c r="H183" s="27">
        <v>0</v>
      </c>
      <c r="I183" t="s">
        <v>832</v>
      </c>
      <c r="J183" t="s">
        <v>833</v>
      </c>
    </row>
    <row r="184" spans="1:10">
      <c r="A184" s="25" t="s">
        <v>834</v>
      </c>
      <c r="B184" s="25" t="s">
        <v>86</v>
      </c>
      <c r="C184" s="25" t="s">
        <v>85</v>
      </c>
      <c r="D184" s="25" t="s">
        <v>772</v>
      </c>
      <c r="E184" s="25" t="s">
        <v>88</v>
      </c>
      <c r="F184" s="25" t="s">
        <v>88</v>
      </c>
      <c r="G184" s="26" t="s">
        <v>835</v>
      </c>
      <c r="H184" s="27">
        <v>0</v>
      </c>
      <c r="I184" t="s">
        <v>836</v>
      </c>
      <c r="J184" t="s">
        <v>837</v>
      </c>
    </row>
    <row r="185" spans="1:10">
      <c r="A185" s="25" t="s">
        <v>756</v>
      </c>
      <c r="B185" s="25" t="s">
        <v>86</v>
      </c>
      <c r="C185" s="25" t="s">
        <v>145</v>
      </c>
      <c r="D185" s="25" t="s">
        <v>772</v>
      </c>
      <c r="E185" s="25" t="s">
        <v>88</v>
      </c>
      <c r="F185" s="25" t="s">
        <v>88</v>
      </c>
      <c r="G185" s="26" t="s">
        <v>838</v>
      </c>
      <c r="H185" s="27">
        <v>0</v>
      </c>
      <c r="I185" t="s">
        <v>839</v>
      </c>
      <c r="J185" t="s">
        <v>840</v>
      </c>
    </row>
    <row r="186" spans="1:10">
      <c r="A186" s="25" t="s">
        <v>618</v>
      </c>
      <c r="B186" s="25" t="s">
        <v>91</v>
      </c>
      <c r="C186" s="25" t="s">
        <v>85</v>
      </c>
      <c r="D186" s="25" t="s">
        <v>772</v>
      </c>
      <c r="E186" s="25" t="s">
        <v>87</v>
      </c>
      <c r="F186" s="25" t="s">
        <v>88</v>
      </c>
      <c r="G186" s="26" t="s">
        <v>841</v>
      </c>
      <c r="H186" s="27">
        <v>0</v>
      </c>
      <c r="I186" t="s">
        <v>842</v>
      </c>
      <c r="J186" t="s">
        <v>843</v>
      </c>
    </row>
    <row r="187" spans="1:10">
      <c r="A187" s="25" t="s">
        <v>214</v>
      </c>
      <c r="B187" s="25" t="s">
        <v>91</v>
      </c>
      <c r="C187" s="25" t="s">
        <v>97</v>
      </c>
      <c r="D187" s="25" t="s">
        <v>772</v>
      </c>
      <c r="E187" s="25" t="s">
        <v>88</v>
      </c>
      <c r="F187" s="25" t="s">
        <v>88</v>
      </c>
      <c r="G187" s="26" t="s">
        <v>844</v>
      </c>
      <c r="H187" s="27">
        <v>0</v>
      </c>
      <c r="I187" t="s">
        <v>845</v>
      </c>
      <c r="J187" t="s">
        <v>846</v>
      </c>
    </row>
    <row r="188" spans="1:10">
      <c r="A188" s="25" t="s">
        <v>847</v>
      </c>
      <c r="B188" s="25" t="s">
        <v>86</v>
      </c>
      <c r="C188" s="25" t="s">
        <v>85</v>
      </c>
      <c r="D188" s="25" t="s">
        <v>772</v>
      </c>
      <c r="E188" s="25" t="s">
        <v>87</v>
      </c>
      <c r="F188" s="25" t="s">
        <v>88</v>
      </c>
      <c r="G188" s="26" t="s">
        <v>848</v>
      </c>
      <c r="H188" s="27">
        <v>0</v>
      </c>
      <c r="I188" t="s">
        <v>849</v>
      </c>
      <c r="J188" t="s">
        <v>850</v>
      </c>
    </row>
    <row r="189" spans="1:10">
      <c r="A189" s="25" t="s">
        <v>851</v>
      </c>
      <c r="B189" s="25" t="s">
        <v>86</v>
      </c>
      <c r="C189" s="25" t="s">
        <v>85</v>
      </c>
      <c r="D189" s="25" t="s">
        <v>772</v>
      </c>
      <c r="E189" s="25" t="s">
        <v>88</v>
      </c>
      <c r="F189" s="25" t="s">
        <v>88</v>
      </c>
      <c r="G189" s="26" t="s">
        <v>852</v>
      </c>
      <c r="H189" s="27">
        <v>0</v>
      </c>
      <c r="I189" t="s">
        <v>853</v>
      </c>
      <c r="J189" t="s">
        <v>854</v>
      </c>
    </row>
    <row r="190" spans="1:10">
      <c r="A190" s="25" t="s">
        <v>855</v>
      </c>
      <c r="B190" s="25" t="s">
        <v>91</v>
      </c>
      <c r="C190" s="25" t="s">
        <v>97</v>
      </c>
      <c r="D190" s="25" t="s">
        <v>772</v>
      </c>
      <c r="E190" s="25" t="s">
        <v>88</v>
      </c>
      <c r="F190" s="25" t="s">
        <v>88</v>
      </c>
      <c r="G190" s="26" t="s">
        <v>856</v>
      </c>
      <c r="H190" s="27">
        <v>0</v>
      </c>
      <c r="I190" t="s">
        <v>857</v>
      </c>
      <c r="J190" t="s">
        <v>858</v>
      </c>
    </row>
    <row r="191" spans="1:10">
      <c r="A191" s="25" t="s">
        <v>859</v>
      </c>
      <c r="B191" s="25" t="s">
        <v>91</v>
      </c>
      <c r="C191" s="25" t="s">
        <v>85</v>
      </c>
      <c r="D191" s="25" t="s">
        <v>772</v>
      </c>
      <c r="E191" s="25" t="s">
        <v>88</v>
      </c>
      <c r="F191" s="25" t="s">
        <v>88</v>
      </c>
      <c r="G191" s="26" t="s">
        <v>860</v>
      </c>
      <c r="H191" s="27">
        <v>0</v>
      </c>
      <c r="I191" t="s">
        <v>861</v>
      </c>
      <c r="J191" t="s">
        <v>862</v>
      </c>
    </row>
    <row r="192" spans="1:10">
      <c r="A192" s="25" t="s">
        <v>863</v>
      </c>
      <c r="B192" s="25" t="s">
        <v>91</v>
      </c>
      <c r="C192" s="25" t="s">
        <v>85</v>
      </c>
      <c r="D192" s="25" t="s">
        <v>772</v>
      </c>
      <c r="E192" s="25" t="s">
        <v>88</v>
      </c>
      <c r="F192" s="25" t="s">
        <v>88</v>
      </c>
      <c r="G192" s="26" t="s">
        <v>864</v>
      </c>
      <c r="H192" s="27">
        <v>0</v>
      </c>
      <c r="I192" t="s">
        <v>865</v>
      </c>
      <c r="J192" t="s">
        <v>866</v>
      </c>
    </row>
    <row r="193" spans="1:10">
      <c r="A193" s="25" t="s">
        <v>867</v>
      </c>
      <c r="B193" s="25" t="s">
        <v>91</v>
      </c>
      <c r="C193" s="25" t="s">
        <v>85</v>
      </c>
      <c r="D193" s="25" t="s">
        <v>772</v>
      </c>
      <c r="E193" s="25" t="s">
        <v>87</v>
      </c>
      <c r="F193" s="25" t="s">
        <v>88</v>
      </c>
      <c r="G193" s="26" t="s">
        <v>868</v>
      </c>
      <c r="H193" s="27">
        <v>0</v>
      </c>
      <c r="I193" t="s">
        <v>869</v>
      </c>
      <c r="J193" t="s">
        <v>870</v>
      </c>
    </row>
    <row r="194" spans="1:10">
      <c r="A194" s="25" t="s">
        <v>871</v>
      </c>
      <c r="B194" s="25" t="s">
        <v>86</v>
      </c>
      <c r="C194" s="25" t="s">
        <v>85</v>
      </c>
      <c r="D194" s="25" t="s">
        <v>772</v>
      </c>
      <c r="E194" s="25" t="s">
        <v>88</v>
      </c>
      <c r="F194" s="25" t="s">
        <v>88</v>
      </c>
      <c r="G194" s="26" t="s">
        <v>872</v>
      </c>
      <c r="H194" s="27">
        <v>0</v>
      </c>
      <c r="I194" t="s">
        <v>873</v>
      </c>
      <c r="J194" t="s">
        <v>874</v>
      </c>
    </row>
    <row r="195" spans="1:10">
      <c r="A195" s="25" t="s">
        <v>492</v>
      </c>
      <c r="B195" s="25" t="s">
        <v>91</v>
      </c>
      <c r="C195" s="25" t="s">
        <v>85</v>
      </c>
      <c r="D195" s="25" t="s">
        <v>772</v>
      </c>
      <c r="E195" s="25" t="s">
        <v>88</v>
      </c>
      <c r="F195" s="25" t="s">
        <v>88</v>
      </c>
      <c r="G195" s="26" t="s">
        <v>875</v>
      </c>
      <c r="H195" s="27">
        <v>0</v>
      </c>
      <c r="I195" t="s">
        <v>876</v>
      </c>
      <c r="J195" t="s">
        <v>877</v>
      </c>
    </row>
    <row r="196" spans="1:10">
      <c r="A196" s="25" t="s">
        <v>878</v>
      </c>
      <c r="B196" s="25" t="s">
        <v>86</v>
      </c>
      <c r="C196" s="25" t="s">
        <v>85</v>
      </c>
      <c r="D196" s="25" t="s">
        <v>772</v>
      </c>
      <c r="E196" s="25" t="s">
        <v>88</v>
      </c>
      <c r="F196" s="25" t="s">
        <v>88</v>
      </c>
      <c r="G196" s="26" t="s">
        <v>879</v>
      </c>
      <c r="H196" s="27">
        <v>0</v>
      </c>
      <c r="I196" t="s">
        <v>880</v>
      </c>
      <c r="J196" t="s">
        <v>881</v>
      </c>
    </row>
    <row r="197" spans="1:10">
      <c r="A197" s="25" t="s">
        <v>882</v>
      </c>
      <c r="B197" s="25" t="s">
        <v>86</v>
      </c>
      <c r="C197" s="25" t="s">
        <v>85</v>
      </c>
      <c r="D197" s="25" t="s">
        <v>772</v>
      </c>
      <c r="E197" s="25" t="s">
        <v>88</v>
      </c>
      <c r="F197" s="25" t="s">
        <v>88</v>
      </c>
      <c r="G197" s="26" t="s">
        <v>883</v>
      </c>
      <c r="H197" s="27">
        <v>0</v>
      </c>
      <c r="I197" t="s">
        <v>884</v>
      </c>
      <c r="J197" t="s">
        <v>885</v>
      </c>
    </row>
    <row r="198" spans="1:10">
      <c r="A198" s="25" t="s">
        <v>886</v>
      </c>
      <c r="B198" s="25" t="s">
        <v>86</v>
      </c>
      <c r="C198" s="25" t="s">
        <v>85</v>
      </c>
      <c r="D198" s="25" t="s">
        <v>772</v>
      </c>
      <c r="E198" s="25" t="s">
        <v>88</v>
      </c>
      <c r="F198" s="25" t="s">
        <v>88</v>
      </c>
      <c r="G198" s="26" t="s">
        <v>887</v>
      </c>
      <c r="H198" s="27">
        <v>0</v>
      </c>
      <c r="I198" t="s">
        <v>888</v>
      </c>
      <c r="J198" t="s">
        <v>889</v>
      </c>
    </row>
    <row r="199" spans="1:10">
      <c r="A199" s="25" t="s">
        <v>890</v>
      </c>
      <c r="B199" s="25" t="s">
        <v>86</v>
      </c>
      <c r="C199" s="25" t="s">
        <v>85</v>
      </c>
      <c r="D199" s="25" t="s">
        <v>772</v>
      </c>
      <c r="E199" s="25" t="s">
        <v>88</v>
      </c>
      <c r="F199" s="25" t="s">
        <v>88</v>
      </c>
      <c r="G199" s="26" t="s">
        <v>891</v>
      </c>
      <c r="H199" s="27">
        <v>0</v>
      </c>
      <c r="I199" t="s">
        <v>892</v>
      </c>
      <c r="J199" t="s">
        <v>893</v>
      </c>
    </row>
    <row r="200" spans="1:10">
      <c r="A200" s="25" t="s">
        <v>894</v>
      </c>
      <c r="B200" s="25" t="s">
        <v>86</v>
      </c>
      <c r="C200" s="25" t="s">
        <v>145</v>
      </c>
      <c r="D200" s="25" t="s">
        <v>772</v>
      </c>
      <c r="E200" s="25" t="s">
        <v>88</v>
      </c>
      <c r="F200" s="25" t="s">
        <v>88</v>
      </c>
      <c r="G200" s="26" t="s">
        <v>895</v>
      </c>
      <c r="H200" s="27">
        <v>0</v>
      </c>
      <c r="I200" t="s">
        <v>896</v>
      </c>
      <c r="J200" t="s">
        <v>897</v>
      </c>
    </row>
    <row r="201" spans="1:10">
      <c r="A201" s="25" t="s">
        <v>898</v>
      </c>
      <c r="B201" s="25" t="s">
        <v>86</v>
      </c>
      <c r="C201" s="25" t="s">
        <v>85</v>
      </c>
      <c r="D201" s="25" t="s">
        <v>772</v>
      </c>
      <c r="E201" s="25" t="s">
        <v>88</v>
      </c>
      <c r="F201" s="25" t="s">
        <v>88</v>
      </c>
      <c r="G201" s="26" t="s">
        <v>899</v>
      </c>
      <c r="H201" s="27">
        <v>0</v>
      </c>
      <c r="I201" t="s">
        <v>900</v>
      </c>
      <c r="J201" t="s">
        <v>901</v>
      </c>
    </row>
    <row r="202" spans="1:10">
      <c r="A202" s="25" t="s">
        <v>902</v>
      </c>
      <c r="B202" s="25" t="s">
        <v>91</v>
      </c>
      <c r="C202" s="25" t="s">
        <v>97</v>
      </c>
      <c r="D202" s="25" t="s">
        <v>772</v>
      </c>
      <c r="E202" s="25" t="s">
        <v>88</v>
      </c>
      <c r="F202" s="25" t="s">
        <v>88</v>
      </c>
      <c r="G202" s="26" t="s">
        <v>903</v>
      </c>
      <c r="H202" s="27">
        <v>0</v>
      </c>
      <c r="I202" t="s">
        <v>904</v>
      </c>
      <c r="J202" t="s">
        <v>905</v>
      </c>
    </row>
    <row r="203" spans="1:10">
      <c r="A203" s="25" t="s">
        <v>906</v>
      </c>
      <c r="B203" s="25" t="s">
        <v>91</v>
      </c>
      <c r="C203" s="25" t="s">
        <v>97</v>
      </c>
      <c r="D203" s="25" t="s">
        <v>772</v>
      </c>
      <c r="E203" s="25" t="s">
        <v>88</v>
      </c>
      <c r="F203" s="25" t="s">
        <v>88</v>
      </c>
      <c r="G203" s="26" t="s">
        <v>907</v>
      </c>
      <c r="H203" s="27">
        <v>0</v>
      </c>
      <c r="I203" t="s">
        <v>908</v>
      </c>
      <c r="J203" t="s">
        <v>909</v>
      </c>
    </row>
    <row r="204" spans="1:10">
      <c r="A204" s="25" t="s">
        <v>910</v>
      </c>
      <c r="B204" s="25" t="s">
        <v>86</v>
      </c>
      <c r="C204" s="25" t="s">
        <v>123</v>
      </c>
      <c r="D204" s="25" t="s">
        <v>772</v>
      </c>
      <c r="E204" s="25" t="s">
        <v>88</v>
      </c>
      <c r="F204" s="25" t="s">
        <v>88</v>
      </c>
      <c r="G204" s="26" t="s">
        <v>911</v>
      </c>
      <c r="H204" s="27">
        <v>0</v>
      </c>
      <c r="I204" t="s">
        <v>912</v>
      </c>
      <c r="J204" t="s">
        <v>913</v>
      </c>
    </row>
    <row r="205" spans="1:10">
      <c r="A205" s="25" t="s">
        <v>914</v>
      </c>
      <c r="B205" s="25" t="s">
        <v>91</v>
      </c>
      <c r="C205" s="25" t="s">
        <v>123</v>
      </c>
      <c r="D205" s="25" t="s">
        <v>772</v>
      </c>
      <c r="E205" s="25" t="s">
        <v>88</v>
      </c>
      <c r="F205" s="25" t="s">
        <v>88</v>
      </c>
      <c r="G205" s="26" t="s">
        <v>915</v>
      </c>
      <c r="H205" s="27">
        <v>0</v>
      </c>
      <c r="I205" t="s">
        <v>916</v>
      </c>
      <c r="J205" t="s">
        <v>917</v>
      </c>
    </row>
    <row r="206" spans="1:10">
      <c r="A206" s="25" t="s">
        <v>918</v>
      </c>
      <c r="B206" s="25" t="s">
        <v>86</v>
      </c>
      <c r="C206" s="25" t="s">
        <v>85</v>
      </c>
      <c r="D206" s="25" t="s">
        <v>772</v>
      </c>
      <c r="E206" s="25" t="s">
        <v>88</v>
      </c>
      <c r="F206" s="25" t="s">
        <v>88</v>
      </c>
      <c r="G206" s="26" t="s">
        <v>919</v>
      </c>
      <c r="H206" s="27">
        <v>0</v>
      </c>
      <c r="I206" t="s">
        <v>920</v>
      </c>
      <c r="J206" t="s">
        <v>921</v>
      </c>
    </row>
    <row r="207" spans="1:10">
      <c r="A207" s="25" t="s">
        <v>922</v>
      </c>
      <c r="B207" s="25" t="s">
        <v>91</v>
      </c>
      <c r="C207" s="25" t="s">
        <v>85</v>
      </c>
      <c r="D207" s="25" t="s">
        <v>772</v>
      </c>
      <c r="E207" s="25" t="s">
        <v>88</v>
      </c>
      <c r="F207" s="25" t="s">
        <v>88</v>
      </c>
      <c r="G207" s="26" t="s">
        <v>923</v>
      </c>
      <c r="H207" s="27">
        <v>0</v>
      </c>
      <c r="I207" t="s">
        <v>924</v>
      </c>
      <c r="J207" t="s">
        <v>925</v>
      </c>
    </row>
    <row r="208" spans="1:10">
      <c r="A208" s="25" t="s">
        <v>926</v>
      </c>
      <c r="B208" s="25" t="s">
        <v>86</v>
      </c>
      <c r="C208" s="25" t="s">
        <v>85</v>
      </c>
      <c r="D208" s="25" t="s">
        <v>772</v>
      </c>
      <c r="E208" s="25" t="s">
        <v>88</v>
      </c>
      <c r="F208" s="25" t="s">
        <v>88</v>
      </c>
      <c r="G208" s="26" t="s">
        <v>927</v>
      </c>
      <c r="H208" s="27">
        <v>0</v>
      </c>
      <c r="I208" t="s">
        <v>928</v>
      </c>
      <c r="J208" t="s">
        <v>929</v>
      </c>
    </row>
    <row r="209" spans="1:10">
      <c r="A209" s="25" t="s">
        <v>930</v>
      </c>
      <c r="B209" s="25" t="s">
        <v>86</v>
      </c>
      <c r="C209" s="25" t="s">
        <v>97</v>
      </c>
      <c r="D209" s="25" t="s">
        <v>772</v>
      </c>
      <c r="E209" s="25" t="s">
        <v>88</v>
      </c>
      <c r="F209" s="25" t="s">
        <v>88</v>
      </c>
      <c r="G209" s="26" t="s">
        <v>931</v>
      </c>
      <c r="H209" s="27">
        <v>0</v>
      </c>
      <c r="I209" t="s">
        <v>932</v>
      </c>
      <c r="J209" t="s">
        <v>933</v>
      </c>
    </row>
    <row r="210" spans="1:10">
      <c r="A210" s="25" t="s">
        <v>645</v>
      </c>
      <c r="B210" s="25" t="s">
        <v>91</v>
      </c>
      <c r="C210" s="25" t="s">
        <v>85</v>
      </c>
      <c r="D210" s="25" t="s">
        <v>772</v>
      </c>
      <c r="E210" s="25" t="s">
        <v>88</v>
      </c>
      <c r="F210" s="25" t="s">
        <v>88</v>
      </c>
      <c r="G210" s="26" t="s">
        <v>934</v>
      </c>
      <c r="H210" s="27">
        <v>0</v>
      </c>
      <c r="I210" t="s">
        <v>935</v>
      </c>
      <c r="J210" t="s">
        <v>936</v>
      </c>
    </row>
    <row r="211" spans="1:10">
      <c r="A211" s="25" t="s">
        <v>937</v>
      </c>
      <c r="B211" s="25" t="s">
        <v>86</v>
      </c>
      <c r="C211" s="25" t="s">
        <v>123</v>
      </c>
      <c r="D211" s="25" t="s">
        <v>772</v>
      </c>
      <c r="E211" s="25" t="s">
        <v>88</v>
      </c>
      <c r="F211" s="25" t="s">
        <v>88</v>
      </c>
      <c r="G211" s="26" t="s">
        <v>938</v>
      </c>
      <c r="H211" s="27">
        <v>0</v>
      </c>
      <c r="I211" t="s">
        <v>939</v>
      </c>
      <c r="J211" t="s">
        <v>940</v>
      </c>
    </row>
    <row r="212" spans="1:10">
      <c r="A212" s="25" t="s">
        <v>941</v>
      </c>
      <c r="B212" s="25" t="s">
        <v>86</v>
      </c>
      <c r="C212" s="25" t="s">
        <v>85</v>
      </c>
      <c r="D212" s="25" t="s">
        <v>772</v>
      </c>
      <c r="E212" s="25" t="s">
        <v>88</v>
      </c>
      <c r="F212" s="25" t="s">
        <v>88</v>
      </c>
      <c r="G212" s="26" t="s">
        <v>942</v>
      </c>
      <c r="H212" s="27">
        <v>0</v>
      </c>
      <c r="I212" t="s">
        <v>943</v>
      </c>
      <c r="J212" t="s">
        <v>944</v>
      </c>
    </row>
    <row r="213" spans="1:10">
      <c r="A213" s="25" t="s">
        <v>945</v>
      </c>
      <c r="B213" s="25" t="s">
        <v>91</v>
      </c>
      <c r="C213" s="25" t="s">
        <v>123</v>
      </c>
      <c r="D213" s="25" t="s">
        <v>772</v>
      </c>
      <c r="E213" s="25" t="s">
        <v>88</v>
      </c>
      <c r="F213" s="25" t="s">
        <v>88</v>
      </c>
      <c r="G213" s="26" t="s">
        <v>946</v>
      </c>
      <c r="H213" s="27">
        <v>0</v>
      </c>
      <c r="I213" t="s">
        <v>947</v>
      </c>
      <c r="J213" t="s">
        <v>948</v>
      </c>
    </row>
    <row r="214" spans="1:10">
      <c r="A214" s="25" t="s">
        <v>949</v>
      </c>
      <c r="B214" s="25" t="s">
        <v>86</v>
      </c>
      <c r="C214" s="25" t="s">
        <v>123</v>
      </c>
      <c r="D214" s="25" t="s">
        <v>772</v>
      </c>
      <c r="E214" s="25" t="s">
        <v>88</v>
      </c>
      <c r="F214" s="25" t="s">
        <v>88</v>
      </c>
      <c r="G214" s="26" t="s">
        <v>950</v>
      </c>
      <c r="H214" s="27">
        <v>0</v>
      </c>
      <c r="I214" t="s">
        <v>951</v>
      </c>
      <c r="J214" t="s">
        <v>952</v>
      </c>
    </row>
    <row r="215" spans="1:10">
      <c r="A215" s="25" t="s">
        <v>894</v>
      </c>
      <c r="B215" s="25" t="s">
        <v>86</v>
      </c>
      <c r="C215" s="25" t="s">
        <v>145</v>
      </c>
      <c r="D215" s="25" t="s">
        <v>772</v>
      </c>
      <c r="E215" s="25" t="s">
        <v>88</v>
      </c>
      <c r="F215" s="25" t="s">
        <v>88</v>
      </c>
      <c r="G215" s="26" t="s">
        <v>953</v>
      </c>
      <c r="H215" s="27">
        <v>0</v>
      </c>
      <c r="I215" t="s">
        <v>954</v>
      </c>
      <c r="J215" t="s">
        <v>955</v>
      </c>
    </row>
    <row r="216" spans="1:10">
      <c r="A216" s="25" t="s">
        <v>956</v>
      </c>
      <c r="B216" s="25" t="s">
        <v>91</v>
      </c>
      <c r="C216" s="25" t="s">
        <v>85</v>
      </c>
      <c r="D216" s="25" t="s">
        <v>772</v>
      </c>
      <c r="E216" s="25" t="s">
        <v>88</v>
      </c>
      <c r="F216" s="25" t="s">
        <v>88</v>
      </c>
      <c r="G216" s="26" t="s">
        <v>957</v>
      </c>
      <c r="H216" s="27">
        <v>0</v>
      </c>
      <c r="I216" t="s">
        <v>958</v>
      </c>
      <c r="J216" t="s">
        <v>959</v>
      </c>
    </row>
    <row r="217" spans="1:10">
      <c r="A217" s="25" t="s">
        <v>960</v>
      </c>
      <c r="B217" s="25" t="s">
        <v>86</v>
      </c>
      <c r="C217" s="25" t="s">
        <v>145</v>
      </c>
      <c r="D217" s="25" t="s">
        <v>772</v>
      </c>
      <c r="E217" s="25" t="s">
        <v>88</v>
      </c>
      <c r="F217" s="25" t="s">
        <v>88</v>
      </c>
      <c r="G217" s="26" t="s">
        <v>961</v>
      </c>
      <c r="H217" s="27">
        <v>0</v>
      </c>
      <c r="I217" t="s">
        <v>962</v>
      </c>
      <c r="J217" t="s">
        <v>963</v>
      </c>
    </row>
    <row r="218" spans="1:10">
      <c r="A218" s="25" t="s">
        <v>964</v>
      </c>
      <c r="B218" s="25" t="s">
        <v>86</v>
      </c>
      <c r="C218" s="25" t="s">
        <v>123</v>
      </c>
      <c r="D218" s="25" t="s">
        <v>772</v>
      </c>
      <c r="E218" s="25" t="s">
        <v>88</v>
      </c>
      <c r="F218" s="25" t="s">
        <v>88</v>
      </c>
      <c r="G218" s="26" t="s">
        <v>965</v>
      </c>
      <c r="H218" s="27">
        <v>0</v>
      </c>
      <c r="I218" t="s">
        <v>966</v>
      </c>
      <c r="J218" t="s">
        <v>967</v>
      </c>
    </row>
    <row r="219" spans="1:10">
      <c r="A219" s="25" t="s">
        <v>968</v>
      </c>
      <c r="B219" s="25" t="s">
        <v>86</v>
      </c>
      <c r="C219" s="25" t="s">
        <v>85</v>
      </c>
      <c r="D219" s="25" t="s">
        <v>772</v>
      </c>
      <c r="E219" s="25" t="s">
        <v>88</v>
      </c>
      <c r="F219" s="25" t="s">
        <v>88</v>
      </c>
      <c r="G219" s="26" t="s">
        <v>969</v>
      </c>
      <c r="H219" s="27">
        <v>0</v>
      </c>
      <c r="I219" t="s">
        <v>970</v>
      </c>
      <c r="J219" t="s">
        <v>971</v>
      </c>
    </row>
    <row r="220" spans="1:10">
      <c r="A220" s="25" t="s">
        <v>972</v>
      </c>
      <c r="B220" s="25" t="s">
        <v>91</v>
      </c>
      <c r="C220" s="25" t="s">
        <v>85</v>
      </c>
      <c r="D220" s="25" t="s">
        <v>772</v>
      </c>
      <c r="E220" s="25" t="s">
        <v>88</v>
      </c>
      <c r="F220" s="25" t="s">
        <v>88</v>
      </c>
      <c r="G220" s="26" t="s">
        <v>973</v>
      </c>
      <c r="H220" s="27">
        <v>0</v>
      </c>
      <c r="I220" t="s">
        <v>974</v>
      </c>
      <c r="J220" t="s">
        <v>975</v>
      </c>
    </row>
    <row r="221" spans="1:10">
      <c r="A221" s="25" t="s">
        <v>976</v>
      </c>
      <c r="B221" s="25" t="s">
        <v>91</v>
      </c>
      <c r="C221" s="25" t="s">
        <v>85</v>
      </c>
      <c r="D221" s="25" t="s">
        <v>772</v>
      </c>
      <c r="E221" s="25" t="s">
        <v>88</v>
      </c>
      <c r="F221" s="25" t="s">
        <v>88</v>
      </c>
      <c r="G221" s="26" t="s">
        <v>977</v>
      </c>
      <c r="H221" s="27">
        <v>0</v>
      </c>
      <c r="I221" t="s">
        <v>978</v>
      </c>
      <c r="J221" t="s">
        <v>979</v>
      </c>
    </row>
    <row r="222" spans="1:10">
      <c r="A222" s="25" t="s">
        <v>980</v>
      </c>
      <c r="B222" s="25" t="s">
        <v>91</v>
      </c>
      <c r="C222" s="25" t="s">
        <v>85</v>
      </c>
      <c r="D222" s="25" t="s">
        <v>772</v>
      </c>
      <c r="E222" s="25" t="s">
        <v>88</v>
      </c>
      <c r="F222" s="25" t="s">
        <v>88</v>
      </c>
      <c r="G222" s="26" t="s">
        <v>981</v>
      </c>
      <c r="H222" s="27">
        <v>0</v>
      </c>
      <c r="I222" t="s">
        <v>982</v>
      </c>
      <c r="J222" t="s">
        <v>983</v>
      </c>
    </row>
    <row r="223" spans="1:10">
      <c r="A223" s="25" t="s">
        <v>984</v>
      </c>
      <c r="B223" s="25" t="s">
        <v>91</v>
      </c>
      <c r="C223" s="25" t="s">
        <v>85</v>
      </c>
      <c r="D223" s="25" t="s">
        <v>772</v>
      </c>
      <c r="E223" s="25" t="s">
        <v>88</v>
      </c>
      <c r="F223" s="25" t="s">
        <v>88</v>
      </c>
      <c r="G223" s="26" t="s">
        <v>985</v>
      </c>
      <c r="H223" s="27">
        <v>0</v>
      </c>
      <c r="I223" t="s">
        <v>986</v>
      </c>
      <c r="J223" t="s">
        <v>987</v>
      </c>
    </row>
    <row r="224" spans="1:10">
      <c r="A224" s="25" t="s">
        <v>492</v>
      </c>
      <c r="B224" s="25" t="s">
        <v>91</v>
      </c>
      <c r="C224" s="25" t="s">
        <v>85</v>
      </c>
      <c r="D224" s="25" t="s">
        <v>772</v>
      </c>
      <c r="E224" s="25" t="s">
        <v>88</v>
      </c>
      <c r="F224" s="25" t="s">
        <v>88</v>
      </c>
      <c r="G224" s="26" t="s">
        <v>988</v>
      </c>
      <c r="H224" s="27">
        <v>0</v>
      </c>
      <c r="I224" t="s">
        <v>989</v>
      </c>
      <c r="J224" t="s">
        <v>990</v>
      </c>
    </row>
    <row r="225" spans="1:10">
      <c r="A225" s="25" t="s">
        <v>991</v>
      </c>
      <c r="B225" s="25" t="s">
        <v>91</v>
      </c>
      <c r="C225" s="25" t="s">
        <v>85</v>
      </c>
      <c r="D225" s="25" t="s">
        <v>772</v>
      </c>
      <c r="E225" s="25" t="s">
        <v>88</v>
      </c>
      <c r="F225" s="25" t="s">
        <v>88</v>
      </c>
      <c r="G225" s="26" t="s">
        <v>992</v>
      </c>
      <c r="H225" s="27">
        <v>0</v>
      </c>
      <c r="I225" t="s">
        <v>993</v>
      </c>
      <c r="J225" t="s">
        <v>994</v>
      </c>
    </row>
    <row r="226" spans="1:10">
      <c r="A226" s="25" t="s">
        <v>995</v>
      </c>
      <c r="B226" s="25" t="s">
        <v>86</v>
      </c>
      <c r="C226" s="25" t="s">
        <v>85</v>
      </c>
      <c r="D226" s="25" t="s">
        <v>772</v>
      </c>
      <c r="E226" s="25" t="s">
        <v>88</v>
      </c>
      <c r="F226" s="25" t="s">
        <v>88</v>
      </c>
      <c r="G226" s="26" t="s">
        <v>996</v>
      </c>
      <c r="H226" s="27">
        <v>0</v>
      </c>
      <c r="I226" t="s">
        <v>997</v>
      </c>
      <c r="J226" t="s">
        <v>998</v>
      </c>
    </row>
    <row r="227" spans="1:10">
      <c r="A227" s="25" t="s">
        <v>999</v>
      </c>
      <c r="B227" s="25" t="s">
        <v>86</v>
      </c>
      <c r="C227" s="25" t="s">
        <v>85</v>
      </c>
      <c r="D227" s="25" t="s">
        <v>772</v>
      </c>
      <c r="E227" s="25" t="s">
        <v>88</v>
      </c>
      <c r="F227" s="25" t="s">
        <v>88</v>
      </c>
      <c r="G227" s="26" t="s">
        <v>1000</v>
      </c>
      <c r="H227" s="27">
        <v>0</v>
      </c>
      <c r="I227" t="s">
        <v>1001</v>
      </c>
      <c r="J227" t="s">
        <v>1002</v>
      </c>
    </row>
    <row r="228" spans="1:10">
      <c r="A228" s="25" t="s">
        <v>1003</v>
      </c>
      <c r="B228" s="25" t="s">
        <v>91</v>
      </c>
      <c r="C228" s="25" t="s">
        <v>85</v>
      </c>
      <c r="D228" s="25" t="s">
        <v>772</v>
      </c>
      <c r="E228" s="25" t="s">
        <v>88</v>
      </c>
      <c r="F228" s="25" t="s">
        <v>88</v>
      </c>
      <c r="G228" s="26" t="s">
        <v>1004</v>
      </c>
      <c r="H228" s="27">
        <v>0</v>
      </c>
      <c r="I228" t="s">
        <v>1005</v>
      </c>
      <c r="J228" t="s">
        <v>1006</v>
      </c>
    </row>
    <row r="229" spans="1:10">
      <c r="A229" s="25" t="s">
        <v>1007</v>
      </c>
      <c r="B229" s="25" t="s">
        <v>86</v>
      </c>
      <c r="C229" s="25" t="s">
        <v>85</v>
      </c>
      <c r="D229" s="25" t="s">
        <v>772</v>
      </c>
      <c r="E229" s="25" t="s">
        <v>88</v>
      </c>
      <c r="F229" s="25" t="s">
        <v>88</v>
      </c>
      <c r="G229" s="26" t="s">
        <v>1008</v>
      </c>
      <c r="H229" s="27">
        <v>0</v>
      </c>
      <c r="I229" t="s">
        <v>1009</v>
      </c>
      <c r="J229" t="s">
        <v>1010</v>
      </c>
    </row>
    <row r="230" spans="1:10">
      <c r="A230" s="25" t="s">
        <v>1011</v>
      </c>
      <c r="B230" s="25" t="s">
        <v>91</v>
      </c>
      <c r="C230" s="25" t="s">
        <v>123</v>
      </c>
      <c r="D230" s="25" t="s">
        <v>772</v>
      </c>
      <c r="E230" s="25" t="s">
        <v>88</v>
      </c>
      <c r="F230" s="25" t="s">
        <v>88</v>
      </c>
      <c r="G230" s="26" t="s">
        <v>1012</v>
      </c>
      <c r="H230" s="27">
        <v>0</v>
      </c>
      <c r="I230" t="s">
        <v>1013</v>
      </c>
      <c r="J230" t="s">
        <v>1014</v>
      </c>
    </row>
    <row r="231" spans="1:10">
      <c r="A231" s="25" t="s">
        <v>1015</v>
      </c>
      <c r="B231" s="25" t="s">
        <v>91</v>
      </c>
      <c r="C231" s="25" t="s">
        <v>85</v>
      </c>
      <c r="D231" s="25" t="s">
        <v>772</v>
      </c>
      <c r="E231" s="25" t="s">
        <v>88</v>
      </c>
      <c r="F231" s="25" t="s">
        <v>88</v>
      </c>
      <c r="G231" s="26" t="s">
        <v>1016</v>
      </c>
      <c r="H231" s="27">
        <v>0</v>
      </c>
      <c r="I231" t="s">
        <v>1017</v>
      </c>
      <c r="J231" t="s">
        <v>1018</v>
      </c>
    </row>
    <row r="232" spans="1:10">
      <c r="A232" s="25" t="s">
        <v>1019</v>
      </c>
      <c r="B232" s="25" t="s">
        <v>86</v>
      </c>
      <c r="C232" s="25" t="s">
        <v>85</v>
      </c>
      <c r="D232" s="25" t="s">
        <v>772</v>
      </c>
      <c r="E232" s="25" t="s">
        <v>88</v>
      </c>
      <c r="F232" s="25" t="s">
        <v>88</v>
      </c>
      <c r="G232" s="26" t="s">
        <v>1020</v>
      </c>
      <c r="H232" s="27">
        <v>0</v>
      </c>
      <c r="I232" t="s">
        <v>1021</v>
      </c>
      <c r="J232" t="s">
        <v>1022</v>
      </c>
    </row>
    <row r="233" spans="1:10">
      <c r="A233" s="25" t="s">
        <v>1023</v>
      </c>
      <c r="B233" s="25" t="s">
        <v>91</v>
      </c>
      <c r="C233" s="25" t="s">
        <v>145</v>
      </c>
      <c r="D233" s="25" t="s">
        <v>772</v>
      </c>
      <c r="E233" s="25" t="s">
        <v>88</v>
      </c>
      <c r="F233" s="25" t="s">
        <v>88</v>
      </c>
      <c r="G233" s="26" t="s">
        <v>1024</v>
      </c>
      <c r="H233" s="27">
        <v>0</v>
      </c>
      <c r="I233" t="s">
        <v>1025</v>
      </c>
      <c r="J233" t="s">
        <v>1026</v>
      </c>
    </row>
    <row r="234" spans="1:10">
      <c r="A234" s="25" t="s">
        <v>1027</v>
      </c>
      <c r="B234" s="25" t="s">
        <v>86</v>
      </c>
      <c r="C234" s="25" t="s">
        <v>145</v>
      </c>
      <c r="D234" s="25" t="s">
        <v>772</v>
      </c>
      <c r="E234" s="25" t="s">
        <v>88</v>
      </c>
      <c r="F234" s="25" t="s">
        <v>88</v>
      </c>
      <c r="G234" s="26" t="s">
        <v>1028</v>
      </c>
      <c r="H234" s="27">
        <v>0</v>
      </c>
      <c r="I234" t="s">
        <v>1029</v>
      </c>
      <c r="J234" t="s">
        <v>1030</v>
      </c>
    </row>
    <row r="235" spans="1:10">
      <c r="A235" s="25" t="s">
        <v>1031</v>
      </c>
      <c r="B235" s="25" t="s">
        <v>91</v>
      </c>
      <c r="C235" s="25" t="s">
        <v>85</v>
      </c>
      <c r="D235" s="25" t="s">
        <v>772</v>
      </c>
      <c r="E235" s="25" t="s">
        <v>88</v>
      </c>
      <c r="F235" s="25" t="s">
        <v>88</v>
      </c>
      <c r="G235" s="26" t="s">
        <v>1032</v>
      </c>
      <c r="H235" s="27">
        <v>0</v>
      </c>
      <c r="I235" t="s">
        <v>1033</v>
      </c>
      <c r="J235" t="s">
        <v>1034</v>
      </c>
    </row>
    <row r="236" spans="1:10">
      <c r="A236" s="25" t="s">
        <v>1035</v>
      </c>
      <c r="B236" s="25" t="s">
        <v>91</v>
      </c>
      <c r="C236" s="25" t="s">
        <v>85</v>
      </c>
      <c r="D236" s="25" t="s">
        <v>772</v>
      </c>
      <c r="E236" s="25" t="s">
        <v>88</v>
      </c>
      <c r="F236" s="25" t="s">
        <v>88</v>
      </c>
      <c r="G236" s="26" t="s">
        <v>1036</v>
      </c>
      <c r="H236" s="27">
        <v>0</v>
      </c>
      <c r="I236" t="s">
        <v>1037</v>
      </c>
      <c r="J236" t="s">
        <v>529</v>
      </c>
    </row>
    <row r="237" spans="1:10">
      <c r="A237" s="25" t="s">
        <v>384</v>
      </c>
      <c r="B237" s="25" t="s">
        <v>91</v>
      </c>
      <c r="C237" s="25" t="s">
        <v>85</v>
      </c>
      <c r="D237" s="25" t="s">
        <v>772</v>
      </c>
      <c r="E237" s="25" t="s">
        <v>88</v>
      </c>
      <c r="F237" s="25" t="s">
        <v>88</v>
      </c>
      <c r="G237" s="26" t="s">
        <v>1038</v>
      </c>
      <c r="H237" s="27">
        <v>0</v>
      </c>
      <c r="I237" t="s">
        <v>1039</v>
      </c>
      <c r="J237" t="s">
        <v>1040</v>
      </c>
    </row>
    <row r="238" spans="1:10">
      <c r="A238" s="25" t="s">
        <v>1041</v>
      </c>
      <c r="B238" s="25" t="s">
        <v>86</v>
      </c>
      <c r="C238" s="25" t="s">
        <v>85</v>
      </c>
      <c r="D238" s="25" t="s">
        <v>772</v>
      </c>
      <c r="E238" s="25" t="s">
        <v>88</v>
      </c>
      <c r="F238" s="25" t="s">
        <v>88</v>
      </c>
      <c r="G238" s="26" t="s">
        <v>1042</v>
      </c>
      <c r="H238" s="27">
        <v>0</v>
      </c>
      <c r="I238" t="s">
        <v>1043</v>
      </c>
      <c r="J238" t="s">
        <v>1044</v>
      </c>
    </row>
    <row r="239" spans="1:10">
      <c r="A239" s="25" t="s">
        <v>1045</v>
      </c>
      <c r="B239" s="25" t="s">
        <v>86</v>
      </c>
      <c r="C239" s="25" t="s">
        <v>85</v>
      </c>
      <c r="D239" s="25" t="s">
        <v>772</v>
      </c>
      <c r="E239" s="25" t="s">
        <v>88</v>
      </c>
      <c r="F239" s="25" t="s">
        <v>88</v>
      </c>
      <c r="G239" s="26" t="s">
        <v>1046</v>
      </c>
      <c r="H239" s="27">
        <v>0</v>
      </c>
      <c r="I239" t="s">
        <v>1047</v>
      </c>
      <c r="J239" t="s">
        <v>1048</v>
      </c>
    </row>
    <row r="240" spans="1:10">
      <c r="A240" s="25" t="s">
        <v>1049</v>
      </c>
      <c r="B240" s="25" t="s">
        <v>86</v>
      </c>
      <c r="C240" s="25" t="s">
        <v>85</v>
      </c>
      <c r="D240" s="25" t="s">
        <v>772</v>
      </c>
      <c r="E240" s="25" t="s">
        <v>88</v>
      </c>
      <c r="F240" s="25" t="s">
        <v>88</v>
      </c>
      <c r="G240" s="26" t="s">
        <v>1050</v>
      </c>
      <c r="H240" s="27">
        <v>0</v>
      </c>
      <c r="I240" t="s">
        <v>1051</v>
      </c>
      <c r="J240" t="s">
        <v>1052</v>
      </c>
    </row>
    <row r="241" spans="1:10">
      <c r="A241" s="25" t="s">
        <v>1053</v>
      </c>
      <c r="B241" s="25" t="s">
        <v>86</v>
      </c>
      <c r="C241" s="25" t="s">
        <v>123</v>
      </c>
      <c r="D241" s="25" t="s">
        <v>772</v>
      </c>
      <c r="E241" s="25" t="s">
        <v>88</v>
      </c>
      <c r="F241" s="25" t="s">
        <v>88</v>
      </c>
      <c r="G241" s="26" t="s">
        <v>1054</v>
      </c>
      <c r="H241" s="27">
        <v>0</v>
      </c>
      <c r="I241" t="s">
        <v>1055</v>
      </c>
      <c r="J241" t="s">
        <v>1056</v>
      </c>
    </row>
    <row r="242" spans="1:10">
      <c r="A242" s="25" t="s">
        <v>1057</v>
      </c>
      <c r="B242" s="25" t="s">
        <v>86</v>
      </c>
      <c r="C242" s="25" t="s">
        <v>85</v>
      </c>
      <c r="D242" s="25" t="s">
        <v>772</v>
      </c>
      <c r="E242" s="25" t="s">
        <v>88</v>
      </c>
      <c r="F242" s="25" t="s">
        <v>88</v>
      </c>
      <c r="G242" s="26" t="s">
        <v>1058</v>
      </c>
      <c r="H242" s="27">
        <v>0</v>
      </c>
      <c r="I242" t="s">
        <v>1059</v>
      </c>
      <c r="J242" t="s">
        <v>751</v>
      </c>
    </row>
    <row r="243" spans="1:10">
      <c r="A243" s="25" t="s">
        <v>810</v>
      </c>
      <c r="B243" s="25" t="s">
        <v>86</v>
      </c>
      <c r="C243" s="25" t="s">
        <v>85</v>
      </c>
      <c r="D243" s="25" t="s">
        <v>772</v>
      </c>
      <c r="E243" s="25" t="s">
        <v>88</v>
      </c>
      <c r="F243" s="25" t="s">
        <v>88</v>
      </c>
      <c r="G243" s="26" t="s">
        <v>1060</v>
      </c>
      <c r="H243" s="27">
        <v>0</v>
      </c>
      <c r="I243" t="s">
        <v>1061</v>
      </c>
      <c r="J243" t="s">
        <v>1062</v>
      </c>
    </row>
    <row r="244" spans="1:10">
      <c r="A244" s="25" t="s">
        <v>1063</v>
      </c>
      <c r="B244" s="25" t="s">
        <v>91</v>
      </c>
      <c r="C244" s="25" t="s">
        <v>123</v>
      </c>
      <c r="D244" s="25" t="s">
        <v>772</v>
      </c>
      <c r="E244" s="25" t="s">
        <v>88</v>
      </c>
      <c r="F244" s="25" t="s">
        <v>88</v>
      </c>
      <c r="G244" s="26" t="s">
        <v>1064</v>
      </c>
      <c r="H244" s="27">
        <v>0</v>
      </c>
      <c r="I244" t="s">
        <v>1065</v>
      </c>
      <c r="J244" t="s">
        <v>1066</v>
      </c>
    </row>
    <row r="245" spans="1:10">
      <c r="A245" s="25" t="s">
        <v>1067</v>
      </c>
      <c r="B245" s="25" t="s">
        <v>91</v>
      </c>
      <c r="C245" s="25" t="s">
        <v>85</v>
      </c>
      <c r="D245" s="25" t="s">
        <v>772</v>
      </c>
      <c r="E245" s="25" t="s">
        <v>88</v>
      </c>
      <c r="F245" s="25" t="s">
        <v>88</v>
      </c>
      <c r="G245" s="26" t="s">
        <v>1068</v>
      </c>
      <c r="H245" s="27">
        <v>0</v>
      </c>
      <c r="I245" t="s">
        <v>1069</v>
      </c>
      <c r="J245" t="s">
        <v>955</v>
      </c>
    </row>
    <row r="246" spans="1:10">
      <c r="A246" s="25" t="s">
        <v>1070</v>
      </c>
      <c r="B246" s="25" t="s">
        <v>91</v>
      </c>
      <c r="C246" s="25" t="s">
        <v>123</v>
      </c>
      <c r="D246" s="25" t="s">
        <v>772</v>
      </c>
      <c r="E246" s="25" t="s">
        <v>88</v>
      </c>
      <c r="F246" s="25" t="s">
        <v>88</v>
      </c>
      <c r="G246" s="26" t="s">
        <v>1071</v>
      </c>
      <c r="H246" s="27">
        <v>0</v>
      </c>
      <c r="I246" t="s">
        <v>1072</v>
      </c>
      <c r="J246" t="s">
        <v>1073</v>
      </c>
    </row>
    <row r="247" spans="1:10">
      <c r="A247" s="25" t="s">
        <v>1074</v>
      </c>
      <c r="B247" s="25" t="s">
        <v>86</v>
      </c>
      <c r="C247" s="25" t="s">
        <v>85</v>
      </c>
      <c r="D247" s="25" t="s">
        <v>772</v>
      </c>
      <c r="E247" s="25" t="s">
        <v>88</v>
      </c>
      <c r="F247" s="25" t="s">
        <v>88</v>
      </c>
      <c r="G247" s="26" t="s">
        <v>1075</v>
      </c>
      <c r="H247" s="27">
        <v>0</v>
      </c>
      <c r="I247" t="s">
        <v>1076</v>
      </c>
      <c r="J247" t="s">
        <v>1077</v>
      </c>
    </row>
    <row r="248" spans="1:10">
      <c r="A248" s="25" t="s">
        <v>1078</v>
      </c>
      <c r="B248" s="25" t="s">
        <v>86</v>
      </c>
      <c r="C248" s="25" t="s">
        <v>85</v>
      </c>
      <c r="D248" s="25" t="s">
        <v>772</v>
      </c>
      <c r="E248" s="25" t="s">
        <v>88</v>
      </c>
      <c r="F248" s="25" t="s">
        <v>88</v>
      </c>
      <c r="G248" s="26" t="s">
        <v>1079</v>
      </c>
      <c r="H248" s="27">
        <v>0</v>
      </c>
      <c r="I248" t="s">
        <v>1080</v>
      </c>
      <c r="J248" t="s">
        <v>1081</v>
      </c>
    </row>
    <row r="249" spans="1:10">
      <c r="A249" s="25" t="s">
        <v>1082</v>
      </c>
      <c r="B249" s="25" t="s">
        <v>86</v>
      </c>
      <c r="C249" s="25" t="s">
        <v>85</v>
      </c>
      <c r="D249" s="25" t="s">
        <v>772</v>
      </c>
      <c r="E249" s="25" t="s">
        <v>88</v>
      </c>
      <c r="F249" s="25" t="s">
        <v>88</v>
      </c>
      <c r="G249" s="26" t="s">
        <v>1083</v>
      </c>
      <c r="H249" s="27">
        <v>0</v>
      </c>
      <c r="I249" t="s">
        <v>1084</v>
      </c>
      <c r="J249" t="s">
        <v>1085</v>
      </c>
    </row>
    <row r="250" spans="1:10">
      <c r="A250" s="25" t="s">
        <v>1086</v>
      </c>
      <c r="B250" s="25" t="s">
        <v>91</v>
      </c>
      <c r="C250" s="25" t="s">
        <v>123</v>
      </c>
      <c r="D250" s="25" t="s">
        <v>772</v>
      </c>
      <c r="E250" s="25" t="s">
        <v>88</v>
      </c>
      <c r="F250" s="25" t="s">
        <v>88</v>
      </c>
      <c r="G250" s="26" t="s">
        <v>1087</v>
      </c>
      <c r="H250" s="27">
        <v>0</v>
      </c>
      <c r="I250" t="s">
        <v>1088</v>
      </c>
      <c r="J250" t="s">
        <v>1089</v>
      </c>
    </row>
    <row r="251" spans="1:10">
      <c r="A251" s="25" t="s">
        <v>1090</v>
      </c>
      <c r="B251" s="25" t="s">
        <v>91</v>
      </c>
      <c r="C251" s="25" t="s">
        <v>85</v>
      </c>
      <c r="D251" s="25" t="s">
        <v>772</v>
      </c>
      <c r="E251" s="25" t="s">
        <v>88</v>
      </c>
      <c r="F251" s="25" t="s">
        <v>88</v>
      </c>
      <c r="G251" s="26" t="s">
        <v>1091</v>
      </c>
      <c r="H251" s="27">
        <v>0</v>
      </c>
      <c r="I251" t="s">
        <v>1092</v>
      </c>
      <c r="J251" t="s">
        <v>1093</v>
      </c>
    </row>
    <row r="252" spans="1:10">
      <c r="A252" s="25" t="s">
        <v>1094</v>
      </c>
      <c r="B252" s="25" t="s">
        <v>91</v>
      </c>
      <c r="C252" s="25" t="s">
        <v>145</v>
      </c>
      <c r="D252" s="25" t="s">
        <v>772</v>
      </c>
      <c r="E252" s="25" t="s">
        <v>88</v>
      </c>
      <c r="F252" s="25" t="s">
        <v>88</v>
      </c>
      <c r="G252" s="26" t="s">
        <v>1095</v>
      </c>
      <c r="H252" s="27">
        <v>0</v>
      </c>
      <c r="I252" t="s">
        <v>1096</v>
      </c>
      <c r="J252" t="s">
        <v>1097</v>
      </c>
    </row>
    <row r="253" spans="1:10">
      <c r="A253" s="25" t="s">
        <v>412</v>
      </c>
      <c r="B253" s="25" t="s">
        <v>91</v>
      </c>
      <c r="C253" s="25" t="s">
        <v>85</v>
      </c>
      <c r="D253" s="25" t="s">
        <v>772</v>
      </c>
      <c r="E253" s="25" t="s">
        <v>88</v>
      </c>
      <c r="F253" s="25" t="s">
        <v>88</v>
      </c>
      <c r="G253" s="26" t="s">
        <v>1098</v>
      </c>
      <c r="H253" s="27">
        <v>0</v>
      </c>
      <c r="I253" t="s">
        <v>1099</v>
      </c>
      <c r="J253" t="s">
        <v>1100</v>
      </c>
    </row>
    <row r="254" spans="1:10">
      <c r="A254" s="25" t="s">
        <v>1101</v>
      </c>
      <c r="B254" s="25" t="s">
        <v>86</v>
      </c>
      <c r="C254" s="25" t="s">
        <v>97</v>
      </c>
      <c r="D254" s="25" t="s">
        <v>772</v>
      </c>
      <c r="E254" s="25" t="s">
        <v>88</v>
      </c>
      <c r="F254" s="25" t="s">
        <v>88</v>
      </c>
      <c r="G254" s="26" t="s">
        <v>1102</v>
      </c>
      <c r="H254" s="27">
        <v>0</v>
      </c>
      <c r="I254" t="s">
        <v>1103</v>
      </c>
      <c r="J254" t="s">
        <v>1104</v>
      </c>
    </row>
    <row r="255" spans="1:10">
      <c r="A255" s="25" t="s">
        <v>1105</v>
      </c>
      <c r="B255" s="25" t="s">
        <v>91</v>
      </c>
      <c r="C255" s="25" t="s">
        <v>145</v>
      </c>
      <c r="D255" s="25" t="s">
        <v>772</v>
      </c>
      <c r="E255" s="25" t="s">
        <v>88</v>
      </c>
      <c r="F255" s="25" t="s">
        <v>88</v>
      </c>
      <c r="G255" s="26" t="s">
        <v>1106</v>
      </c>
      <c r="H255" s="27">
        <v>0</v>
      </c>
      <c r="I255" t="s">
        <v>1107</v>
      </c>
      <c r="J255" t="s">
        <v>1108</v>
      </c>
    </row>
    <row r="256" spans="1:10">
      <c r="A256" s="25" t="s">
        <v>1109</v>
      </c>
      <c r="B256" s="25" t="s">
        <v>86</v>
      </c>
      <c r="C256" s="25" t="s">
        <v>85</v>
      </c>
      <c r="D256" s="25" t="s">
        <v>772</v>
      </c>
      <c r="E256" s="25" t="s">
        <v>88</v>
      </c>
      <c r="F256" s="25" t="s">
        <v>88</v>
      </c>
      <c r="G256" s="26" t="s">
        <v>1110</v>
      </c>
      <c r="H256" s="27">
        <v>0</v>
      </c>
      <c r="I256" t="s">
        <v>1111</v>
      </c>
      <c r="J256" t="s">
        <v>1112</v>
      </c>
    </row>
    <row r="257" spans="1:10">
      <c r="A257" s="25" t="s">
        <v>1113</v>
      </c>
      <c r="B257" s="25" t="s">
        <v>91</v>
      </c>
      <c r="C257" s="25" t="s">
        <v>97</v>
      </c>
      <c r="D257" s="25" t="s">
        <v>772</v>
      </c>
      <c r="E257" s="25" t="s">
        <v>88</v>
      </c>
      <c r="F257" s="25" t="s">
        <v>88</v>
      </c>
      <c r="G257" s="26" t="s">
        <v>1114</v>
      </c>
      <c r="H257" s="27">
        <v>0</v>
      </c>
      <c r="I257" t="s">
        <v>1115</v>
      </c>
      <c r="J257" t="s">
        <v>1116</v>
      </c>
    </row>
    <row r="258" spans="1:10">
      <c r="A258" s="25" t="s">
        <v>1117</v>
      </c>
      <c r="B258" s="25" t="s">
        <v>86</v>
      </c>
      <c r="C258" s="25" t="s">
        <v>145</v>
      </c>
      <c r="D258" s="25" t="s">
        <v>772</v>
      </c>
      <c r="E258" s="25" t="s">
        <v>88</v>
      </c>
      <c r="F258" s="25" t="s">
        <v>88</v>
      </c>
      <c r="G258" s="26" t="s">
        <v>1118</v>
      </c>
      <c r="H258" s="27">
        <v>0</v>
      </c>
      <c r="I258" t="s">
        <v>1119</v>
      </c>
      <c r="J258" t="s">
        <v>1120</v>
      </c>
    </row>
    <row r="259" spans="1:10">
      <c r="A259" s="25" t="s">
        <v>1121</v>
      </c>
      <c r="B259" s="25" t="s">
        <v>86</v>
      </c>
      <c r="C259" s="25" t="s">
        <v>85</v>
      </c>
      <c r="D259" s="25" t="s">
        <v>772</v>
      </c>
      <c r="E259" s="25" t="s">
        <v>88</v>
      </c>
      <c r="F259" s="25" t="s">
        <v>88</v>
      </c>
      <c r="G259" s="26" t="s">
        <v>1122</v>
      </c>
      <c r="H259" s="27">
        <v>0</v>
      </c>
      <c r="I259" t="s">
        <v>1123</v>
      </c>
      <c r="J259" t="s">
        <v>1124</v>
      </c>
    </row>
    <row r="260" spans="1:10">
      <c r="A260" s="25" t="s">
        <v>1125</v>
      </c>
      <c r="B260" s="25" t="s">
        <v>86</v>
      </c>
      <c r="C260" s="25" t="s">
        <v>85</v>
      </c>
      <c r="D260" s="25" t="s">
        <v>772</v>
      </c>
      <c r="E260" s="25" t="s">
        <v>88</v>
      </c>
      <c r="F260" s="25" t="s">
        <v>88</v>
      </c>
      <c r="G260" s="26" t="s">
        <v>1126</v>
      </c>
      <c r="H260" s="27">
        <v>0</v>
      </c>
      <c r="I260" t="s">
        <v>1127</v>
      </c>
      <c r="J260" t="s">
        <v>1128</v>
      </c>
    </row>
    <row r="261" spans="1:10">
      <c r="A261" s="25" t="s">
        <v>1129</v>
      </c>
      <c r="B261" s="25" t="s">
        <v>91</v>
      </c>
      <c r="C261" s="25" t="s">
        <v>85</v>
      </c>
      <c r="D261" s="25" t="s">
        <v>772</v>
      </c>
      <c r="E261" s="25" t="s">
        <v>88</v>
      </c>
      <c r="F261" s="25" t="s">
        <v>88</v>
      </c>
      <c r="G261" s="26" t="s">
        <v>1130</v>
      </c>
      <c r="H261" s="27">
        <v>0</v>
      </c>
      <c r="I261" t="s">
        <v>1131</v>
      </c>
      <c r="J261" t="s">
        <v>1132</v>
      </c>
    </row>
    <row r="262" spans="1:10">
      <c r="A262" s="25" t="s">
        <v>1133</v>
      </c>
      <c r="B262" s="25" t="s">
        <v>86</v>
      </c>
      <c r="C262" s="25" t="s">
        <v>85</v>
      </c>
      <c r="D262" s="25" t="s">
        <v>772</v>
      </c>
      <c r="E262" s="25" t="s">
        <v>88</v>
      </c>
      <c r="F262" s="25" t="s">
        <v>88</v>
      </c>
      <c r="G262" s="26" t="s">
        <v>1134</v>
      </c>
      <c r="H262" s="27">
        <v>0</v>
      </c>
      <c r="I262" t="s">
        <v>1135</v>
      </c>
      <c r="J262" t="s">
        <v>1136</v>
      </c>
    </row>
    <row r="263" spans="1:10">
      <c r="A263" s="25" t="s">
        <v>1137</v>
      </c>
      <c r="B263" s="25" t="s">
        <v>91</v>
      </c>
      <c r="C263" s="25" t="s">
        <v>85</v>
      </c>
      <c r="D263" s="25" t="s">
        <v>772</v>
      </c>
      <c r="E263" s="25" t="s">
        <v>88</v>
      </c>
      <c r="F263" s="25" t="s">
        <v>88</v>
      </c>
      <c r="G263" s="26" t="s">
        <v>1138</v>
      </c>
      <c r="H263" s="27">
        <v>0</v>
      </c>
      <c r="I263" t="s">
        <v>1139</v>
      </c>
      <c r="J263" t="s">
        <v>1140</v>
      </c>
    </row>
    <row r="264" spans="1:10">
      <c r="A264" s="25" t="s">
        <v>1141</v>
      </c>
      <c r="B264" s="25" t="s">
        <v>91</v>
      </c>
      <c r="C264" s="25" t="s">
        <v>85</v>
      </c>
      <c r="D264" s="25" t="s">
        <v>772</v>
      </c>
      <c r="E264" s="25" t="s">
        <v>88</v>
      </c>
      <c r="F264" s="25" t="s">
        <v>88</v>
      </c>
      <c r="G264" s="26" t="s">
        <v>1142</v>
      </c>
      <c r="H264" s="27">
        <v>0</v>
      </c>
      <c r="I264" t="s">
        <v>1143</v>
      </c>
      <c r="J264" t="s">
        <v>1144</v>
      </c>
    </row>
    <row r="265" spans="1:10">
      <c r="A265" s="25" t="s">
        <v>1145</v>
      </c>
      <c r="B265" s="25" t="s">
        <v>91</v>
      </c>
      <c r="C265" s="25" t="s">
        <v>85</v>
      </c>
      <c r="D265" s="25" t="s">
        <v>772</v>
      </c>
      <c r="E265" s="25" t="s">
        <v>88</v>
      </c>
      <c r="F265" s="25" t="s">
        <v>88</v>
      </c>
      <c r="G265" s="26" t="s">
        <v>1146</v>
      </c>
      <c r="H265" s="27">
        <v>0</v>
      </c>
      <c r="I265" t="s">
        <v>1147</v>
      </c>
      <c r="J265" t="s">
        <v>1148</v>
      </c>
    </row>
    <row r="266" spans="1:10">
      <c r="A266" s="25" t="s">
        <v>1149</v>
      </c>
      <c r="B266" s="25" t="s">
        <v>86</v>
      </c>
      <c r="C266" s="25" t="s">
        <v>97</v>
      </c>
      <c r="D266" s="25" t="s">
        <v>772</v>
      </c>
      <c r="E266" s="25" t="s">
        <v>88</v>
      </c>
      <c r="F266" s="25" t="s">
        <v>88</v>
      </c>
      <c r="G266" s="26" t="s">
        <v>1150</v>
      </c>
      <c r="H266" s="27">
        <v>0</v>
      </c>
      <c r="I266" t="s">
        <v>1151</v>
      </c>
      <c r="J266" t="s">
        <v>1152</v>
      </c>
    </row>
    <row r="267" spans="1:10">
      <c r="A267" s="25" t="s">
        <v>1153</v>
      </c>
      <c r="B267" s="25" t="s">
        <v>86</v>
      </c>
      <c r="C267" s="25" t="s">
        <v>85</v>
      </c>
      <c r="D267" s="25" t="s">
        <v>772</v>
      </c>
      <c r="E267" s="25" t="s">
        <v>88</v>
      </c>
      <c r="F267" s="25" t="s">
        <v>88</v>
      </c>
      <c r="G267" s="26" t="s">
        <v>1154</v>
      </c>
      <c r="H267" s="27">
        <v>0</v>
      </c>
      <c r="I267" t="s">
        <v>1155</v>
      </c>
      <c r="J267" t="s">
        <v>1156</v>
      </c>
    </row>
    <row r="268" spans="1:10">
      <c r="A268" s="25" t="s">
        <v>1157</v>
      </c>
      <c r="B268" s="25" t="s">
        <v>86</v>
      </c>
      <c r="C268" s="25" t="s">
        <v>85</v>
      </c>
      <c r="D268" s="25" t="s">
        <v>772</v>
      </c>
      <c r="E268" s="25" t="s">
        <v>88</v>
      </c>
      <c r="F268" s="25" t="s">
        <v>88</v>
      </c>
      <c r="G268" s="26" t="s">
        <v>1158</v>
      </c>
      <c r="H268" s="27">
        <v>0</v>
      </c>
      <c r="I268" t="s">
        <v>1159</v>
      </c>
      <c r="J268" t="s">
        <v>1160</v>
      </c>
    </row>
    <row r="269" spans="1:10">
      <c r="A269" s="25" t="s">
        <v>1161</v>
      </c>
      <c r="B269" s="25" t="s">
        <v>91</v>
      </c>
      <c r="C269" s="25" t="s">
        <v>145</v>
      </c>
      <c r="D269" s="25" t="s">
        <v>772</v>
      </c>
      <c r="E269" s="25" t="s">
        <v>88</v>
      </c>
      <c r="F269" s="25" t="s">
        <v>88</v>
      </c>
      <c r="G269" s="26" t="s">
        <v>1162</v>
      </c>
      <c r="H269" s="27">
        <v>0</v>
      </c>
      <c r="I269" t="s">
        <v>1163</v>
      </c>
      <c r="J269" t="s">
        <v>1164</v>
      </c>
    </row>
    <row r="270" spans="1:10">
      <c r="A270" s="25" t="s">
        <v>1165</v>
      </c>
      <c r="B270" s="25" t="s">
        <v>91</v>
      </c>
      <c r="C270" s="25" t="s">
        <v>85</v>
      </c>
      <c r="D270" s="25" t="s">
        <v>772</v>
      </c>
      <c r="E270" s="25" t="s">
        <v>88</v>
      </c>
      <c r="F270" s="25" t="s">
        <v>88</v>
      </c>
      <c r="G270" s="26" t="s">
        <v>1166</v>
      </c>
      <c r="H270" s="27">
        <v>0</v>
      </c>
      <c r="I270" t="s">
        <v>1167</v>
      </c>
      <c r="J270" t="s">
        <v>1168</v>
      </c>
    </row>
    <row r="271" spans="1:10">
      <c r="A271" s="25" t="s">
        <v>1169</v>
      </c>
      <c r="B271" s="25" t="s">
        <v>86</v>
      </c>
      <c r="C271" s="25" t="s">
        <v>123</v>
      </c>
      <c r="D271" s="25" t="s">
        <v>772</v>
      </c>
      <c r="E271" s="25" t="s">
        <v>88</v>
      </c>
      <c r="F271" s="25" t="s">
        <v>88</v>
      </c>
      <c r="G271" s="26" t="s">
        <v>1170</v>
      </c>
      <c r="H271" s="27">
        <v>0</v>
      </c>
      <c r="I271" t="s">
        <v>1171</v>
      </c>
      <c r="J271" t="s">
        <v>1172</v>
      </c>
    </row>
    <row r="272" spans="1:10">
      <c r="A272" s="25" t="s">
        <v>1173</v>
      </c>
      <c r="B272" s="25" t="s">
        <v>91</v>
      </c>
      <c r="C272" s="25" t="s">
        <v>85</v>
      </c>
      <c r="D272" s="25" t="s">
        <v>772</v>
      </c>
      <c r="E272" s="25" t="s">
        <v>88</v>
      </c>
      <c r="F272" s="25" t="s">
        <v>88</v>
      </c>
      <c r="G272" s="26" t="s">
        <v>1174</v>
      </c>
      <c r="H272" s="27">
        <v>0</v>
      </c>
      <c r="I272" t="s">
        <v>1175</v>
      </c>
      <c r="J272" t="s">
        <v>1176</v>
      </c>
    </row>
    <row r="273" spans="1:10">
      <c r="A273" s="25" t="s">
        <v>1177</v>
      </c>
      <c r="B273" s="25" t="s">
        <v>91</v>
      </c>
      <c r="C273" s="25" t="s">
        <v>123</v>
      </c>
      <c r="D273" s="25" t="s">
        <v>772</v>
      </c>
      <c r="E273" s="25" t="s">
        <v>88</v>
      </c>
      <c r="F273" s="25" t="s">
        <v>88</v>
      </c>
      <c r="G273" s="26" t="s">
        <v>1178</v>
      </c>
      <c r="H273" s="27">
        <v>0</v>
      </c>
      <c r="I273" t="s">
        <v>1179</v>
      </c>
      <c r="J273" t="s">
        <v>1180</v>
      </c>
    </row>
    <row r="274" spans="1:10">
      <c r="A274" s="25" t="s">
        <v>1181</v>
      </c>
      <c r="B274" s="25" t="s">
        <v>86</v>
      </c>
      <c r="C274" s="25" t="s">
        <v>97</v>
      </c>
      <c r="D274" s="25" t="s">
        <v>772</v>
      </c>
      <c r="E274" s="25" t="s">
        <v>88</v>
      </c>
      <c r="F274" s="25" t="s">
        <v>88</v>
      </c>
      <c r="G274" s="26" t="s">
        <v>1182</v>
      </c>
      <c r="H274" s="27">
        <v>0</v>
      </c>
      <c r="I274" t="s">
        <v>1183</v>
      </c>
      <c r="J274" t="s">
        <v>1184</v>
      </c>
    </row>
    <row r="275" spans="1:10">
      <c r="A275" s="25" t="s">
        <v>1185</v>
      </c>
      <c r="B275" s="25" t="s">
        <v>86</v>
      </c>
      <c r="C275" s="25" t="s">
        <v>85</v>
      </c>
      <c r="D275" s="25" t="s">
        <v>772</v>
      </c>
      <c r="E275" s="25" t="s">
        <v>88</v>
      </c>
      <c r="F275" s="25" t="s">
        <v>88</v>
      </c>
      <c r="G275" s="26" t="s">
        <v>1186</v>
      </c>
      <c r="H275" s="27">
        <v>0</v>
      </c>
      <c r="I275" t="s">
        <v>1187</v>
      </c>
      <c r="J275" t="s">
        <v>1188</v>
      </c>
    </row>
    <row r="276" spans="1:10">
      <c r="A276" s="25" t="s">
        <v>1189</v>
      </c>
      <c r="B276" s="25" t="s">
        <v>86</v>
      </c>
      <c r="C276" s="25" t="s">
        <v>123</v>
      </c>
      <c r="D276" s="25" t="s">
        <v>772</v>
      </c>
      <c r="E276" s="25" t="s">
        <v>88</v>
      </c>
      <c r="F276" s="25" t="s">
        <v>88</v>
      </c>
      <c r="G276" s="26" t="s">
        <v>1190</v>
      </c>
      <c r="H276" s="27">
        <v>0</v>
      </c>
      <c r="I276" t="s">
        <v>1191</v>
      </c>
      <c r="J276" t="s">
        <v>1192</v>
      </c>
    </row>
    <row r="277" spans="1:10">
      <c r="A277" s="25" t="s">
        <v>1193</v>
      </c>
      <c r="B277" s="25" t="s">
        <v>86</v>
      </c>
      <c r="C277" s="25" t="s">
        <v>85</v>
      </c>
      <c r="D277" s="25" t="s">
        <v>772</v>
      </c>
      <c r="E277" s="25" t="s">
        <v>88</v>
      </c>
      <c r="F277" s="25" t="s">
        <v>88</v>
      </c>
      <c r="G277" s="26" t="s">
        <v>1194</v>
      </c>
      <c r="H277" s="27">
        <v>0</v>
      </c>
      <c r="I277" t="s">
        <v>1195</v>
      </c>
      <c r="J277" t="s">
        <v>1196</v>
      </c>
    </row>
    <row r="278" spans="1:10">
      <c r="A278" s="25" t="s">
        <v>1197</v>
      </c>
      <c r="B278" s="25" t="s">
        <v>86</v>
      </c>
      <c r="C278" s="25" t="s">
        <v>85</v>
      </c>
      <c r="D278" s="25" t="s">
        <v>772</v>
      </c>
      <c r="E278" s="25" t="s">
        <v>88</v>
      </c>
      <c r="F278" s="25" t="s">
        <v>88</v>
      </c>
      <c r="G278" s="26" t="s">
        <v>1198</v>
      </c>
      <c r="H278" s="27">
        <v>0</v>
      </c>
      <c r="I278" t="s">
        <v>1199</v>
      </c>
      <c r="J278" t="s">
        <v>1200</v>
      </c>
    </row>
    <row r="279" spans="1:10">
      <c r="A279" s="25" t="s">
        <v>1201</v>
      </c>
      <c r="B279" s="25" t="s">
        <v>91</v>
      </c>
      <c r="C279" s="25" t="s">
        <v>85</v>
      </c>
      <c r="D279" s="25" t="s">
        <v>772</v>
      </c>
      <c r="E279" s="25" t="s">
        <v>88</v>
      </c>
      <c r="F279" s="25" t="s">
        <v>88</v>
      </c>
      <c r="G279" s="26" t="s">
        <v>1202</v>
      </c>
      <c r="H279" s="27">
        <v>0</v>
      </c>
      <c r="I279" t="s">
        <v>1203</v>
      </c>
      <c r="J279" t="s">
        <v>1204</v>
      </c>
    </row>
    <row r="280" spans="1:10">
      <c r="A280" s="25" t="s">
        <v>941</v>
      </c>
      <c r="B280" s="25" t="s">
        <v>86</v>
      </c>
      <c r="C280" s="25" t="s">
        <v>85</v>
      </c>
      <c r="D280" s="25" t="s">
        <v>772</v>
      </c>
      <c r="E280" s="25" t="s">
        <v>88</v>
      </c>
      <c r="F280" s="25" t="s">
        <v>88</v>
      </c>
      <c r="G280" s="26" t="s">
        <v>1205</v>
      </c>
      <c r="H280" s="27">
        <v>0</v>
      </c>
      <c r="I280" t="s">
        <v>1206</v>
      </c>
      <c r="J280" t="s">
        <v>1207</v>
      </c>
    </row>
    <row r="281" spans="1:10">
      <c r="A281" s="25" t="s">
        <v>1121</v>
      </c>
      <c r="B281" s="25" t="s">
        <v>86</v>
      </c>
      <c r="C281" s="25" t="s">
        <v>85</v>
      </c>
      <c r="D281" s="25" t="s">
        <v>772</v>
      </c>
      <c r="E281" s="25" t="s">
        <v>88</v>
      </c>
      <c r="F281" s="25" t="s">
        <v>88</v>
      </c>
      <c r="G281" s="26" t="s">
        <v>1208</v>
      </c>
      <c r="H281" s="27">
        <v>0</v>
      </c>
      <c r="I281" t="s">
        <v>1209</v>
      </c>
      <c r="J281" t="s">
        <v>1210</v>
      </c>
    </row>
    <row r="282" spans="1:10">
      <c r="A282" s="25" t="s">
        <v>1211</v>
      </c>
      <c r="B282" s="25" t="s">
        <v>86</v>
      </c>
      <c r="C282" s="25" t="s">
        <v>97</v>
      </c>
      <c r="D282" s="25" t="s">
        <v>772</v>
      </c>
      <c r="E282" s="25" t="s">
        <v>88</v>
      </c>
      <c r="F282" s="25" t="s">
        <v>88</v>
      </c>
      <c r="G282" s="26" t="s">
        <v>1212</v>
      </c>
      <c r="H282" s="27">
        <v>0</v>
      </c>
      <c r="I282" t="s">
        <v>1213</v>
      </c>
      <c r="J282" t="s">
        <v>1214</v>
      </c>
    </row>
    <row r="283" spans="1:10">
      <c r="A283" s="25" t="s">
        <v>1215</v>
      </c>
      <c r="B283" s="25" t="s">
        <v>91</v>
      </c>
      <c r="C283" s="25" t="s">
        <v>85</v>
      </c>
      <c r="D283" s="25" t="s">
        <v>772</v>
      </c>
      <c r="E283" s="25" t="s">
        <v>88</v>
      </c>
      <c r="F283" s="25" t="s">
        <v>88</v>
      </c>
      <c r="G283" s="26" t="s">
        <v>1216</v>
      </c>
      <c r="H283" s="27">
        <v>0</v>
      </c>
      <c r="I283" t="s">
        <v>1217</v>
      </c>
      <c r="J283" t="s">
        <v>1218</v>
      </c>
    </row>
    <row r="284" spans="1:10">
      <c r="A284" s="25" t="s">
        <v>1219</v>
      </c>
      <c r="B284" s="25" t="s">
        <v>91</v>
      </c>
      <c r="C284" s="25" t="s">
        <v>85</v>
      </c>
      <c r="D284" s="25" t="s">
        <v>772</v>
      </c>
      <c r="E284" s="25" t="s">
        <v>88</v>
      </c>
      <c r="F284" s="25" t="s">
        <v>88</v>
      </c>
      <c r="G284" s="26" t="s">
        <v>1220</v>
      </c>
      <c r="H284" s="27">
        <v>0</v>
      </c>
      <c r="I284" t="s">
        <v>1221</v>
      </c>
      <c r="J284" t="s">
        <v>1222</v>
      </c>
    </row>
    <row r="285" spans="1:10">
      <c r="A285" s="25" t="s">
        <v>1223</v>
      </c>
      <c r="B285" s="25" t="s">
        <v>91</v>
      </c>
      <c r="C285" s="25" t="s">
        <v>85</v>
      </c>
      <c r="D285" s="25" t="s">
        <v>772</v>
      </c>
      <c r="E285" s="25" t="s">
        <v>88</v>
      </c>
      <c r="F285" s="25" t="s">
        <v>88</v>
      </c>
      <c r="G285" s="26" t="s">
        <v>1224</v>
      </c>
      <c r="H285" s="27">
        <v>0</v>
      </c>
      <c r="I285" t="s">
        <v>1225</v>
      </c>
      <c r="J285" t="s">
        <v>503</v>
      </c>
    </row>
    <row r="286" spans="1:10">
      <c r="A286" s="25" t="s">
        <v>1226</v>
      </c>
      <c r="B286" s="25" t="s">
        <v>91</v>
      </c>
      <c r="C286" s="25" t="s">
        <v>85</v>
      </c>
      <c r="D286" s="25" t="s">
        <v>772</v>
      </c>
      <c r="E286" s="25" t="s">
        <v>88</v>
      </c>
      <c r="F286" s="25" t="s">
        <v>88</v>
      </c>
      <c r="G286" s="26" t="s">
        <v>1227</v>
      </c>
      <c r="H286" s="27">
        <v>0</v>
      </c>
      <c r="I286" t="s">
        <v>1228</v>
      </c>
      <c r="J286" t="s">
        <v>1229</v>
      </c>
    </row>
    <row r="287" spans="1:10">
      <c r="A287" s="25" t="s">
        <v>1230</v>
      </c>
      <c r="B287" s="25" t="s">
        <v>91</v>
      </c>
      <c r="C287" s="25" t="s">
        <v>85</v>
      </c>
      <c r="D287" s="25" t="s">
        <v>772</v>
      </c>
      <c r="E287" s="25" t="s">
        <v>88</v>
      </c>
      <c r="F287" s="25" t="s">
        <v>88</v>
      </c>
      <c r="G287" s="26" t="s">
        <v>1231</v>
      </c>
      <c r="H287" s="27">
        <v>0</v>
      </c>
      <c r="I287" t="s">
        <v>1232</v>
      </c>
      <c r="J287" t="s">
        <v>1233</v>
      </c>
    </row>
    <row r="288" spans="1:10">
      <c r="A288" s="25" t="s">
        <v>1234</v>
      </c>
      <c r="B288" s="25" t="s">
        <v>86</v>
      </c>
      <c r="C288" s="25" t="s">
        <v>85</v>
      </c>
      <c r="D288" s="25" t="s">
        <v>772</v>
      </c>
      <c r="E288" s="25" t="s">
        <v>88</v>
      </c>
      <c r="F288" s="25" t="s">
        <v>88</v>
      </c>
      <c r="G288" s="26" t="s">
        <v>1235</v>
      </c>
      <c r="H288" s="27">
        <v>0</v>
      </c>
      <c r="I288" t="s">
        <v>1236</v>
      </c>
      <c r="J288" t="s">
        <v>1237</v>
      </c>
    </row>
    <row r="289" spans="1:10">
      <c r="A289" s="25" t="s">
        <v>1238</v>
      </c>
      <c r="B289" s="25" t="s">
        <v>86</v>
      </c>
      <c r="C289" s="25" t="s">
        <v>85</v>
      </c>
      <c r="D289" s="25" t="s">
        <v>772</v>
      </c>
      <c r="E289" s="25" t="s">
        <v>88</v>
      </c>
      <c r="F289" s="25" t="s">
        <v>88</v>
      </c>
      <c r="G289" s="26" t="s">
        <v>1239</v>
      </c>
      <c r="H289" s="27">
        <v>0</v>
      </c>
      <c r="I289" t="s">
        <v>1240</v>
      </c>
      <c r="J289" t="s">
        <v>1241</v>
      </c>
    </row>
    <row r="290" spans="1:10">
      <c r="A290" s="25" t="s">
        <v>1242</v>
      </c>
      <c r="B290" s="25" t="s">
        <v>91</v>
      </c>
      <c r="C290" s="25" t="s">
        <v>97</v>
      </c>
      <c r="D290" s="25" t="s">
        <v>772</v>
      </c>
      <c r="E290" s="25" t="s">
        <v>88</v>
      </c>
      <c r="F290" s="25" t="s">
        <v>88</v>
      </c>
      <c r="G290" s="26" t="s">
        <v>1243</v>
      </c>
      <c r="H290" s="27">
        <v>0</v>
      </c>
      <c r="I290" t="s">
        <v>1244</v>
      </c>
      <c r="J290" t="s">
        <v>1245</v>
      </c>
    </row>
    <row r="291" spans="1:10">
      <c r="A291" s="25" t="s">
        <v>1246</v>
      </c>
      <c r="B291" s="25" t="s">
        <v>86</v>
      </c>
      <c r="C291" s="25" t="s">
        <v>85</v>
      </c>
      <c r="D291" s="25" t="s">
        <v>772</v>
      </c>
      <c r="E291" s="25" t="s">
        <v>88</v>
      </c>
      <c r="F291" s="25" t="s">
        <v>88</v>
      </c>
      <c r="G291" s="26" t="s">
        <v>1247</v>
      </c>
      <c r="H291" s="27">
        <v>0</v>
      </c>
      <c r="I291" t="s">
        <v>1248</v>
      </c>
      <c r="J291" t="s">
        <v>1249</v>
      </c>
    </row>
    <row r="292" spans="1:10">
      <c r="A292" s="25" t="s">
        <v>1250</v>
      </c>
      <c r="B292" s="25" t="s">
        <v>91</v>
      </c>
      <c r="C292" s="25" t="s">
        <v>85</v>
      </c>
      <c r="D292" s="25" t="s">
        <v>772</v>
      </c>
      <c r="E292" s="25" t="s">
        <v>88</v>
      </c>
      <c r="F292" s="25" t="s">
        <v>88</v>
      </c>
      <c r="G292" s="26" t="s">
        <v>1251</v>
      </c>
      <c r="H292" s="27">
        <v>0</v>
      </c>
      <c r="I292" t="s">
        <v>1252</v>
      </c>
      <c r="J292" t="s">
        <v>1253</v>
      </c>
    </row>
    <row r="293" spans="1:10">
      <c r="A293" s="25" t="s">
        <v>894</v>
      </c>
      <c r="B293" s="25" t="s">
        <v>86</v>
      </c>
      <c r="C293" s="25" t="s">
        <v>145</v>
      </c>
      <c r="D293" s="25" t="s">
        <v>772</v>
      </c>
      <c r="E293" s="25" t="s">
        <v>88</v>
      </c>
      <c r="F293" s="25" t="s">
        <v>88</v>
      </c>
      <c r="G293" s="26" t="s">
        <v>1254</v>
      </c>
      <c r="H293" s="27">
        <v>0</v>
      </c>
      <c r="I293" t="s">
        <v>1255</v>
      </c>
      <c r="J293" t="s">
        <v>1256</v>
      </c>
    </row>
    <row r="294" spans="1:10">
      <c r="A294" s="25" t="s">
        <v>1257</v>
      </c>
      <c r="B294" s="25" t="s">
        <v>86</v>
      </c>
      <c r="C294" s="25" t="s">
        <v>123</v>
      </c>
      <c r="D294" s="25" t="s">
        <v>772</v>
      </c>
      <c r="E294" s="25" t="s">
        <v>88</v>
      </c>
      <c r="F294" s="25" t="s">
        <v>88</v>
      </c>
      <c r="G294" s="26" t="s">
        <v>1258</v>
      </c>
      <c r="H294" s="27">
        <v>0</v>
      </c>
      <c r="I294" t="s">
        <v>1259</v>
      </c>
      <c r="J294" t="s">
        <v>1260</v>
      </c>
    </row>
    <row r="295" spans="1:10">
      <c r="A295" s="25" t="s">
        <v>1261</v>
      </c>
      <c r="B295" s="25" t="s">
        <v>91</v>
      </c>
      <c r="C295" s="25" t="s">
        <v>85</v>
      </c>
      <c r="D295" s="25" t="s">
        <v>772</v>
      </c>
      <c r="E295" s="25" t="s">
        <v>88</v>
      </c>
      <c r="F295" s="25" t="s">
        <v>88</v>
      </c>
      <c r="G295" s="26" t="s">
        <v>1262</v>
      </c>
      <c r="H295" s="27">
        <v>0</v>
      </c>
      <c r="I295" t="s">
        <v>1263</v>
      </c>
      <c r="J295" t="s">
        <v>1264</v>
      </c>
    </row>
    <row r="296" spans="1:10">
      <c r="A296" s="25" t="s">
        <v>1265</v>
      </c>
      <c r="B296" s="25" t="s">
        <v>86</v>
      </c>
      <c r="C296" s="25" t="s">
        <v>145</v>
      </c>
      <c r="D296" s="25" t="s">
        <v>772</v>
      </c>
      <c r="E296" s="25" t="s">
        <v>88</v>
      </c>
      <c r="F296" s="25" t="s">
        <v>88</v>
      </c>
      <c r="G296" s="26" t="s">
        <v>1266</v>
      </c>
      <c r="H296" s="27">
        <v>0</v>
      </c>
      <c r="I296" t="s">
        <v>1267</v>
      </c>
      <c r="J296" t="s">
        <v>1268</v>
      </c>
    </row>
    <row r="297" spans="1:10">
      <c r="A297" s="25" t="s">
        <v>1230</v>
      </c>
      <c r="B297" s="25" t="s">
        <v>91</v>
      </c>
      <c r="C297" s="25" t="s">
        <v>85</v>
      </c>
      <c r="D297" s="25" t="s">
        <v>772</v>
      </c>
      <c r="E297" s="25" t="s">
        <v>88</v>
      </c>
      <c r="F297" s="25" t="s">
        <v>88</v>
      </c>
      <c r="G297" s="26" t="s">
        <v>1269</v>
      </c>
      <c r="H297" s="27">
        <v>0</v>
      </c>
      <c r="I297" t="s">
        <v>1270</v>
      </c>
      <c r="J297" t="s">
        <v>479</v>
      </c>
    </row>
    <row r="298" spans="1:10">
      <c r="A298" s="25" t="s">
        <v>1271</v>
      </c>
      <c r="B298" s="25" t="s">
        <v>91</v>
      </c>
      <c r="C298" s="25" t="s">
        <v>85</v>
      </c>
      <c r="D298" s="25" t="s">
        <v>1272</v>
      </c>
      <c r="E298" s="25" t="s">
        <v>88</v>
      </c>
      <c r="F298" s="25" t="s">
        <v>88</v>
      </c>
      <c r="G298" s="26" t="s">
        <v>1273</v>
      </c>
      <c r="H298" s="27">
        <v>0</v>
      </c>
      <c r="I298" t="s">
        <v>1274</v>
      </c>
      <c r="J298" t="s">
        <v>1275</v>
      </c>
    </row>
    <row r="299" spans="1:10">
      <c r="A299" s="25" t="s">
        <v>1276</v>
      </c>
      <c r="B299" s="25" t="s">
        <v>86</v>
      </c>
      <c r="C299" s="25" t="s">
        <v>97</v>
      </c>
      <c r="D299" s="25" t="s">
        <v>1272</v>
      </c>
      <c r="E299" s="25" t="s">
        <v>88</v>
      </c>
      <c r="F299" s="25" t="s">
        <v>88</v>
      </c>
      <c r="G299" s="26" t="s">
        <v>1277</v>
      </c>
      <c r="H299" s="27">
        <v>0</v>
      </c>
      <c r="I299" t="s">
        <v>1278</v>
      </c>
      <c r="J299" t="s">
        <v>1279</v>
      </c>
    </row>
    <row r="300" spans="1:10">
      <c r="A300" s="25" t="s">
        <v>325</v>
      </c>
      <c r="B300" s="25" t="s">
        <v>86</v>
      </c>
      <c r="C300" s="25" t="s">
        <v>145</v>
      </c>
      <c r="D300" s="25" t="s">
        <v>1272</v>
      </c>
      <c r="E300" s="25" t="s">
        <v>88</v>
      </c>
      <c r="F300" s="25" t="s">
        <v>88</v>
      </c>
      <c r="G300" s="26" t="s">
        <v>1280</v>
      </c>
      <c r="H300" s="27">
        <v>0</v>
      </c>
      <c r="I300" t="s">
        <v>1281</v>
      </c>
      <c r="J300" t="s">
        <v>1282</v>
      </c>
    </row>
    <row r="301" spans="1:10">
      <c r="A301" s="25" t="s">
        <v>1283</v>
      </c>
      <c r="B301" s="25" t="s">
        <v>86</v>
      </c>
      <c r="C301" s="25" t="s">
        <v>85</v>
      </c>
      <c r="D301" s="25" t="s">
        <v>1272</v>
      </c>
      <c r="E301" s="25" t="s">
        <v>88</v>
      </c>
      <c r="F301" s="25" t="s">
        <v>88</v>
      </c>
      <c r="G301" s="26" t="s">
        <v>1284</v>
      </c>
      <c r="H301" s="27">
        <v>0</v>
      </c>
      <c r="I301" t="s">
        <v>1285</v>
      </c>
      <c r="J301" t="s">
        <v>1286</v>
      </c>
    </row>
    <row r="302" spans="1:10">
      <c r="A302" s="25" t="s">
        <v>1287</v>
      </c>
      <c r="B302" s="25" t="s">
        <v>86</v>
      </c>
      <c r="C302" s="25" t="s">
        <v>85</v>
      </c>
      <c r="D302" s="25" t="s">
        <v>1272</v>
      </c>
      <c r="E302" s="25" t="s">
        <v>88</v>
      </c>
      <c r="F302" s="25" t="s">
        <v>88</v>
      </c>
      <c r="G302" s="26" t="s">
        <v>1288</v>
      </c>
      <c r="H302" s="27">
        <v>0</v>
      </c>
      <c r="I302" t="s">
        <v>1289</v>
      </c>
      <c r="J302" t="s">
        <v>1290</v>
      </c>
    </row>
    <row r="303" spans="1:10">
      <c r="A303" s="25" t="s">
        <v>1291</v>
      </c>
      <c r="B303" s="25" t="s">
        <v>91</v>
      </c>
      <c r="C303" s="25" t="s">
        <v>85</v>
      </c>
      <c r="D303" s="25" t="s">
        <v>1272</v>
      </c>
      <c r="E303" s="25" t="s">
        <v>88</v>
      </c>
      <c r="F303" s="25" t="s">
        <v>88</v>
      </c>
      <c r="G303" s="26" t="s">
        <v>1292</v>
      </c>
      <c r="H303" s="27">
        <v>0</v>
      </c>
      <c r="I303" t="s">
        <v>1293</v>
      </c>
      <c r="J303" t="s">
        <v>1294</v>
      </c>
    </row>
    <row r="304" spans="1:10">
      <c r="A304" s="25" t="s">
        <v>578</v>
      </c>
      <c r="B304" s="25" t="s">
        <v>91</v>
      </c>
      <c r="C304" s="25" t="s">
        <v>85</v>
      </c>
      <c r="D304" s="25" t="s">
        <v>1272</v>
      </c>
      <c r="E304" s="25" t="s">
        <v>88</v>
      </c>
      <c r="F304" s="25" t="s">
        <v>88</v>
      </c>
      <c r="G304" s="26" t="s">
        <v>1295</v>
      </c>
      <c r="H304" s="27">
        <v>0</v>
      </c>
      <c r="I304" t="s">
        <v>1296</v>
      </c>
      <c r="J304" t="s">
        <v>1297</v>
      </c>
    </row>
    <row r="305" spans="1:10">
      <c r="A305" s="25" t="s">
        <v>1298</v>
      </c>
      <c r="B305" s="25" t="s">
        <v>86</v>
      </c>
      <c r="C305" s="25" t="s">
        <v>85</v>
      </c>
      <c r="D305" s="25" t="s">
        <v>1272</v>
      </c>
      <c r="E305" s="25" t="s">
        <v>88</v>
      </c>
      <c r="F305" s="25" t="s">
        <v>88</v>
      </c>
      <c r="G305" s="26" t="s">
        <v>1299</v>
      </c>
      <c r="H305" s="27">
        <v>0</v>
      </c>
      <c r="I305" t="s">
        <v>1300</v>
      </c>
      <c r="J305" t="s">
        <v>1301</v>
      </c>
    </row>
    <row r="306" spans="1:10">
      <c r="A306" s="25" t="s">
        <v>1302</v>
      </c>
      <c r="B306" s="25" t="s">
        <v>91</v>
      </c>
      <c r="C306" s="25" t="s">
        <v>85</v>
      </c>
      <c r="D306" s="25" t="s">
        <v>1272</v>
      </c>
      <c r="E306" s="25" t="s">
        <v>88</v>
      </c>
      <c r="F306" s="25" t="s">
        <v>88</v>
      </c>
      <c r="G306" s="26" t="s">
        <v>1303</v>
      </c>
      <c r="H306" s="27">
        <v>0</v>
      </c>
      <c r="I306" t="s">
        <v>1304</v>
      </c>
      <c r="J306" t="s">
        <v>1305</v>
      </c>
    </row>
    <row r="307" spans="1:10">
      <c r="A307" s="25" t="s">
        <v>1306</v>
      </c>
      <c r="B307" s="25" t="s">
        <v>91</v>
      </c>
      <c r="C307" s="25" t="s">
        <v>123</v>
      </c>
      <c r="D307" s="25" t="s">
        <v>1272</v>
      </c>
      <c r="E307" s="25" t="s">
        <v>88</v>
      </c>
      <c r="F307" s="25" t="s">
        <v>88</v>
      </c>
      <c r="G307" s="26" t="s">
        <v>1307</v>
      </c>
      <c r="H307" s="27">
        <v>0</v>
      </c>
      <c r="I307" t="s">
        <v>1308</v>
      </c>
      <c r="J307" t="s">
        <v>1309</v>
      </c>
    </row>
    <row r="308" spans="1:10">
      <c r="A308" s="25" t="s">
        <v>1310</v>
      </c>
      <c r="B308" s="25" t="s">
        <v>91</v>
      </c>
      <c r="C308" s="25" t="s">
        <v>97</v>
      </c>
      <c r="D308" s="25" t="s">
        <v>1272</v>
      </c>
      <c r="E308" s="25" t="s">
        <v>88</v>
      </c>
      <c r="F308" s="25" t="s">
        <v>88</v>
      </c>
      <c r="G308" s="26" t="s">
        <v>1311</v>
      </c>
      <c r="H308" s="27">
        <v>0</v>
      </c>
      <c r="I308" t="s">
        <v>1312</v>
      </c>
      <c r="J308" t="s">
        <v>1152</v>
      </c>
    </row>
    <row r="309" spans="1:10">
      <c r="A309" s="25" t="s">
        <v>1313</v>
      </c>
      <c r="B309" s="25" t="s">
        <v>91</v>
      </c>
      <c r="C309" s="25" t="s">
        <v>97</v>
      </c>
      <c r="D309" s="25" t="s">
        <v>1272</v>
      </c>
      <c r="E309" s="25" t="s">
        <v>88</v>
      </c>
      <c r="F309" s="25" t="s">
        <v>88</v>
      </c>
      <c r="G309" s="26" t="s">
        <v>1314</v>
      </c>
      <c r="H309" s="27">
        <v>0</v>
      </c>
      <c r="I309" t="s">
        <v>1315</v>
      </c>
      <c r="J309" t="s">
        <v>1316</v>
      </c>
    </row>
    <row r="310" spans="1:10">
      <c r="A310" s="25" t="s">
        <v>1317</v>
      </c>
      <c r="B310" s="25" t="s">
        <v>86</v>
      </c>
      <c r="C310" s="25" t="s">
        <v>85</v>
      </c>
      <c r="D310" s="25" t="s">
        <v>1272</v>
      </c>
      <c r="E310" s="25" t="s">
        <v>88</v>
      </c>
      <c r="F310" s="25" t="s">
        <v>88</v>
      </c>
      <c r="G310" s="26" t="s">
        <v>1318</v>
      </c>
      <c r="H310" s="27">
        <v>0</v>
      </c>
      <c r="I310" t="s">
        <v>1319</v>
      </c>
      <c r="J310" t="s">
        <v>1320</v>
      </c>
    </row>
    <row r="311" spans="1:10">
      <c r="A311" s="25" t="s">
        <v>1321</v>
      </c>
      <c r="B311" s="25" t="s">
        <v>86</v>
      </c>
      <c r="C311" s="25" t="s">
        <v>85</v>
      </c>
      <c r="D311" s="25" t="s">
        <v>1272</v>
      </c>
      <c r="E311" s="25" t="s">
        <v>88</v>
      </c>
      <c r="F311" s="25" t="s">
        <v>88</v>
      </c>
      <c r="G311" s="26" t="s">
        <v>1322</v>
      </c>
      <c r="H311" s="27">
        <v>0</v>
      </c>
      <c r="I311" t="s">
        <v>1323</v>
      </c>
      <c r="J311" t="s">
        <v>1324</v>
      </c>
    </row>
    <row r="312" spans="1:10">
      <c r="A312" s="25" t="s">
        <v>1325</v>
      </c>
      <c r="B312" s="25" t="s">
        <v>86</v>
      </c>
      <c r="C312" s="25" t="s">
        <v>97</v>
      </c>
      <c r="D312" s="25" t="s">
        <v>1272</v>
      </c>
      <c r="E312" s="25" t="s">
        <v>88</v>
      </c>
      <c r="F312" s="25" t="s">
        <v>88</v>
      </c>
      <c r="G312" s="26" t="s">
        <v>1326</v>
      </c>
      <c r="H312" s="27">
        <v>0</v>
      </c>
      <c r="I312" t="s">
        <v>1327</v>
      </c>
      <c r="J312" t="s">
        <v>1316</v>
      </c>
    </row>
    <row r="313" spans="1:10">
      <c r="A313" s="25" t="s">
        <v>1328</v>
      </c>
      <c r="B313" s="25" t="s">
        <v>86</v>
      </c>
      <c r="C313" s="25" t="s">
        <v>123</v>
      </c>
      <c r="D313" s="25" t="s">
        <v>1272</v>
      </c>
      <c r="E313" s="25" t="s">
        <v>88</v>
      </c>
      <c r="F313" s="25" t="s">
        <v>88</v>
      </c>
      <c r="G313" s="26" t="s">
        <v>1329</v>
      </c>
      <c r="H313" s="27">
        <v>0</v>
      </c>
      <c r="I313" t="s">
        <v>1330</v>
      </c>
      <c r="J313" t="s">
        <v>1331</v>
      </c>
    </row>
    <row r="314" spans="1:10">
      <c r="A314" s="25" t="s">
        <v>313</v>
      </c>
      <c r="B314" s="25" t="s">
        <v>86</v>
      </c>
      <c r="C314" s="25" t="s">
        <v>85</v>
      </c>
      <c r="D314" s="25" t="s">
        <v>1272</v>
      </c>
      <c r="E314" s="25" t="s">
        <v>88</v>
      </c>
      <c r="F314" s="25" t="s">
        <v>88</v>
      </c>
      <c r="G314" s="26" t="s">
        <v>1332</v>
      </c>
      <c r="H314" s="27">
        <v>0</v>
      </c>
      <c r="I314" t="s">
        <v>1333</v>
      </c>
      <c r="J314" t="s">
        <v>1334</v>
      </c>
    </row>
    <row r="315" spans="1:10">
      <c r="A315" s="25" t="s">
        <v>1335</v>
      </c>
      <c r="B315" s="25" t="s">
        <v>91</v>
      </c>
      <c r="C315" s="25" t="s">
        <v>145</v>
      </c>
      <c r="D315" s="25" t="s">
        <v>1272</v>
      </c>
      <c r="E315" s="25" t="s">
        <v>88</v>
      </c>
      <c r="F315" s="25" t="s">
        <v>88</v>
      </c>
      <c r="G315" s="26" t="s">
        <v>1336</v>
      </c>
      <c r="H315" s="27">
        <v>0</v>
      </c>
      <c r="I315" t="s">
        <v>1337</v>
      </c>
      <c r="J315" t="s">
        <v>1052</v>
      </c>
    </row>
    <row r="316" spans="1:10">
      <c r="A316" s="25" t="s">
        <v>1338</v>
      </c>
      <c r="B316" s="25" t="s">
        <v>91</v>
      </c>
      <c r="C316" s="25" t="s">
        <v>85</v>
      </c>
      <c r="D316" s="25" t="s">
        <v>1272</v>
      </c>
      <c r="E316" s="25" t="s">
        <v>88</v>
      </c>
      <c r="F316" s="25" t="s">
        <v>88</v>
      </c>
      <c r="G316" s="26" t="s">
        <v>1339</v>
      </c>
      <c r="H316" s="27">
        <v>0</v>
      </c>
      <c r="I316" t="s">
        <v>1340</v>
      </c>
      <c r="J316" t="s">
        <v>1341</v>
      </c>
    </row>
    <row r="317" spans="1:10">
      <c r="A317" s="25" t="s">
        <v>1342</v>
      </c>
      <c r="B317" s="25" t="s">
        <v>91</v>
      </c>
      <c r="C317" s="25" t="s">
        <v>97</v>
      </c>
      <c r="D317" s="25" t="s">
        <v>1272</v>
      </c>
      <c r="E317" s="25" t="s">
        <v>88</v>
      </c>
      <c r="F317" s="25" t="s">
        <v>88</v>
      </c>
      <c r="G317" s="26" t="s">
        <v>1343</v>
      </c>
      <c r="H317" s="27">
        <v>0</v>
      </c>
      <c r="I317" t="s">
        <v>1344</v>
      </c>
      <c r="J317" t="s">
        <v>1345</v>
      </c>
    </row>
    <row r="318" spans="1:10">
      <c r="A318" s="25" t="s">
        <v>1346</v>
      </c>
      <c r="B318" s="25" t="s">
        <v>86</v>
      </c>
      <c r="C318" s="25" t="s">
        <v>85</v>
      </c>
      <c r="D318" s="25" t="s">
        <v>1272</v>
      </c>
      <c r="E318" s="25" t="s">
        <v>88</v>
      </c>
      <c r="F318" s="25" t="s">
        <v>88</v>
      </c>
      <c r="G318" s="26" t="s">
        <v>1347</v>
      </c>
      <c r="H318" s="27">
        <v>0</v>
      </c>
      <c r="I318" t="s">
        <v>1348</v>
      </c>
      <c r="J318" t="s">
        <v>1349</v>
      </c>
    </row>
    <row r="319" spans="1:10">
      <c r="A319" s="25" t="s">
        <v>1350</v>
      </c>
      <c r="B319" s="25" t="s">
        <v>86</v>
      </c>
      <c r="C319" s="25" t="s">
        <v>85</v>
      </c>
      <c r="D319" s="25" t="s">
        <v>1272</v>
      </c>
      <c r="E319" s="25" t="s">
        <v>88</v>
      </c>
      <c r="F319" s="25" t="s">
        <v>88</v>
      </c>
      <c r="G319" s="26" t="s">
        <v>1351</v>
      </c>
      <c r="H319" s="27">
        <v>0</v>
      </c>
      <c r="I319" t="s">
        <v>1352</v>
      </c>
      <c r="J319" t="s">
        <v>1353</v>
      </c>
    </row>
    <row r="320" spans="1:10">
      <c r="A320" s="25" t="s">
        <v>1354</v>
      </c>
      <c r="B320" s="25" t="s">
        <v>86</v>
      </c>
      <c r="C320" s="25" t="s">
        <v>85</v>
      </c>
      <c r="D320" s="25" t="s">
        <v>1272</v>
      </c>
      <c r="E320" s="25" t="s">
        <v>88</v>
      </c>
      <c r="F320" s="25" t="s">
        <v>88</v>
      </c>
      <c r="G320" s="26" t="s">
        <v>1355</v>
      </c>
      <c r="H320" s="27">
        <v>0</v>
      </c>
      <c r="I320" t="s">
        <v>1356</v>
      </c>
      <c r="J320" t="s">
        <v>1357</v>
      </c>
    </row>
    <row r="321" spans="1:10">
      <c r="A321" s="25" t="s">
        <v>1358</v>
      </c>
      <c r="B321" s="25" t="s">
        <v>86</v>
      </c>
      <c r="C321" s="25" t="s">
        <v>85</v>
      </c>
      <c r="D321" s="25" t="s">
        <v>1272</v>
      </c>
      <c r="E321" s="25" t="s">
        <v>88</v>
      </c>
      <c r="F321" s="25" t="s">
        <v>88</v>
      </c>
      <c r="G321" s="26" t="s">
        <v>1359</v>
      </c>
      <c r="H321" s="27">
        <v>0</v>
      </c>
      <c r="I321" t="s">
        <v>1360</v>
      </c>
      <c r="J321" t="s">
        <v>1361</v>
      </c>
    </row>
    <row r="322" spans="1:10">
      <c r="A322" s="25" t="s">
        <v>1362</v>
      </c>
      <c r="B322" s="25" t="s">
        <v>91</v>
      </c>
      <c r="C322" s="25" t="s">
        <v>85</v>
      </c>
      <c r="D322" s="25" t="s">
        <v>1272</v>
      </c>
      <c r="E322" s="25" t="s">
        <v>88</v>
      </c>
      <c r="F322" s="25" t="s">
        <v>88</v>
      </c>
      <c r="G322" s="26" t="s">
        <v>1363</v>
      </c>
      <c r="H322" s="27">
        <v>0</v>
      </c>
      <c r="I322" t="s">
        <v>1364</v>
      </c>
      <c r="J322" t="s">
        <v>1365</v>
      </c>
    </row>
    <row r="323" spans="1:10">
      <c r="A323" s="25" t="s">
        <v>1366</v>
      </c>
      <c r="B323" s="25" t="s">
        <v>91</v>
      </c>
      <c r="C323" s="25" t="s">
        <v>85</v>
      </c>
      <c r="D323" s="25" t="s">
        <v>1272</v>
      </c>
      <c r="E323" s="25" t="s">
        <v>88</v>
      </c>
      <c r="F323" s="25" t="s">
        <v>88</v>
      </c>
      <c r="G323" s="26" t="s">
        <v>1367</v>
      </c>
      <c r="H323" s="27">
        <v>0</v>
      </c>
      <c r="I323" t="s">
        <v>1368</v>
      </c>
      <c r="J323" t="s">
        <v>1369</v>
      </c>
    </row>
    <row r="324" spans="1:10">
      <c r="A324" s="25" t="s">
        <v>1370</v>
      </c>
      <c r="B324" s="25" t="s">
        <v>86</v>
      </c>
      <c r="C324" s="25" t="s">
        <v>85</v>
      </c>
      <c r="D324" s="25" t="s">
        <v>1272</v>
      </c>
      <c r="E324" s="25" t="s">
        <v>88</v>
      </c>
      <c r="F324" s="25" t="s">
        <v>88</v>
      </c>
      <c r="G324" s="26" t="s">
        <v>1371</v>
      </c>
      <c r="H324" s="27">
        <v>0</v>
      </c>
      <c r="I324" t="s">
        <v>1372</v>
      </c>
      <c r="J324" t="s">
        <v>1373</v>
      </c>
    </row>
    <row r="325" spans="1:10">
      <c r="A325" s="25" t="s">
        <v>281</v>
      </c>
      <c r="B325" s="25" t="s">
        <v>91</v>
      </c>
      <c r="C325" s="25" t="s">
        <v>85</v>
      </c>
      <c r="D325" s="25" t="s">
        <v>1272</v>
      </c>
      <c r="E325" s="25" t="s">
        <v>88</v>
      </c>
      <c r="F325" s="25" t="s">
        <v>88</v>
      </c>
      <c r="G325" s="26" t="s">
        <v>1374</v>
      </c>
      <c r="H325" s="27">
        <v>0</v>
      </c>
      <c r="I325" t="s">
        <v>1375</v>
      </c>
      <c r="J325" t="s">
        <v>1376</v>
      </c>
    </row>
    <row r="326" spans="1:10">
      <c r="A326" s="25" t="s">
        <v>1283</v>
      </c>
      <c r="B326" s="25" t="s">
        <v>86</v>
      </c>
      <c r="C326" s="25" t="s">
        <v>85</v>
      </c>
      <c r="D326" s="25" t="s">
        <v>1272</v>
      </c>
      <c r="E326" s="25" t="s">
        <v>88</v>
      </c>
      <c r="F326" s="25" t="s">
        <v>88</v>
      </c>
      <c r="G326" s="26" t="s">
        <v>1377</v>
      </c>
      <c r="H326" s="27">
        <v>0</v>
      </c>
      <c r="I326" t="s">
        <v>1378</v>
      </c>
      <c r="J326" t="s">
        <v>1379</v>
      </c>
    </row>
    <row r="327" spans="1:10">
      <c r="A327" s="25" t="s">
        <v>1380</v>
      </c>
      <c r="B327" s="25" t="s">
        <v>86</v>
      </c>
      <c r="C327" s="25" t="s">
        <v>123</v>
      </c>
      <c r="D327" s="25" t="s">
        <v>1272</v>
      </c>
      <c r="E327" s="25" t="s">
        <v>88</v>
      </c>
      <c r="F327" s="25" t="s">
        <v>88</v>
      </c>
      <c r="G327" s="26" t="s">
        <v>1381</v>
      </c>
      <c r="H327" s="27">
        <v>0</v>
      </c>
      <c r="I327" t="s">
        <v>1382</v>
      </c>
      <c r="J327" t="s">
        <v>1383</v>
      </c>
    </row>
    <row r="328" spans="1:10">
      <c r="A328" s="25" t="s">
        <v>1384</v>
      </c>
      <c r="B328" s="25" t="s">
        <v>86</v>
      </c>
      <c r="C328" s="25" t="s">
        <v>85</v>
      </c>
      <c r="D328" s="25" t="s">
        <v>1272</v>
      </c>
      <c r="E328" s="25" t="s">
        <v>88</v>
      </c>
      <c r="F328" s="25" t="s">
        <v>88</v>
      </c>
      <c r="G328" s="26" t="s">
        <v>1385</v>
      </c>
      <c r="H328" s="27">
        <v>0</v>
      </c>
      <c r="I328" t="s">
        <v>1386</v>
      </c>
      <c r="J328" t="s">
        <v>1387</v>
      </c>
    </row>
    <row r="329" spans="1:10">
      <c r="A329" s="25" t="s">
        <v>1388</v>
      </c>
      <c r="B329" s="25" t="s">
        <v>91</v>
      </c>
      <c r="C329" s="25" t="s">
        <v>85</v>
      </c>
      <c r="D329" s="25" t="s">
        <v>1272</v>
      </c>
      <c r="E329" s="25" t="s">
        <v>88</v>
      </c>
      <c r="F329" s="25" t="s">
        <v>88</v>
      </c>
      <c r="G329" s="26" t="s">
        <v>1389</v>
      </c>
      <c r="H329" s="27">
        <v>0</v>
      </c>
      <c r="I329" t="s">
        <v>1390</v>
      </c>
      <c r="J329" t="s">
        <v>679</v>
      </c>
    </row>
    <row r="330" spans="1:10">
      <c r="A330" s="25" t="s">
        <v>570</v>
      </c>
      <c r="B330" s="25" t="s">
        <v>91</v>
      </c>
      <c r="C330" s="25" t="s">
        <v>85</v>
      </c>
      <c r="D330" s="25" t="s">
        <v>1272</v>
      </c>
      <c r="E330" s="25" t="s">
        <v>88</v>
      </c>
      <c r="F330" s="25" t="s">
        <v>88</v>
      </c>
      <c r="G330" s="26" t="s">
        <v>1391</v>
      </c>
      <c r="H330" s="27">
        <v>0</v>
      </c>
      <c r="I330" t="s">
        <v>1392</v>
      </c>
      <c r="J330" t="s">
        <v>1393</v>
      </c>
    </row>
    <row r="331" spans="1:10">
      <c r="A331" s="25" t="s">
        <v>1394</v>
      </c>
      <c r="B331" s="25" t="s">
        <v>91</v>
      </c>
      <c r="C331" s="25" t="s">
        <v>85</v>
      </c>
      <c r="D331" s="25" t="s">
        <v>1272</v>
      </c>
      <c r="E331" s="25" t="s">
        <v>88</v>
      </c>
      <c r="F331" s="25" t="s">
        <v>88</v>
      </c>
      <c r="G331" s="26" t="s">
        <v>1395</v>
      </c>
      <c r="H331" s="27">
        <v>0</v>
      </c>
      <c r="I331" t="s">
        <v>1396</v>
      </c>
      <c r="J331" t="s">
        <v>1397</v>
      </c>
    </row>
    <row r="332" spans="1:10">
      <c r="A332" s="25" t="s">
        <v>1398</v>
      </c>
      <c r="B332" s="25" t="s">
        <v>91</v>
      </c>
      <c r="C332" s="25" t="s">
        <v>123</v>
      </c>
      <c r="D332" s="25" t="s">
        <v>1272</v>
      </c>
      <c r="E332" s="25" t="s">
        <v>88</v>
      </c>
      <c r="F332" s="25" t="s">
        <v>88</v>
      </c>
      <c r="G332" s="26" t="s">
        <v>1399</v>
      </c>
      <c r="H332" s="27">
        <v>0</v>
      </c>
      <c r="I332" t="s">
        <v>1400</v>
      </c>
      <c r="J332" t="s">
        <v>1401</v>
      </c>
    </row>
    <row r="333" spans="1:10">
      <c r="A333" s="25" t="s">
        <v>1402</v>
      </c>
      <c r="B333" s="25" t="s">
        <v>91</v>
      </c>
      <c r="C333" s="25" t="s">
        <v>85</v>
      </c>
      <c r="D333" s="25" t="s">
        <v>1272</v>
      </c>
      <c r="E333" s="25" t="s">
        <v>88</v>
      </c>
      <c r="F333" s="25" t="s">
        <v>88</v>
      </c>
      <c r="G333" s="26" t="s">
        <v>1403</v>
      </c>
      <c r="H333" s="27">
        <v>0</v>
      </c>
      <c r="I333" t="s">
        <v>1404</v>
      </c>
      <c r="J333" t="s">
        <v>1405</v>
      </c>
    </row>
    <row r="334" spans="1:10">
      <c r="A334" s="25" t="s">
        <v>364</v>
      </c>
      <c r="B334" s="25" t="s">
        <v>86</v>
      </c>
      <c r="C334" s="25" t="s">
        <v>85</v>
      </c>
      <c r="D334" s="25" t="s">
        <v>1272</v>
      </c>
      <c r="E334" s="25" t="s">
        <v>88</v>
      </c>
      <c r="F334" s="25" t="s">
        <v>88</v>
      </c>
      <c r="G334" s="26" t="s">
        <v>1406</v>
      </c>
      <c r="H334" s="27">
        <v>0</v>
      </c>
      <c r="I334" t="s">
        <v>1407</v>
      </c>
      <c r="J334" t="s">
        <v>1408</v>
      </c>
    </row>
    <row r="335" spans="1:10">
      <c r="A335" s="25" t="s">
        <v>776</v>
      </c>
      <c r="B335" s="25" t="s">
        <v>86</v>
      </c>
      <c r="C335" s="25" t="s">
        <v>85</v>
      </c>
      <c r="D335" s="25" t="s">
        <v>1272</v>
      </c>
      <c r="E335" s="25" t="s">
        <v>88</v>
      </c>
      <c r="F335" s="25" t="s">
        <v>88</v>
      </c>
      <c r="G335" s="26" t="s">
        <v>1409</v>
      </c>
      <c r="H335" s="27">
        <v>0</v>
      </c>
      <c r="I335" t="s">
        <v>1410</v>
      </c>
      <c r="J335" t="s">
        <v>1411</v>
      </c>
    </row>
    <row r="336" spans="1:10">
      <c r="A336" s="25" t="s">
        <v>1412</v>
      </c>
      <c r="B336" s="25" t="s">
        <v>91</v>
      </c>
      <c r="C336" s="25" t="s">
        <v>85</v>
      </c>
      <c r="D336" s="25" t="s">
        <v>1272</v>
      </c>
      <c r="E336" s="25" t="s">
        <v>88</v>
      </c>
      <c r="F336" s="25" t="s">
        <v>88</v>
      </c>
      <c r="G336" s="26" t="s">
        <v>1413</v>
      </c>
      <c r="H336" s="27">
        <v>0</v>
      </c>
      <c r="I336" t="s">
        <v>1414</v>
      </c>
      <c r="J336" t="s">
        <v>1415</v>
      </c>
    </row>
    <row r="337" spans="1:10">
      <c r="A337" s="25" t="s">
        <v>1416</v>
      </c>
      <c r="B337" s="25" t="s">
        <v>86</v>
      </c>
      <c r="C337" s="25" t="s">
        <v>85</v>
      </c>
      <c r="D337" s="25" t="s">
        <v>1272</v>
      </c>
      <c r="E337" s="25" t="s">
        <v>88</v>
      </c>
      <c r="F337" s="25" t="s">
        <v>88</v>
      </c>
      <c r="G337" s="26" t="s">
        <v>1417</v>
      </c>
      <c r="H337" s="27">
        <v>0</v>
      </c>
      <c r="I337" t="s">
        <v>1418</v>
      </c>
      <c r="J337" t="s">
        <v>1419</v>
      </c>
    </row>
    <row r="338" spans="1:10">
      <c r="A338" s="25" t="s">
        <v>1420</v>
      </c>
      <c r="B338" s="25" t="s">
        <v>91</v>
      </c>
      <c r="C338" s="25" t="s">
        <v>85</v>
      </c>
      <c r="D338" s="25" t="s">
        <v>1272</v>
      </c>
      <c r="E338" s="25" t="s">
        <v>88</v>
      </c>
      <c r="F338" s="25" t="s">
        <v>88</v>
      </c>
      <c r="G338" s="26" t="s">
        <v>1421</v>
      </c>
      <c r="H338" s="27">
        <v>0</v>
      </c>
      <c r="I338" t="s">
        <v>1422</v>
      </c>
      <c r="J338" t="s">
        <v>1423</v>
      </c>
    </row>
    <row r="339" spans="1:10">
      <c r="A339" s="25" t="s">
        <v>1424</v>
      </c>
      <c r="B339" s="25" t="s">
        <v>91</v>
      </c>
      <c r="C339" s="25" t="s">
        <v>145</v>
      </c>
      <c r="D339" s="25" t="s">
        <v>1272</v>
      </c>
      <c r="E339" s="25" t="s">
        <v>88</v>
      </c>
      <c r="F339" s="25" t="s">
        <v>88</v>
      </c>
      <c r="G339" s="26" t="s">
        <v>1425</v>
      </c>
      <c r="H339" s="27">
        <v>0</v>
      </c>
      <c r="I339" t="s">
        <v>1426</v>
      </c>
      <c r="J339" t="s">
        <v>1124</v>
      </c>
    </row>
    <row r="340" spans="1:10">
      <c r="A340" s="25" t="s">
        <v>1427</v>
      </c>
      <c r="B340" s="25" t="s">
        <v>91</v>
      </c>
      <c r="C340" s="25" t="s">
        <v>85</v>
      </c>
      <c r="D340" s="25" t="s">
        <v>1272</v>
      </c>
      <c r="E340" s="25" t="s">
        <v>88</v>
      </c>
      <c r="F340" s="25" t="s">
        <v>88</v>
      </c>
      <c r="G340" s="26" t="s">
        <v>1428</v>
      </c>
      <c r="H340" s="27">
        <v>0</v>
      </c>
      <c r="I340" t="s">
        <v>1429</v>
      </c>
      <c r="J340" t="s">
        <v>1430</v>
      </c>
    </row>
    <row r="341" spans="1:10">
      <c r="A341" s="25" t="s">
        <v>1431</v>
      </c>
      <c r="B341" s="25" t="s">
        <v>91</v>
      </c>
      <c r="C341" s="25" t="s">
        <v>85</v>
      </c>
      <c r="D341" s="25" t="s">
        <v>1272</v>
      </c>
      <c r="E341" s="25" t="s">
        <v>88</v>
      </c>
      <c r="F341" s="25" t="s">
        <v>88</v>
      </c>
      <c r="G341" s="26" t="s">
        <v>1432</v>
      </c>
      <c r="H341" s="27">
        <v>0</v>
      </c>
      <c r="I341" t="s">
        <v>1433</v>
      </c>
      <c r="J341" t="s">
        <v>258</v>
      </c>
    </row>
    <row r="342" spans="1:10">
      <c r="A342" s="25" t="s">
        <v>1434</v>
      </c>
      <c r="B342" s="25" t="s">
        <v>86</v>
      </c>
      <c r="C342" s="25" t="s">
        <v>85</v>
      </c>
      <c r="D342" s="25" t="s">
        <v>1272</v>
      </c>
      <c r="E342" s="25" t="s">
        <v>88</v>
      </c>
      <c r="F342" s="25" t="s">
        <v>88</v>
      </c>
      <c r="G342" s="26" t="s">
        <v>1435</v>
      </c>
      <c r="H342" s="27">
        <v>0</v>
      </c>
      <c r="I342" t="s">
        <v>1436</v>
      </c>
      <c r="J342" t="s">
        <v>1437</v>
      </c>
    </row>
    <row r="343" spans="1:10">
      <c r="A343" s="25" t="s">
        <v>1438</v>
      </c>
      <c r="B343" s="25" t="s">
        <v>86</v>
      </c>
      <c r="C343" s="25" t="s">
        <v>85</v>
      </c>
      <c r="D343" s="25" t="s">
        <v>1272</v>
      </c>
      <c r="E343" s="25" t="s">
        <v>88</v>
      </c>
      <c r="F343" s="25" t="s">
        <v>88</v>
      </c>
      <c r="G343" s="26" t="s">
        <v>1439</v>
      </c>
      <c r="H343" s="27">
        <v>0</v>
      </c>
      <c r="I343" t="s">
        <v>1440</v>
      </c>
      <c r="J343" t="s">
        <v>1441</v>
      </c>
    </row>
    <row r="344" spans="1:10">
      <c r="A344" s="25" t="s">
        <v>1442</v>
      </c>
      <c r="B344" s="25" t="s">
        <v>86</v>
      </c>
      <c r="C344" s="25" t="s">
        <v>85</v>
      </c>
      <c r="D344" s="25" t="s">
        <v>1272</v>
      </c>
      <c r="E344" s="25" t="s">
        <v>88</v>
      </c>
      <c r="F344" s="25" t="s">
        <v>88</v>
      </c>
      <c r="G344" s="26" t="s">
        <v>1443</v>
      </c>
      <c r="H344" s="27">
        <v>0</v>
      </c>
      <c r="I344" t="s">
        <v>1444</v>
      </c>
      <c r="J344" t="s">
        <v>1445</v>
      </c>
    </row>
    <row r="345" spans="1:10">
      <c r="A345" s="25" t="s">
        <v>1446</v>
      </c>
      <c r="B345" s="25" t="s">
        <v>91</v>
      </c>
      <c r="C345" s="25" t="s">
        <v>85</v>
      </c>
      <c r="D345" s="25" t="s">
        <v>1272</v>
      </c>
      <c r="E345" s="25" t="s">
        <v>88</v>
      </c>
      <c r="F345" s="25" t="s">
        <v>88</v>
      </c>
      <c r="G345" s="26" t="s">
        <v>1447</v>
      </c>
      <c r="H345" s="27">
        <v>0</v>
      </c>
      <c r="I345" t="s">
        <v>1448</v>
      </c>
      <c r="J345" t="s">
        <v>1449</v>
      </c>
    </row>
    <row r="346" spans="1:10">
      <c r="A346" s="25" t="s">
        <v>1450</v>
      </c>
      <c r="B346" s="25" t="s">
        <v>91</v>
      </c>
      <c r="C346" s="25" t="s">
        <v>85</v>
      </c>
      <c r="D346" s="25" t="s">
        <v>1272</v>
      </c>
      <c r="E346" s="25" t="s">
        <v>88</v>
      </c>
      <c r="F346" s="25" t="s">
        <v>88</v>
      </c>
      <c r="G346" s="26" t="s">
        <v>1451</v>
      </c>
      <c r="H346" s="27">
        <v>0</v>
      </c>
      <c r="I346" t="s">
        <v>1452</v>
      </c>
      <c r="J346" t="s">
        <v>1453</v>
      </c>
    </row>
    <row r="347" spans="1:10">
      <c r="A347" s="25" t="s">
        <v>1454</v>
      </c>
      <c r="B347" s="25" t="s">
        <v>86</v>
      </c>
      <c r="C347" s="25" t="s">
        <v>97</v>
      </c>
      <c r="D347" s="25" t="s">
        <v>1272</v>
      </c>
      <c r="E347" s="25" t="s">
        <v>88</v>
      </c>
      <c r="F347" s="25" t="s">
        <v>88</v>
      </c>
      <c r="G347" s="26" t="s">
        <v>1455</v>
      </c>
      <c r="H347" s="27">
        <v>0</v>
      </c>
      <c r="I347" t="s">
        <v>1456</v>
      </c>
      <c r="J347" t="s">
        <v>1457</v>
      </c>
    </row>
    <row r="348" spans="1:10">
      <c r="A348" s="25" t="s">
        <v>1458</v>
      </c>
      <c r="B348" s="25" t="s">
        <v>86</v>
      </c>
      <c r="C348" s="25" t="s">
        <v>123</v>
      </c>
      <c r="D348" s="25" t="s">
        <v>1272</v>
      </c>
      <c r="E348" s="25" t="s">
        <v>88</v>
      </c>
      <c r="F348" s="25" t="s">
        <v>88</v>
      </c>
      <c r="G348" s="26" t="s">
        <v>1459</v>
      </c>
      <c r="H348" s="27">
        <v>0</v>
      </c>
      <c r="I348" t="s">
        <v>1460</v>
      </c>
      <c r="J348" t="s">
        <v>1461</v>
      </c>
    </row>
    <row r="349" spans="1:10">
      <c r="A349" s="25" t="s">
        <v>1462</v>
      </c>
      <c r="B349" s="25" t="s">
        <v>86</v>
      </c>
      <c r="C349" s="25" t="s">
        <v>85</v>
      </c>
      <c r="D349" s="25" t="s">
        <v>1272</v>
      </c>
      <c r="E349" s="25" t="s">
        <v>88</v>
      </c>
      <c r="F349" s="25" t="s">
        <v>88</v>
      </c>
      <c r="G349" s="26" t="s">
        <v>1463</v>
      </c>
      <c r="H349" s="27">
        <v>0</v>
      </c>
      <c r="I349" t="s">
        <v>1464</v>
      </c>
      <c r="J349" t="s">
        <v>893</v>
      </c>
    </row>
    <row r="350" spans="1:10">
      <c r="A350" s="25" t="s">
        <v>1465</v>
      </c>
      <c r="B350" s="25" t="s">
        <v>91</v>
      </c>
      <c r="C350" s="25" t="s">
        <v>85</v>
      </c>
      <c r="D350" s="25" t="s">
        <v>1272</v>
      </c>
      <c r="E350" s="25" t="s">
        <v>88</v>
      </c>
      <c r="F350" s="25" t="s">
        <v>88</v>
      </c>
      <c r="G350" s="26" t="s">
        <v>1466</v>
      </c>
      <c r="H350" s="27">
        <v>0</v>
      </c>
      <c r="I350" t="s">
        <v>1467</v>
      </c>
      <c r="J350" t="s">
        <v>1468</v>
      </c>
    </row>
    <row r="351" spans="1:10">
      <c r="A351" s="25" t="s">
        <v>1469</v>
      </c>
      <c r="B351" s="25" t="s">
        <v>91</v>
      </c>
      <c r="C351" s="25" t="s">
        <v>85</v>
      </c>
      <c r="D351" s="25" t="s">
        <v>1272</v>
      </c>
      <c r="E351" s="25" t="s">
        <v>88</v>
      </c>
      <c r="F351" s="25" t="s">
        <v>88</v>
      </c>
      <c r="G351" s="26" t="s">
        <v>1470</v>
      </c>
      <c r="H351" s="27">
        <v>0</v>
      </c>
      <c r="I351" t="s">
        <v>1471</v>
      </c>
      <c r="J351" t="s">
        <v>1472</v>
      </c>
    </row>
    <row r="352" spans="1:10">
      <c r="A352" s="25" t="s">
        <v>1473</v>
      </c>
      <c r="B352" s="25" t="s">
        <v>86</v>
      </c>
      <c r="C352" s="25" t="s">
        <v>85</v>
      </c>
      <c r="D352" s="25" t="s">
        <v>1272</v>
      </c>
      <c r="E352" s="25" t="s">
        <v>88</v>
      </c>
      <c r="F352" s="25" t="s">
        <v>88</v>
      </c>
      <c r="G352" s="26" t="s">
        <v>1474</v>
      </c>
      <c r="H352" s="27">
        <v>0</v>
      </c>
      <c r="I352" t="s">
        <v>1475</v>
      </c>
      <c r="J352" t="s">
        <v>1476</v>
      </c>
    </row>
    <row r="353" spans="1:10">
      <c r="A353" s="25" t="s">
        <v>1477</v>
      </c>
      <c r="B353" s="25" t="s">
        <v>91</v>
      </c>
      <c r="C353" s="25" t="s">
        <v>85</v>
      </c>
      <c r="D353" s="25" t="s">
        <v>1272</v>
      </c>
      <c r="E353" s="25" t="s">
        <v>88</v>
      </c>
      <c r="F353" s="25" t="s">
        <v>88</v>
      </c>
      <c r="G353" s="26" t="s">
        <v>1478</v>
      </c>
      <c r="H353" s="27">
        <v>0</v>
      </c>
      <c r="I353" t="s">
        <v>1479</v>
      </c>
      <c r="J353" t="s">
        <v>1480</v>
      </c>
    </row>
    <row r="354" spans="1:10">
      <c r="A354" s="25" t="s">
        <v>1481</v>
      </c>
      <c r="B354" s="25" t="s">
        <v>86</v>
      </c>
      <c r="C354" s="25" t="s">
        <v>85</v>
      </c>
      <c r="D354" s="25" t="s">
        <v>1272</v>
      </c>
      <c r="E354" s="25" t="s">
        <v>88</v>
      </c>
      <c r="F354" s="25" t="s">
        <v>88</v>
      </c>
      <c r="G354" s="26" t="s">
        <v>1482</v>
      </c>
      <c r="H354" s="27">
        <v>0</v>
      </c>
      <c r="I354" t="s">
        <v>1483</v>
      </c>
      <c r="J354" t="s">
        <v>1484</v>
      </c>
    </row>
    <row r="355" spans="1:10">
      <c r="A355" s="25" t="s">
        <v>1485</v>
      </c>
      <c r="B355" s="25" t="s">
        <v>86</v>
      </c>
      <c r="C355" s="25" t="s">
        <v>97</v>
      </c>
      <c r="D355" s="25" t="s">
        <v>1272</v>
      </c>
      <c r="E355" s="25" t="s">
        <v>88</v>
      </c>
      <c r="F355" s="25" t="s">
        <v>88</v>
      </c>
      <c r="G355" s="26" t="s">
        <v>1486</v>
      </c>
      <c r="H355" s="27">
        <v>0</v>
      </c>
      <c r="I355" t="s">
        <v>1487</v>
      </c>
      <c r="J355" t="s">
        <v>1488</v>
      </c>
    </row>
    <row r="356" spans="1:10">
      <c r="A356" s="25" t="s">
        <v>1489</v>
      </c>
      <c r="B356" s="25" t="s">
        <v>91</v>
      </c>
      <c r="C356" s="25" t="s">
        <v>85</v>
      </c>
      <c r="D356" s="25" t="s">
        <v>1272</v>
      </c>
      <c r="E356" s="25" t="s">
        <v>88</v>
      </c>
      <c r="F356" s="25" t="s">
        <v>88</v>
      </c>
      <c r="G356" s="26" t="s">
        <v>1490</v>
      </c>
      <c r="H356" s="27">
        <v>0</v>
      </c>
      <c r="I356" t="s">
        <v>1491</v>
      </c>
      <c r="J356" t="s">
        <v>1492</v>
      </c>
    </row>
    <row r="357" spans="1:10">
      <c r="A357" s="25" t="s">
        <v>1493</v>
      </c>
      <c r="B357" s="25" t="s">
        <v>86</v>
      </c>
      <c r="C357" s="25" t="s">
        <v>85</v>
      </c>
      <c r="D357" s="25" t="s">
        <v>1272</v>
      </c>
      <c r="E357" s="25" t="s">
        <v>88</v>
      </c>
      <c r="F357" s="25" t="s">
        <v>88</v>
      </c>
      <c r="G357" s="26" t="s">
        <v>1494</v>
      </c>
      <c r="H357" s="27">
        <v>0</v>
      </c>
      <c r="I357" t="s">
        <v>1495</v>
      </c>
      <c r="J357" t="s">
        <v>1496</v>
      </c>
    </row>
    <row r="358" spans="1:10">
      <c r="A358" s="25" t="s">
        <v>1497</v>
      </c>
      <c r="B358" s="25" t="s">
        <v>86</v>
      </c>
      <c r="C358" s="25" t="s">
        <v>85</v>
      </c>
      <c r="D358" s="25" t="s">
        <v>1272</v>
      </c>
      <c r="E358" s="25" t="s">
        <v>88</v>
      </c>
      <c r="F358" s="25" t="s">
        <v>88</v>
      </c>
      <c r="G358" s="26" t="s">
        <v>1498</v>
      </c>
      <c r="H358" s="27">
        <v>0</v>
      </c>
      <c r="I358" t="s">
        <v>1499</v>
      </c>
      <c r="J358" t="s">
        <v>1500</v>
      </c>
    </row>
    <row r="359" spans="1:10">
      <c r="A359" s="25" t="s">
        <v>1501</v>
      </c>
      <c r="B359" s="25" t="s">
        <v>86</v>
      </c>
      <c r="C359" s="25" t="s">
        <v>97</v>
      </c>
      <c r="D359" s="25" t="s">
        <v>1272</v>
      </c>
      <c r="E359" s="25" t="s">
        <v>88</v>
      </c>
      <c r="F359" s="25" t="s">
        <v>88</v>
      </c>
      <c r="G359" s="26" t="s">
        <v>1502</v>
      </c>
      <c r="H359" s="27">
        <v>0</v>
      </c>
      <c r="I359" t="s">
        <v>1503</v>
      </c>
      <c r="J359" t="s">
        <v>1030</v>
      </c>
    </row>
    <row r="360" spans="1:10">
      <c r="A360" s="25" t="s">
        <v>1287</v>
      </c>
      <c r="B360" s="25" t="s">
        <v>86</v>
      </c>
      <c r="C360" s="25" t="s">
        <v>85</v>
      </c>
      <c r="D360" s="25" t="s">
        <v>1272</v>
      </c>
      <c r="E360" s="25" t="s">
        <v>88</v>
      </c>
      <c r="F360" s="25" t="s">
        <v>88</v>
      </c>
      <c r="G360" s="26" t="s">
        <v>1504</v>
      </c>
      <c r="H360" s="27">
        <v>0</v>
      </c>
      <c r="I360" t="s">
        <v>1505</v>
      </c>
      <c r="J360" t="s">
        <v>1506</v>
      </c>
    </row>
    <row r="361" spans="1:10">
      <c r="A361" s="25" t="s">
        <v>1257</v>
      </c>
      <c r="B361" s="25" t="s">
        <v>86</v>
      </c>
      <c r="C361" s="25" t="s">
        <v>123</v>
      </c>
      <c r="D361" s="25" t="s">
        <v>1272</v>
      </c>
      <c r="E361" s="25" t="s">
        <v>88</v>
      </c>
      <c r="F361" s="25" t="s">
        <v>88</v>
      </c>
      <c r="G361" s="26" t="s">
        <v>1507</v>
      </c>
      <c r="H361" s="27">
        <v>0</v>
      </c>
      <c r="I361" t="s">
        <v>1508</v>
      </c>
      <c r="J361" t="s">
        <v>1509</v>
      </c>
    </row>
    <row r="362" spans="1:10">
      <c r="A362" s="25" t="s">
        <v>1510</v>
      </c>
      <c r="B362" s="25" t="s">
        <v>91</v>
      </c>
      <c r="C362" s="25" t="s">
        <v>85</v>
      </c>
      <c r="D362" s="25" t="s">
        <v>1272</v>
      </c>
      <c r="E362" s="25" t="s">
        <v>88</v>
      </c>
      <c r="F362" s="25" t="s">
        <v>88</v>
      </c>
      <c r="G362" s="26" t="s">
        <v>1511</v>
      </c>
      <c r="H362" s="27">
        <v>0</v>
      </c>
      <c r="I362" t="s">
        <v>1512</v>
      </c>
      <c r="J362" t="s">
        <v>1513</v>
      </c>
    </row>
    <row r="363" spans="1:10">
      <c r="A363" s="25" t="s">
        <v>484</v>
      </c>
      <c r="B363" s="25" t="s">
        <v>91</v>
      </c>
      <c r="C363" s="25" t="s">
        <v>97</v>
      </c>
      <c r="D363" s="25" t="s">
        <v>1272</v>
      </c>
      <c r="E363" s="25" t="s">
        <v>88</v>
      </c>
      <c r="F363" s="25" t="s">
        <v>88</v>
      </c>
      <c r="G363" s="26" t="s">
        <v>1514</v>
      </c>
      <c r="H363" s="27">
        <v>0</v>
      </c>
      <c r="I363" t="s">
        <v>1515</v>
      </c>
      <c r="J363" t="s">
        <v>1516</v>
      </c>
    </row>
    <row r="364" spans="1:10">
      <c r="A364" s="25" t="s">
        <v>1517</v>
      </c>
      <c r="B364" s="25" t="s">
        <v>86</v>
      </c>
      <c r="C364" s="25" t="s">
        <v>85</v>
      </c>
      <c r="D364" s="25" t="s">
        <v>1272</v>
      </c>
      <c r="E364" s="25" t="s">
        <v>88</v>
      </c>
      <c r="F364" s="25" t="s">
        <v>88</v>
      </c>
      <c r="G364" s="26" t="s">
        <v>1518</v>
      </c>
      <c r="H364" s="27">
        <v>0</v>
      </c>
      <c r="I364" t="s">
        <v>1519</v>
      </c>
      <c r="J364" t="s">
        <v>1520</v>
      </c>
    </row>
    <row r="365" spans="1:10">
      <c r="A365" s="25" t="s">
        <v>720</v>
      </c>
      <c r="B365" s="25" t="s">
        <v>91</v>
      </c>
      <c r="C365" s="25" t="s">
        <v>85</v>
      </c>
      <c r="D365" s="25" t="s">
        <v>1272</v>
      </c>
      <c r="E365" s="25" t="s">
        <v>88</v>
      </c>
      <c r="F365" s="25" t="s">
        <v>88</v>
      </c>
      <c r="G365" s="26" t="s">
        <v>1521</v>
      </c>
      <c r="H365" s="27">
        <v>0</v>
      </c>
      <c r="I365" t="s">
        <v>1522</v>
      </c>
      <c r="J365" t="s">
        <v>1523</v>
      </c>
    </row>
    <row r="366" spans="1:10">
      <c r="A366" s="25" t="s">
        <v>1524</v>
      </c>
      <c r="B366" s="25" t="s">
        <v>86</v>
      </c>
      <c r="C366" s="25" t="s">
        <v>85</v>
      </c>
      <c r="D366" s="25" t="s">
        <v>1272</v>
      </c>
      <c r="E366" s="25" t="s">
        <v>88</v>
      </c>
      <c r="F366" s="25" t="s">
        <v>88</v>
      </c>
      <c r="G366" s="26" t="s">
        <v>1525</v>
      </c>
      <c r="H366" s="27">
        <v>0</v>
      </c>
      <c r="I366" t="s">
        <v>1526</v>
      </c>
      <c r="J366" t="s">
        <v>1527</v>
      </c>
    </row>
    <row r="367" spans="1:10">
      <c r="A367" s="25" t="s">
        <v>1528</v>
      </c>
      <c r="B367" s="25" t="s">
        <v>91</v>
      </c>
      <c r="C367" s="25" t="s">
        <v>85</v>
      </c>
      <c r="D367" s="25" t="s">
        <v>1272</v>
      </c>
      <c r="E367" s="25" t="s">
        <v>88</v>
      </c>
      <c r="F367" s="25" t="s">
        <v>88</v>
      </c>
      <c r="G367" s="26" t="s">
        <v>1529</v>
      </c>
      <c r="H367" s="27">
        <v>0</v>
      </c>
      <c r="I367" t="s">
        <v>1530</v>
      </c>
      <c r="J367" t="s">
        <v>1531</v>
      </c>
    </row>
    <row r="368" spans="1:10">
      <c r="A368" s="25" t="s">
        <v>1532</v>
      </c>
      <c r="B368" s="25" t="s">
        <v>91</v>
      </c>
      <c r="C368" s="25" t="s">
        <v>85</v>
      </c>
      <c r="D368" s="25" t="s">
        <v>1272</v>
      </c>
      <c r="E368" s="25" t="s">
        <v>88</v>
      </c>
      <c r="F368" s="25" t="s">
        <v>88</v>
      </c>
      <c r="G368" s="26" t="s">
        <v>1533</v>
      </c>
      <c r="H368" s="27">
        <v>0</v>
      </c>
      <c r="I368" t="s">
        <v>1534</v>
      </c>
      <c r="J368" t="s">
        <v>1535</v>
      </c>
    </row>
    <row r="369" spans="1:10">
      <c r="A369" s="25" t="s">
        <v>1121</v>
      </c>
      <c r="B369" s="25" t="s">
        <v>86</v>
      </c>
      <c r="C369" s="25" t="s">
        <v>85</v>
      </c>
      <c r="D369" s="25" t="s">
        <v>1272</v>
      </c>
      <c r="E369" s="25" t="s">
        <v>88</v>
      </c>
      <c r="F369" s="25" t="s">
        <v>88</v>
      </c>
      <c r="G369" s="26" t="s">
        <v>1536</v>
      </c>
      <c r="H369" s="27">
        <v>0</v>
      </c>
      <c r="I369" t="s">
        <v>1537</v>
      </c>
      <c r="J369" t="s">
        <v>1538</v>
      </c>
    </row>
    <row r="370" spans="1:10">
      <c r="A370" s="25" t="s">
        <v>1539</v>
      </c>
      <c r="B370" s="25" t="s">
        <v>91</v>
      </c>
      <c r="C370" s="25" t="s">
        <v>85</v>
      </c>
      <c r="D370" s="25" t="s">
        <v>1272</v>
      </c>
      <c r="E370" s="25" t="s">
        <v>88</v>
      </c>
      <c r="F370" s="25" t="s">
        <v>88</v>
      </c>
      <c r="G370" s="26" t="s">
        <v>1540</v>
      </c>
      <c r="H370" s="27">
        <v>0</v>
      </c>
      <c r="I370" t="s">
        <v>1541</v>
      </c>
      <c r="J370" t="s">
        <v>1405</v>
      </c>
    </row>
    <row r="371" spans="1:10">
      <c r="A371" s="25" t="s">
        <v>1542</v>
      </c>
      <c r="B371" s="25" t="s">
        <v>91</v>
      </c>
      <c r="C371" s="25" t="s">
        <v>97</v>
      </c>
      <c r="D371" s="25" t="s">
        <v>1272</v>
      </c>
      <c r="E371" s="25" t="s">
        <v>88</v>
      </c>
      <c r="F371" s="25" t="s">
        <v>88</v>
      </c>
      <c r="G371" s="26" t="s">
        <v>1543</v>
      </c>
      <c r="H371" s="27">
        <v>0</v>
      </c>
      <c r="I371" t="s">
        <v>1544</v>
      </c>
      <c r="J371" t="s">
        <v>1545</v>
      </c>
    </row>
    <row r="372" spans="1:10">
      <c r="A372" s="25" t="s">
        <v>1546</v>
      </c>
      <c r="B372" s="25" t="s">
        <v>91</v>
      </c>
      <c r="C372" s="25" t="s">
        <v>85</v>
      </c>
      <c r="D372" s="25" t="s">
        <v>1272</v>
      </c>
      <c r="E372" s="25" t="s">
        <v>88</v>
      </c>
      <c r="F372" s="25" t="s">
        <v>88</v>
      </c>
      <c r="G372" s="26" t="s">
        <v>1547</v>
      </c>
      <c r="H372" s="27">
        <v>0</v>
      </c>
      <c r="I372" t="s">
        <v>1548</v>
      </c>
      <c r="J372" t="s">
        <v>1549</v>
      </c>
    </row>
    <row r="373" spans="1:10">
      <c r="A373" s="25" t="s">
        <v>1550</v>
      </c>
      <c r="B373" s="25" t="s">
        <v>86</v>
      </c>
      <c r="C373" s="25" t="s">
        <v>123</v>
      </c>
      <c r="D373" s="25" t="s">
        <v>1272</v>
      </c>
      <c r="E373" s="25" t="s">
        <v>88</v>
      </c>
      <c r="F373" s="25" t="s">
        <v>88</v>
      </c>
      <c r="G373" s="26" t="s">
        <v>1551</v>
      </c>
      <c r="H373" s="27">
        <v>0</v>
      </c>
      <c r="I373" t="s">
        <v>1552</v>
      </c>
      <c r="J373" t="s">
        <v>1553</v>
      </c>
    </row>
    <row r="374" spans="1:10">
      <c r="A374" s="25" t="s">
        <v>1554</v>
      </c>
      <c r="B374" s="25" t="s">
        <v>91</v>
      </c>
      <c r="C374" s="25" t="s">
        <v>85</v>
      </c>
      <c r="D374" s="25" t="s">
        <v>1272</v>
      </c>
      <c r="E374" s="25" t="s">
        <v>88</v>
      </c>
      <c r="F374" s="25" t="s">
        <v>88</v>
      </c>
      <c r="G374" s="26" t="s">
        <v>1555</v>
      </c>
      <c r="H374" s="27">
        <v>0</v>
      </c>
      <c r="I374" t="s">
        <v>1556</v>
      </c>
      <c r="J374" t="s">
        <v>1557</v>
      </c>
    </row>
    <row r="375" spans="1:10">
      <c r="A375" s="25" t="s">
        <v>1558</v>
      </c>
      <c r="B375" s="25" t="s">
        <v>91</v>
      </c>
      <c r="C375" s="25" t="s">
        <v>85</v>
      </c>
      <c r="D375" s="25" t="s">
        <v>1272</v>
      </c>
      <c r="E375" s="25" t="s">
        <v>88</v>
      </c>
      <c r="F375" s="25" t="s">
        <v>88</v>
      </c>
      <c r="G375" s="26" t="s">
        <v>1559</v>
      </c>
      <c r="H375" s="27">
        <v>0</v>
      </c>
      <c r="I375" t="s">
        <v>1560</v>
      </c>
      <c r="J375" t="s">
        <v>1561</v>
      </c>
    </row>
    <row r="376" spans="1:10">
      <c r="A376" s="25" t="s">
        <v>728</v>
      </c>
      <c r="B376" s="25" t="s">
        <v>91</v>
      </c>
      <c r="C376" s="25" t="s">
        <v>97</v>
      </c>
      <c r="D376" s="25" t="s">
        <v>1272</v>
      </c>
      <c r="E376" s="25" t="s">
        <v>88</v>
      </c>
      <c r="F376" s="25" t="s">
        <v>88</v>
      </c>
      <c r="G376" s="26" t="s">
        <v>1562</v>
      </c>
      <c r="H376" s="27">
        <v>0</v>
      </c>
      <c r="I376" t="s">
        <v>1563</v>
      </c>
      <c r="J376" t="s">
        <v>1564</v>
      </c>
    </row>
    <row r="377" spans="1:10">
      <c r="A377" s="25" t="s">
        <v>1565</v>
      </c>
      <c r="B377" s="25" t="s">
        <v>91</v>
      </c>
      <c r="C377" s="25" t="s">
        <v>85</v>
      </c>
      <c r="D377" s="25" t="s">
        <v>1272</v>
      </c>
      <c r="E377" s="25" t="s">
        <v>88</v>
      </c>
      <c r="F377" s="25" t="s">
        <v>88</v>
      </c>
      <c r="G377" s="26" t="s">
        <v>1566</v>
      </c>
      <c r="H377" s="27">
        <v>0</v>
      </c>
      <c r="I377" t="s">
        <v>1567</v>
      </c>
      <c r="J377" t="s">
        <v>1568</v>
      </c>
    </row>
    <row r="378" spans="1:10">
      <c r="A378" s="25" t="s">
        <v>1569</v>
      </c>
      <c r="B378" s="25" t="s">
        <v>91</v>
      </c>
      <c r="C378" s="25" t="s">
        <v>85</v>
      </c>
      <c r="D378" s="25" t="s">
        <v>1272</v>
      </c>
      <c r="E378" s="25" t="s">
        <v>88</v>
      </c>
      <c r="F378" s="25" t="s">
        <v>88</v>
      </c>
      <c r="G378" s="26" t="s">
        <v>1570</v>
      </c>
      <c r="H378" s="27">
        <v>0</v>
      </c>
      <c r="I378" t="s">
        <v>1571</v>
      </c>
      <c r="J378" t="s">
        <v>1572</v>
      </c>
    </row>
    <row r="379" spans="1:10">
      <c r="A379" s="25" t="s">
        <v>1573</v>
      </c>
      <c r="B379" s="25" t="s">
        <v>86</v>
      </c>
      <c r="C379" s="25" t="s">
        <v>85</v>
      </c>
      <c r="D379" s="25" t="s">
        <v>1272</v>
      </c>
      <c r="E379" s="25" t="s">
        <v>88</v>
      </c>
      <c r="F379" s="25" t="s">
        <v>88</v>
      </c>
      <c r="G379" s="26" t="s">
        <v>1574</v>
      </c>
      <c r="H379" s="27">
        <v>0</v>
      </c>
      <c r="I379" t="s">
        <v>1575</v>
      </c>
      <c r="J379" t="s">
        <v>1576</v>
      </c>
    </row>
    <row r="380" spans="1:10">
      <c r="A380" s="25" t="s">
        <v>1577</v>
      </c>
      <c r="B380" s="25" t="s">
        <v>86</v>
      </c>
      <c r="C380" s="25" t="s">
        <v>85</v>
      </c>
      <c r="D380" s="25" t="s">
        <v>1272</v>
      </c>
      <c r="E380" s="25" t="s">
        <v>88</v>
      </c>
      <c r="F380" s="25" t="s">
        <v>88</v>
      </c>
      <c r="G380" s="26" t="s">
        <v>1578</v>
      </c>
      <c r="H380" s="27">
        <v>0</v>
      </c>
      <c r="I380" t="s">
        <v>1579</v>
      </c>
      <c r="J380" t="s">
        <v>1580</v>
      </c>
    </row>
    <row r="381" spans="1:10">
      <c r="A381" s="25" t="s">
        <v>277</v>
      </c>
      <c r="B381" s="25" t="s">
        <v>91</v>
      </c>
      <c r="C381" s="25" t="s">
        <v>85</v>
      </c>
      <c r="D381" s="25" t="s">
        <v>1272</v>
      </c>
      <c r="E381" s="25" t="s">
        <v>88</v>
      </c>
      <c r="F381" s="25" t="s">
        <v>88</v>
      </c>
      <c r="G381" s="26" t="s">
        <v>1581</v>
      </c>
      <c r="H381" s="27">
        <v>0</v>
      </c>
      <c r="I381" t="s">
        <v>1582</v>
      </c>
      <c r="J381" t="s">
        <v>1583</v>
      </c>
    </row>
    <row r="382" spans="1:10">
      <c r="A382" s="25" t="s">
        <v>1584</v>
      </c>
      <c r="B382" s="25" t="s">
        <v>91</v>
      </c>
      <c r="C382" s="25" t="s">
        <v>85</v>
      </c>
      <c r="D382" s="25" t="s">
        <v>1272</v>
      </c>
      <c r="E382" s="25" t="s">
        <v>88</v>
      </c>
      <c r="F382" s="25" t="s">
        <v>88</v>
      </c>
      <c r="G382" s="26" t="s">
        <v>1585</v>
      </c>
      <c r="H382" s="27">
        <v>0</v>
      </c>
      <c r="I382" t="s">
        <v>1586</v>
      </c>
      <c r="J382" t="s">
        <v>1587</v>
      </c>
    </row>
    <row r="383" spans="1:10">
      <c r="A383" s="25" t="s">
        <v>1588</v>
      </c>
      <c r="B383" s="25" t="s">
        <v>86</v>
      </c>
      <c r="C383" s="25" t="s">
        <v>85</v>
      </c>
      <c r="D383" s="25" t="s">
        <v>1272</v>
      </c>
      <c r="E383" s="25" t="s">
        <v>88</v>
      </c>
      <c r="F383" s="25" t="s">
        <v>88</v>
      </c>
      <c r="G383" s="26" t="s">
        <v>1589</v>
      </c>
      <c r="H383" s="27">
        <v>0</v>
      </c>
      <c r="I383" t="s">
        <v>1590</v>
      </c>
      <c r="J383" t="s">
        <v>1591</v>
      </c>
    </row>
    <row r="384" spans="1:10">
      <c r="A384" s="25" t="s">
        <v>910</v>
      </c>
      <c r="B384" s="25" t="s">
        <v>86</v>
      </c>
      <c r="C384" s="25" t="s">
        <v>123</v>
      </c>
      <c r="D384" s="25" t="s">
        <v>1272</v>
      </c>
      <c r="E384" s="25" t="s">
        <v>88</v>
      </c>
      <c r="F384" s="25" t="s">
        <v>88</v>
      </c>
      <c r="G384" s="26" t="s">
        <v>1592</v>
      </c>
      <c r="H384" s="27">
        <v>0</v>
      </c>
      <c r="I384" t="s">
        <v>1593</v>
      </c>
      <c r="J384" t="s">
        <v>1594</v>
      </c>
    </row>
    <row r="385" spans="1:10">
      <c r="A385" s="25" t="s">
        <v>153</v>
      </c>
      <c r="B385" s="25" t="s">
        <v>91</v>
      </c>
      <c r="C385" s="25" t="s">
        <v>85</v>
      </c>
      <c r="D385" s="25" t="s">
        <v>1272</v>
      </c>
      <c r="E385" s="25" t="s">
        <v>88</v>
      </c>
      <c r="F385" s="25" t="s">
        <v>88</v>
      </c>
      <c r="G385" s="26" t="s">
        <v>1595</v>
      </c>
      <c r="H385" s="27">
        <v>0</v>
      </c>
      <c r="I385" t="s">
        <v>1596</v>
      </c>
      <c r="J385" t="s">
        <v>1597</v>
      </c>
    </row>
    <row r="386" spans="1:10">
      <c r="A386" s="25" t="s">
        <v>1598</v>
      </c>
      <c r="B386" s="25" t="s">
        <v>91</v>
      </c>
      <c r="C386" s="25" t="s">
        <v>85</v>
      </c>
      <c r="D386" s="25" t="s">
        <v>1272</v>
      </c>
      <c r="E386" s="25" t="s">
        <v>88</v>
      </c>
      <c r="F386" s="25" t="s">
        <v>88</v>
      </c>
      <c r="G386" s="26" t="s">
        <v>1599</v>
      </c>
      <c r="H386" s="27">
        <v>0</v>
      </c>
      <c r="I386" t="s">
        <v>1600</v>
      </c>
      <c r="J386" t="s">
        <v>371</v>
      </c>
    </row>
    <row r="387" spans="1:10">
      <c r="A387" s="25" t="s">
        <v>1601</v>
      </c>
      <c r="B387" s="25" t="s">
        <v>86</v>
      </c>
      <c r="C387" s="25" t="s">
        <v>85</v>
      </c>
      <c r="D387" s="25" t="s">
        <v>1272</v>
      </c>
      <c r="E387" s="25" t="s">
        <v>88</v>
      </c>
      <c r="F387" s="25" t="s">
        <v>88</v>
      </c>
      <c r="G387" s="26" t="s">
        <v>1602</v>
      </c>
      <c r="H387" s="27">
        <v>0</v>
      </c>
      <c r="I387" t="s">
        <v>1603</v>
      </c>
      <c r="J387" t="s">
        <v>1604</v>
      </c>
    </row>
    <row r="388" spans="1:10">
      <c r="A388" s="25" t="s">
        <v>1605</v>
      </c>
      <c r="B388" s="25" t="s">
        <v>91</v>
      </c>
      <c r="C388" s="25" t="s">
        <v>85</v>
      </c>
      <c r="D388" s="25" t="s">
        <v>1272</v>
      </c>
      <c r="E388" s="25" t="s">
        <v>88</v>
      </c>
      <c r="F388" s="25" t="s">
        <v>88</v>
      </c>
      <c r="G388" s="26" t="s">
        <v>1606</v>
      </c>
      <c r="H388" s="27">
        <v>0</v>
      </c>
      <c r="I388" t="s">
        <v>1607</v>
      </c>
      <c r="J388" t="s">
        <v>1608</v>
      </c>
    </row>
    <row r="389" spans="1:10">
      <c r="A389" s="25" t="s">
        <v>1609</v>
      </c>
      <c r="B389" s="25" t="s">
        <v>91</v>
      </c>
      <c r="C389" s="25" t="s">
        <v>85</v>
      </c>
      <c r="D389" s="25" t="s">
        <v>1272</v>
      </c>
      <c r="E389" s="25" t="s">
        <v>88</v>
      </c>
      <c r="F389" s="25" t="s">
        <v>88</v>
      </c>
      <c r="G389" s="26" t="s">
        <v>1610</v>
      </c>
      <c r="H389" s="27">
        <v>0</v>
      </c>
      <c r="I389" t="s">
        <v>1611</v>
      </c>
      <c r="J389" t="s">
        <v>1612</v>
      </c>
    </row>
    <row r="390" spans="1:10">
      <c r="A390" s="25" t="s">
        <v>1613</v>
      </c>
      <c r="B390" s="25" t="s">
        <v>86</v>
      </c>
      <c r="C390" s="25" t="s">
        <v>85</v>
      </c>
      <c r="D390" s="25" t="s">
        <v>1272</v>
      </c>
      <c r="E390" s="25" t="s">
        <v>88</v>
      </c>
      <c r="F390" s="25" t="s">
        <v>88</v>
      </c>
      <c r="G390" s="26" t="s">
        <v>1614</v>
      </c>
      <c r="H390" s="27">
        <v>0</v>
      </c>
      <c r="I390" t="s">
        <v>1615</v>
      </c>
      <c r="J390" t="s">
        <v>1616</v>
      </c>
    </row>
    <row r="391" spans="1:10">
      <c r="A391" s="25" t="s">
        <v>1617</v>
      </c>
      <c r="B391" s="25" t="s">
        <v>86</v>
      </c>
      <c r="C391" s="25" t="s">
        <v>85</v>
      </c>
      <c r="D391" s="25" t="s">
        <v>1272</v>
      </c>
      <c r="E391" s="25" t="s">
        <v>88</v>
      </c>
      <c r="F391" s="25" t="s">
        <v>88</v>
      </c>
      <c r="G391" s="26" t="s">
        <v>1618</v>
      </c>
      <c r="H391" s="27">
        <v>0</v>
      </c>
      <c r="I391" t="s">
        <v>1619</v>
      </c>
      <c r="J391" t="s">
        <v>1620</v>
      </c>
    </row>
    <row r="392" spans="1:10">
      <c r="A392" s="25" t="s">
        <v>1517</v>
      </c>
      <c r="B392" s="25" t="s">
        <v>86</v>
      </c>
      <c r="C392" s="25" t="s">
        <v>85</v>
      </c>
      <c r="D392" s="25" t="s">
        <v>1272</v>
      </c>
      <c r="E392" s="25" t="s">
        <v>88</v>
      </c>
      <c r="F392" s="25" t="s">
        <v>88</v>
      </c>
      <c r="G392" s="26" t="s">
        <v>1621</v>
      </c>
      <c r="H392" s="27">
        <v>0</v>
      </c>
      <c r="I392" t="s">
        <v>1622</v>
      </c>
      <c r="J392" t="s">
        <v>1290</v>
      </c>
    </row>
    <row r="393" spans="1:10">
      <c r="A393" s="25" t="s">
        <v>1623</v>
      </c>
      <c r="B393" s="25" t="s">
        <v>91</v>
      </c>
      <c r="C393" s="25" t="s">
        <v>85</v>
      </c>
      <c r="D393" s="25" t="s">
        <v>1272</v>
      </c>
      <c r="E393" s="25" t="s">
        <v>88</v>
      </c>
      <c r="F393" s="25" t="s">
        <v>88</v>
      </c>
      <c r="G393" s="26" t="s">
        <v>1624</v>
      </c>
      <c r="H393" s="27">
        <v>0</v>
      </c>
      <c r="I393" t="s">
        <v>1625</v>
      </c>
      <c r="J393" t="s">
        <v>1626</v>
      </c>
    </row>
    <row r="394" spans="1:10">
      <c r="A394" s="25" t="s">
        <v>1627</v>
      </c>
      <c r="B394" s="25" t="s">
        <v>86</v>
      </c>
      <c r="C394" s="25" t="s">
        <v>145</v>
      </c>
      <c r="D394" s="25" t="s">
        <v>1272</v>
      </c>
      <c r="E394" s="25" t="s">
        <v>88</v>
      </c>
      <c r="F394" s="25" t="s">
        <v>88</v>
      </c>
      <c r="G394" s="26" t="s">
        <v>1628</v>
      </c>
      <c r="H394" s="27">
        <v>0</v>
      </c>
      <c r="I394" t="s">
        <v>1629</v>
      </c>
      <c r="J394" t="s">
        <v>1630</v>
      </c>
    </row>
    <row r="395" spans="1:10">
      <c r="A395" s="25" t="s">
        <v>1631</v>
      </c>
      <c r="B395" s="25" t="s">
        <v>86</v>
      </c>
      <c r="C395" s="25" t="s">
        <v>85</v>
      </c>
      <c r="D395" s="25" t="s">
        <v>1272</v>
      </c>
      <c r="E395" s="25" t="s">
        <v>88</v>
      </c>
      <c r="F395" s="25" t="s">
        <v>88</v>
      </c>
      <c r="G395" s="26" t="s">
        <v>1632</v>
      </c>
      <c r="H395" s="27">
        <v>0</v>
      </c>
      <c r="I395" t="s">
        <v>1633</v>
      </c>
      <c r="J395" t="s">
        <v>1634</v>
      </c>
    </row>
    <row r="396" spans="1:10">
      <c r="A396" s="25" t="s">
        <v>1635</v>
      </c>
      <c r="B396" s="25" t="s">
        <v>86</v>
      </c>
      <c r="C396" s="25" t="s">
        <v>85</v>
      </c>
      <c r="D396" s="25" t="s">
        <v>1272</v>
      </c>
      <c r="E396" s="25" t="s">
        <v>88</v>
      </c>
      <c r="F396" s="25" t="s">
        <v>88</v>
      </c>
      <c r="G396" s="26" t="s">
        <v>1636</v>
      </c>
      <c r="H396" s="27">
        <v>0</v>
      </c>
      <c r="I396" t="s">
        <v>1637</v>
      </c>
      <c r="J396" t="s">
        <v>1638</v>
      </c>
    </row>
    <row r="397" spans="1:10">
      <c r="A397" s="25" t="s">
        <v>1442</v>
      </c>
      <c r="B397" s="25" t="s">
        <v>86</v>
      </c>
      <c r="C397" s="25" t="s">
        <v>85</v>
      </c>
      <c r="D397" s="25" t="s">
        <v>1272</v>
      </c>
      <c r="E397" s="25" t="s">
        <v>88</v>
      </c>
      <c r="F397" s="25" t="s">
        <v>88</v>
      </c>
      <c r="G397" s="26" t="s">
        <v>1639</v>
      </c>
      <c r="H397" s="27">
        <v>0</v>
      </c>
      <c r="I397" t="s">
        <v>1640</v>
      </c>
      <c r="J397" t="s">
        <v>1641</v>
      </c>
    </row>
    <row r="398" spans="1:10">
      <c r="A398" s="25" t="s">
        <v>1642</v>
      </c>
      <c r="B398" s="25" t="s">
        <v>91</v>
      </c>
      <c r="C398" s="25" t="s">
        <v>85</v>
      </c>
      <c r="D398" s="25" t="s">
        <v>1272</v>
      </c>
      <c r="E398" s="25" t="s">
        <v>88</v>
      </c>
      <c r="F398" s="25" t="s">
        <v>88</v>
      </c>
      <c r="G398" s="26" t="s">
        <v>1643</v>
      </c>
      <c r="H398" s="27">
        <v>0</v>
      </c>
      <c r="I398" t="s">
        <v>1644</v>
      </c>
      <c r="J398" t="s">
        <v>1645</v>
      </c>
    </row>
    <row r="399" spans="1:10">
      <c r="A399" s="25" t="s">
        <v>834</v>
      </c>
      <c r="B399" s="25" t="s">
        <v>86</v>
      </c>
      <c r="C399" s="25" t="s">
        <v>85</v>
      </c>
      <c r="D399" s="25" t="s">
        <v>1272</v>
      </c>
      <c r="E399" s="25" t="s">
        <v>88</v>
      </c>
      <c r="F399" s="25" t="s">
        <v>88</v>
      </c>
      <c r="G399" s="26" t="s">
        <v>1646</v>
      </c>
      <c r="H399" s="27">
        <v>0</v>
      </c>
      <c r="I399" t="s">
        <v>1647</v>
      </c>
      <c r="J399" t="s">
        <v>1648</v>
      </c>
    </row>
    <row r="400" spans="1:10">
      <c r="A400" s="25" t="s">
        <v>1649</v>
      </c>
      <c r="B400" s="25" t="s">
        <v>91</v>
      </c>
      <c r="C400" s="25" t="s">
        <v>85</v>
      </c>
      <c r="D400" s="25" t="s">
        <v>1272</v>
      </c>
      <c r="E400" s="25" t="s">
        <v>88</v>
      </c>
      <c r="F400" s="25" t="s">
        <v>88</v>
      </c>
      <c r="G400" s="26" t="s">
        <v>1650</v>
      </c>
      <c r="H400" s="27">
        <v>0</v>
      </c>
      <c r="I400" t="s">
        <v>1651</v>
      </c>
      <c r="J400" t="s">
        <v>1652</v>
      </c>
    </row>
    <row r="401" spans="1:10">
      <c r="A401" s="25" t="s">
        <v>776</v>
      </c>
      <c r="B401" s="25" t="s">
        <v>86</v>
      </c>
      <c r="C401" s="25" t="s">
        <v>85</v>
      </c>
      <c r="D401" s="25" t="s">
        <v>1272</v>
      </c>
      <c r="E401" s="25" t="s">
        <v>88</v>
      </c>
      <c r="F401" s="25" t="s">
        <v>88</v>
      </c>
      <c r="G401" s="26" t="s">
        <v>1653</v>
      </c>
      <c r="H401" s="27">
        <v>0</v>
      </c>
      <c r="I401" t="s">
        <v>1654</v>
      </c>
      <c r="J401" t="s">
        <v>1655</v>
      </c>
    </row>
    <row r="402" spans="1:10">
      <c r="A402" s="25" t="s">
        <v>1656</v>
      </c>
      <c r="B402" s="25" t="s">
        <v>91</v>
      </c>
      <c r="C402" s="25" t="s">
        <v>123</v>
      </c>
      <c r="D402" s="25" t="s">
        <v>1272</v>
      </c>
      <c r="E402" s="25" t="s">
        <v>88</v>
      </c>
      <c r="F402" s="25" t="s">
        <v>88</v>
      </c>
      <c r="G402" s="26" t="s">
        <v>1657</v>
      </c>
      <c r="H402" s="27">
        <v>0</v>
      </c>
      <c r="I402" t="s">
        <v>1658</v>
      </c>
      <c r="J402" t="s">
        <v>1659</v>
      </c>
    </row>
    <row r="403" spans="1:10">
      <c r="A403" s="25" t="s">
        <v>340</v>
      </c>
      <c r="B403" s="25" t="s">
        <v>86</v>
      </c>
      <c r="C403" s="25" t="s">
        <v>85</v>
      </c>
      <c r="D403" s="25" t="s">
        <v>1272</v>
      </c>
      <c r="E403" s="25" t="s">
        <v>88</v>
      </c>
      <c r="F403" s="25" t="s">
        <v>88</v>
      </c>
      <c r="G403" s="26" t="s">
        <v>1660</v>
      </c>
      <c r="H403" s="27">
        <v>0</v>
      </c>
      <c r="I403" t="s">
        <v>1661</v>
      </c>
      <c r="J403" t="s">
        <v>1662</v>
      </c>
    </row>
    <row r="404" spans="1:10">
      <c r="A404" s="25" t="s">
        <v>1145</v>
      </c>
      <c r="B404" s="25" t="s">
        <v>91</v>
      </c>
      <c r="C404" s="25" t="s">
        <v>85</v>
      </c>
      <c r="D404" s="25" t="s">
        <v>1272</v>
      </c>
      <c r="E404" s="25" t="s">
        <v>88</v>
      </c>
      <c r="F404" s="25" t="s">
        <v>88</v>
      </c>
      <c r="G404" s="26" t="s">
        <v>1663</v>
      </c>
      <c r="H404" s="27">
        <v>0</v>
      </c>
      <c r="I404" t="s">
        <v>1664</v>
      </c>
      <c r="J404" t="s">
        <v>1665</v>
      </c>
    </row>
    <row r="405" spans="1:10">
      <c r="A405" s="25" t="s">
        <v>1666</v>
      </c>
      <c r="B405" s="25" t="s">
        <v>86</v>
      </c>
      <c r="C405" s="25" t="s">
        <v>97</v>
      </c>
      <c r="D405" s="25" t="s">
        <v>1272</v>
      </c>
      <c r="E405" s="25" t="s">
        <v>88</v>
      </c>
      <c r="F405" s="25" t="s">
        <v>88</v>
      </c>
      <c r="G405" s="26" t="s">
        <v>1667</v>
      </c>
      <c r="H405" s="27">
        <v>0</v>
      </c>
      <c r="I405" t="s">
        <v>1668</v>
      </c>
      <c r="J405" t="s">
        <v>1669</v>
      </c>
    </row>
    <row r="406" spans="1:10">
      <c r="A406" s="25" t="s">
        <v>1670</v>
      </c>
      <c r="B406" s="25" t="s">
        <v>91</v>
      </c>
      <c r="C406" s="25" t="s">
        <v>85</v>
      </c>
      <c r="D406" s="25" t="s">
        <v>1272</v>
      </c>
      <c r="E406" s="25" t="s">
        <v>88</v>
      </c>
      <c r="F406" s="25" t="s">
        <v>88</v>
      </c>
      <c r="G406" s="26" t="s">
        <v>1671</v>
      </c>
      <c r="H406" s="27">
        <v>0</v>
      </c>
      <c r="I406" t="s">
        <v>1672</v>
      </c>
      <c r="J406" t="s">
        <v>1673</v>
      </c>
    </row>
    <row r="407" spans="1:10">
      <c r="A407" s="25" t="s">
        <v>153</v>
      </c>
      <c r="B407" s="25" t="s">
        <v>91</v>
      </c>
      <c r="C407" s="25" t="s">
        <v>85</v>
      </c>
      <c r="D407" s="25" t="s">
        <v>1272</v>
      </c>
      <c r="E407" s="25" t="s">
        <v>88</v>
      </c>
      <c r="F407" s="25" t="s">
        <v>88</v>
      </c>
      <c r="G407" s="26" t="s">
        <v>1674</v>
      </c>
      <c r="H407" s="27">
        <v>0</v>
      </c>
      <c r="I407" t="s">
        <v>1675</v>
      </c>
      <c r="J407" t="s">
        <v>1676</v>
      </c>
    </row>
    <row r="408" spans="1:10">
      <c r="A408" s="25" t="s">
        <v>1677</v>
      </c>
      <c r="B408" s="25" t="s">
        <v>86</v>
      </c>
      <c r="C408" s="25" t="s">
        <v>85</v>
      </c>
      <c r="D408" s="25" t="s">
        <v>1272</v>
      </c>
      <c r="E408" s="25" t="s">
        <v>88</v>
      </c>
      <c r="F408" s="25" t="s">
        <v>88</v>
      </c>
      <c r="G408" s="26" t="s">
        <v>1678</v>
      </c>
      <c r="H408" s="27">
        <v>0</v>
      </c>
      <c r="I408" t="s">
        <v>1679</v>
      </c>
      <c r="J408" t="s">
        <v>1680</v>
      </c>
    </row>
    <row r="409" spans="1:10">
      <c r="A409" s="25" t="s">
        <v>518</v>
      </c>
      <c r="B409" s="25" t="s">
        <v>86</v>
      </c>
      <c r="C409" s="25" t="s">
        <v>123</v>
      </c>
      <c r="D409" s="25" t="s">
        <v>1272</v>
      </c>
      <c r="E409" s="25" t="s">
        <v>88</v>
      </c>
      <c r="F409" s="25" t="s">
        <v>88</v>
      </c>
      <c r="G409" s="26" t="s">
        <v>1681</v>
      </c>
      <c r="H409" s="27">
        <v>0</v>
      </c>
      <c r="I409" t="s">
        <v>1682</v>
      </c>
      <c r="J409" t="s">
        <v>1683</v>
      </c>
    </row>
    <row r="410" spans="1:10">
      <c r="A410" s="25" t="s">
        <v>1684</v>
      </c>
      <c r="B410" s="25" t="s">
        <v>86</v>
      </c>
      <c r="C410" s="25" t="s">
        <v>85</v>
      </c>
      <c r="D410" s="25" t="s">
        <v>1272</v>
      </c>
      <c r="E410" s="25" t="s">
        <v>88</v>
      </c>
      <c r="F410" s="25" t="s">
        <v>88</v>
      </c>
      <c r="G410" s="26" t="s">
        <v>1685</v>
      </c>
      <c r="H410" s="27">
        <v>0</v>
      </c>
      <c r="I410" t="s">
        <v>1686</v>
      </c>
      <c r="J410" t="s">
        <v>1687</v>
      </c>
    </row>
    <row r="411" spans="1:10">
      <c r="A411" s="25" t="s">
        <v>1688</v>
      </c>
      <c r="B411" s="25" t="s">
        <v>86</v>
      </c>
      <c r="C411" s="25" t="s">
        <v>85</v>
      </c>
      <c r="D411" s="25" t="s">
        <v>1272</v>
      </c>
      <c r="E411" s="25" t="s">
        <v>88</v>
      </c>
      <c r="F411" s="25" t="s">
        <v>88</v>
      </c>
      <c r="G411" s="26" t="s">
        <v>1689</v>
      </c>
      <c r="H411" s="27">
        <v>0</v>
      </c>
      <c r="I411" t="s">
        <v>1690</v>
      </c>
      <c r="J411" t="s">
        <v>1691</v>
      </c>
    </row>
    <row r="412" spans="1:10">
      <c r="A412" s="25" t="s">
        <v>1692</v>
      </c>
      <c r="B412" s="25" t="s">
        <v>91</v>
      </c>
      <c r="C412" s="25" t="s">
        <v>85</v>
      </c>
      <c r="D412" s="25" t="s">
        <v>1272</v>
      </c>
      <c r="E412" s="25" t="s">
        <v>88</v>
      </c>
      <c r="F412" s="25" t="s">
        <v>88</v>
      </c>
      <c r="G412" s="26" t="s">
        <v>1693</v>
      </c>
      <c r="H412" s="27">
        <v>0</v>
      </c>
      <c r="I412" t="s">
        <v>1694</v>
      </c>
      <c r="J412" t="s">
        <v>1695</v>
      </c>
    </row>
    <row r="413" spans="1:10">
      <c r="A413" s="25" t="s">
        <v>384</v>
      </c>
      <c r="B413" s="25" t="s">
        <v>91</v>
      </c>
      <c r="C413" s="25" t="s">
        <v>85</v>
      </c>
      <c r="D413" s="25" t="s">
        <v>1272</v>
      </c>
      <c r="E413" s="25" t="s">
        <v>88</v>
      </c>
      <c r="F413" s="25" t="s">
        <v>88</v>
      </c>
      <c r="G413" s="26" t="s">
        <v>1696</v>
      </c>
      <c r="H413" s="27">
        <v>0</v>
      </c>
      <c r="I413" t="s">
        <v>1697</v>
      </c>
      <c r="J413" t="s">
        <v>1698</v>
      </c>
    </row>
    <row r="414" spans="1:10">
      <c r="A414" s="25" t="s">
        <v>1699</v>
      </c>
      <c r="B414" s="25" t="s">
        <v>86</v>
      </c>
      <c r="C414" s="25" t="s">
        <v>145</v>
      </c>
      <c r="D414" s="25" t="s">
        <v>1272</v>
      </c>
      <c r="E414" s="25" t="s">
        <v>88</v>
      </c>
      <c r="F414" s="25" t="s">
        <v>88</v>
      </c>
      <c r="G414" s="26" t="s">
        <v>1700</v>
      </c>
      <c r="H414" s="27">
        <v>0</v>
      </c>
      <c r="I414" t="s">
        <v>1701</v>
      </c>
      <c r="J414" t="s">
        <v>1702</v>
      </c>
    </row>
    <row r="415" spans="1:10">
      <c r="A415" s="25" t="s">
        <v>1703</v>
      </c>
      <c r="B415" s="25" t="s">
        <v>91</v>
      </c>
      <c r="C415" s="25" t="s">
        <v>145</v>
      </c>
      <c r="D415" s="25" t="s">
        <v>1272</v>
      </c>
      <c r="E415" s="25" t="s">
        <v>88</v>
      </c>
      <c r="F415" s="25" t="s">
        <v>88</v>
      </c>
      <c r="G415" s="26" t="s">
        <v>1704</v>
      </c>
      <c r="H415" s="27">
        <v>0</v>
      </c>
      <c r="I415" t="s">
        <v>1705</v>
      </c>
      <c r="J415" t="s">
        <v>1706</v>
      </c>
    </row>
    <row r="416" spans="1:10">
      <c r="A416" s="25" t="s">
        <v>1707</v>
      </c>
      <c r="B416" s="25" t="s">
        <v>86</v>
      </c>
      <c r="C416" s="25" t="s">
        <v>85</v>
      </c>
      <c r="D416" s="25" t="s">
        <v>1272</v>
      </c>
      <c r="E416" s="25" t="s">
        <v>88</v>
      </c>
      <c r="F416" s="25" t="s">
        <v>88</v>
      </c>
      <c r="G416" s="26" t="s">
        <v>1708</v>
      </c>
      <c r="H416" s="27">
        <v>0</v>
      </c>
      <c r="I416" t="s">
        <v>1709</v>
      </c>
      <c r="J416" t="s">
        <v>1710</v>
      </c>
    </row>
    <row r="417" spans="1:10">
      <c r="A417" s="25" t="s">
        <v>1711</v>
      </c>
      <c r="B417" s="25" t="s">
        <v>91</v>
      </c>
      <c r="C417" s="25" t="s">
        <v>85</v>
      </c>
      <c r="D417" s="25" t="s">
        <v>1272</v>
      </c>
      <c r="E417" s="25" t="s">
        <v>88</v>
      </c>
      <c r="F417" s="25" t="s">
        <v>88</v>
      </c>
      <c r="G417" s="26" t="s">
        <v>1712</v>
      </c>
      <c r="H417" s="27">
        <v>0</v>
      </c>
      <c r="I417" t="s">
        <v>1713</v>
      </c>
      <c r="J417" t="s">
        <v>1714</v>
      </c>
    </row>
    <row r="418" spans="1:10">
      <c r="A418" s="25" t="s">
        <v>1715</v>
      </c>
      <c r="B418" s="25" t="s">
        <v>86</v>
      </c>
      <c r="C418" s="25" t="s">
        <v>85</v>
      </c>
      <c r="D418" s="25" t="s">
        <v>1716</v>
      </c>
      <c r="E418" s="25" t="s">
        <v>88</v>
      </c>
      <c r="F418" s="25" t="s">
        <v>88</v>
      </c>
      <c r="G418" s="26" t="s">
        <v>1717</v>
      </c>
      <c r="H418" s="27">
        <v>0</v>
      </c>
      <c r="I418" t="s">
        <v>1718</v>
      </c>
      <c r="J418" t="s">
        <v>1659</v>
      </c>
    </row>
    <row r="419" spans="1:10">
      <c r="A419" s="25" t="s">
        <v>1719</v>
      </c>
      <c r="B419" s="25" t="s">
        <v>91</v>
      </c>
      <c r="C419" s="25" t="s">
        <v>85</v>
      </c>
      <c r="D419" s="25" t="s">
        <v>1716</v>
      </c>
      <c r="E419" s="25" t="s">
        <v>88</v>
      </c>
      <c r="F419" s="25" t="s">
        <v>88</v>
      </c>
      <c r="G419" s="26" t="s">
        <v>1720</v>
      </c>
      <c r="H419" s="27">
        <v>0</v>
      </c>
      <c r="I419" t="s">
        <v>1721</v>
      </c>
      <c r="J419" t="s">
        <v>1722</v>
      </c>
    </row>
    <row r="420" spans="1:10">
      <c r="A420" s="25" t="s">
        <v>1723</v>
      </c>
      <c r="B420" s="25" t="s">
        <v>91</v>
      </c>
      <c r="C420" s="25" t="s">
        <v>85</v>
      </c>
      <c r="D420" s="25" t="s">
        <v>1716</v>
      </c>
      <c r="E420" s="25" t="s">
        <v>88</v>
      </c>
      <c r="F420" s="25" t="s">
        <v>88</v>
      </c>
      <c r="G420" s="26" t="s">
        <v>1724</v>
      </c>
      <c r="H420" s="27">
        <v>0</v>
      </c>
      <c r="I420" t="s">
        <v>1725</v>
      </c>
      <c r="J420" t="s">
        <v>1726</v>
      </c>
    </row>
    <row r="421" spans="1:10">
      <c r="A421" s="25" t="s">
        <v>1727</v>
      </c>
      <c r="B421" s="25" t="s">
        <v>91</v>
      </c>
      <c r="C421" s="25" t="s">
        <v>97</v>
      </c>
      <c r="D421" s="25" t="s">
        <v>1716</v>
      </c>
      <c r="E421" s="25" t="s">
        <v>88</v>
      </c>
      <c r="F421" s="25" t="s">
        <v>88</v>
      </c>
      <c r="G421" s="26" t="s">
        <v>1728</v>
      </c>
      <c r="H421" s="27">
        <v>0</v>
      </c>
      <c r="I421" t="s">
        <v>1729</v>
      </c>
      <c r="J421" t="s">
        <v>1730</v>
      </c>
    </row>
    <row r="422" spans="1:10">
      <c r="A422" s="25" t="s">
        <v>1731</v>
      </c>
      <c r="B422" s="25" t="s">
        <v>86</v>
      </c>
      <c r="C422" s="25" t="s">
        <v>85</v>
      </c>
      <c r="D422" s="25" t="s">
        <v>1716</v>
      </c>
      <c r="E422" s="25" t="s">
        <v>88</v>
      </c>
      <c r="F422" s="25" t="s">
        <v>88</v>
      </c>
      <c r="G422" s="26" t="s">
        <v>1732</v>
      </c>
      <c r="H422" s="27">
        <v>0</v>
      </c>
      <c r="I422" t="s">
        <v>1733</v>
      </c>
      <c r="J422" t="s">
        <v>1734</v>
      </c>
    </row>
    <row r="423" spans="1:10">
      <c r="A423" s="25" t="s">
        <v>1601</v>
      </c>
      <c r="B423" s="25" t="s">
        <v>86</v>
      </c>
      <c r="C423" s="25" t="s">
        <v>85</v>
      </c>
      <c r="D423" s="25" t="s">
        <v>1716</v>
      </c>
      <c r="E423" s="25" t="s">
        <v>88</v>
      </c>
      <c r="F423" s="25" t="s">
        <v>88</v>
      </c>
      <c r="G423" s="26" t="s">
        <v>1735</v>
      </c>
      <c r="H423" s="27">
        <v>0</v>
      </c>
      <c r="I423" t="s">
        <v>1736</v>
      </c>
      <c r="J423" t="s">
        <v>1737</v>
      </c>
    </row>
    <row r="424" spans="1:10">
      <c r="A424" s="25" t="s">
        <v>1738</v>
      </c>
      <c r="B424" s="25" t="s">
        <v>91</v>
      </c>
      <c r="C424" s="25" t="s">
        <v>85</v>
      </c>
      <c r="D424" s="25" t="s">
        <v>1716</v>
      </c>
      <c r="E424" s="25" t="s">
        <v>88</v>
      </c>
      <c r="F424" s="25" t="s">
        <v>88</v>
      </c>
      <c r="G424" s="26" t="s">
        <v>1739</v>
      </c>
      <c r="H424" s="27">
        <v>0</v>
      </c>
      <c r="I424" t="s">
        <v>1740</v>
      </c>
      <c r="J424" t="s">
        <v>1741</v>
      </c>
    </row>
    <row r="425" spans="1:10">
      <c r="A425" s="25" t="s">
        <v>1742</v>
      </c>
      <c r="B425" s="25" t="s">
        <v>91</v>
      </c>
      <c r="C425" s="25" t="s">
        <v>85</v>
      </c>
      <c r="D425" s="25" t="s">
        <v>1716</v>
      </c>
      <c r="E425" s="25" t="s">
        <v>88</v>
      </c>
      <c r="F425" s="25" t="s">
        <v>88</v>
      </c>
      <c r="G425" s="26" t="s">
        <v>1743</v>
      </c>
      <c r="H425" s="27">
        <v>0</v>
      </c>
      <c r="I425" t="s">
        <v>1744</v>
      </c>
      <c r="J425" t="s">
        <v>1745</v>
      </c>
    </row>
    <row r="426" spans="1:10">
      <c r="A426" s="25" t="s">
        <v>1746</v>
      </c>
      <c r="B426" s="25" t="s">
        <v>86</v>
      </c>
      <c r="C426" s="25" t="s">
        <v>145</v>
      </c>
      <c r="D426" s="25" t="s">
        <v>1716</v>
      </c>
      <c r="E426" s="25" t="s">
        <v>88</v>
      </c>
      <c r="F426" s="25" t="s">
        <v>88</v>
      </c>
      <c r="G426" s="26" t="s">
        <v>1747</v>
      </c>
      <c r="H426" s="27">
        <v>0</v>
      </c>
      <c r="I426" t="s">
        <v>1748</v>
      </c>
      <c r="J426" t="s">
        <v>1749</v>
      </c>
    </row>
    <row r="427" spans="1:10">
      <c r="A427" s="25" t="s">
        <v>1750</v>
      </c>
      <c r="B427" s="25" t="s">
        <v>91</v>
      </c>
      <c r="C427" s="25" t="s">
        <v>85</v>
      </c>
      <c r="D427" s="25" t="s">
        <v>1716</v>
      </c>
      <c r="E427" s="25" t="s">
        <v>88</v>
      </c>
      <c r="F427" s="25" t="s">
        <v>88</v>
      </c>
      <c r="G427" s="26" t="s">
        <v>1751</v>
      </c>
      <c r="H427" s="27">
        <v>0</v>
      </c>
      <c r="I427" t="s">
        <v>1752</v>
      </c>
      <c r="J427" t="s">
        <v>1753</v>
      </c>
    </row>
    <row r="428" spans="1:10">
      <c r="A428" s="25" t="s">
        <v>251</v>
      </c>
      <c r="B428" s="25" t="s">
        <v>86</v>
      </c>
      <c r="C428" s="25" t="s">
        <v>85</v>
      </c>
      <c r="D428" s="25" t="s">
        <v>1716</v>
      </c>
      <c r="E428" s="25" t="s">
        <v>88</v>
      </c>
      <c r="F428" s="25" t="s">
        <v>88</v>
      </c>
      <c r="G428" s="26" t="s">
        <v>1754</v>
      </c>
      <c r="H428" s="27">
        <v>0</v>
      </c>
      <c r="I428" t="s">
        <v>1755</v>
      </c>
      <c r="J428" t="s">
        <v>1756</v>
      </c>
    </row>
    <row r="429" spans="1:10">
      <c r="A429" s="25" t="s">
        <v>1757</v>
      </c>
      <c r="B429" s="25" t="s">
        <v>86</v>
      </c>
      <c r="C429" s="25" t="s">
        <v>85</v>
      </c>
      <c r="D429" s="25" t="s">
        <v>1716</v>
      </c>
      <c r="E429" s="25" t="s">
        <v>88</v>
      </c>
      <c r="F429" s="25" t="s">
        <v>88</v>
      </c>
      <c r="G429" s="26" t="s">
        <v>1758</v>
      </c>
      <c r="H429" s="27">
        <v>0</v>
      </c>
      <c r="I429" t="s">
        <v>1759</v>
      </c>
      <c r="J429" t="s">
        <v>1760</v>
      </c>
    </row>
    <row r="430" spans="1:10">
      <c r="A430" s="25" t="s">
        <v>1761</v>
      </c>
      <c r="B430" s="25" t="s">
        <v>91</v>
      </c>
      <c r="C430" s="25" t="s">
        <v>123</v>
      </c>
      <c r="D430" s="25" t="s">
        <v>1716</v>
      </c>
      <c r="E430" s="25" t="s">
        <v>88</v>
      </c>
      <c r="F430" s="25" t="s">
        <v>88</v>
      </c>
      <c r="G430" s="26" t="s">
        <v>1762</v>
      </c>
      <c r="H430" s="27">
        <v>0</v>
      </c>
      <c r="I430" t="s">
        <v>1763</v>
      </c>
      <c r="J430" t="s">
        <v>1764</v>
      </c>
    </row>
    <row r="431" spans="1:10">
      <c r="A431" s="25" t="s">
        <v>1765</v>
      </c>
      <c r="B431" s="25" t="s">
        <v>86</v>
      </c>
      <c r="C431" s="25" t="s">
        <v>85</v>
      </c>
      <c r="D431" s="25" t="s">
        <v>1716</v>
      </c>
      <c r="E431" s="25" t="s">
        <v>88</v>
      </c>
      <c r="F431" s="25" t="s">
        <v>88</v>
      </c>
      <c r="G431" s="26" t="s">
        <v>1766</v>
      </c>
      <c r="H431" s="27">
        <v>0</v>
      </c>
      <c r="I431" t="s">
        <v>1767</v>
      </c>
      <c r="J431" t="s">
        <v>1768</v>
      </c>
    </row>
    <row r="432" spans="1:10">
      <c r="A432" s="25" t="s">
        <v>1769</v>
      </c>
      <c r="B432" s="25" t="s">
        <v>86</v>
      </c>
      <c r="C432" s="25" t="s">
        <v>123</v>
      </c>
      <c r="D432" s="25" t="s">
        <v>1716</v>
      </c>
      <c r="E432" s="25" t="s">
        <v>88</v>
      </c>
      <c r="F432" s="25" t="s">
        <v>88</v>
      </c>
      <c r="G432" s="26" t="s">
        <v>1770</v>
      </c>
      <c r="H432" s="27">
        <v>0</v>
      </c>
      <c r="I432" t="s">
        <v>1771</v>
      </c>
      <c r="J432" t="s">
        <v>1772</v>
      </c>
    </row>
    <row r="433" spans="1:10">
      <c r="A433" s="25" t="s">
        <v>1773</v>
      </c>
      <c r="B433" s="25" t="s">
        <v>86</v>
      </c>
      <c r="C433" s="25" t="s">
        <v>85</v>
      </c>
      <c r="D433" s="25" t="s">
        <v>1716</v>
      </c>
      <c r="E433" s="25" t="s">
        <v>88</v>
      </c>
      <c r="F433" s="25" t="s">
        <v>88</v>
      </c>
      <c r="G433" s="26" t="s">
        <v>1774</v>
      </c>
      <c r="H433" s="27">
        <v>0</v>
      </c>
      <c r="I433" t="s">
        <v>1775</v>
      </c>
      <c r="J433" t="s">
        <v>1776</v>
      </c>
    </row>
    <row r="434" spans="1:10">
      <c r="A434" s="25" t="s">
        <v>606</v>
      </c>
      <c r="B434" s="25" t="s">
        <v>91</v>
      </c>
      <c r="C434" s="25" t="s">
        <v>123</v>
      </c>
      <c r="D434" s="25" t="s">
        <v>1716</v>
      </c>
      <c r="E434" s="25" t="s">
        <v>88</v>
      </c>
      <c r="F434" s="25" t="s">
        <v>88</v>
      </c>
      <c r="G434" s="26" t="s">
        <v>1777</v>
      </c>
      <c r="H434" s="27">
        <v>0</v>
      </c>
      <c r="I434" t="s">
        <v>1778</v>
      </c>
      <c r="J434" t="s">
        <v>1401</v>
      </c>
    </row>
    <row r="435" spans="1:10">
      <c r="A435" s="25" t="s">
        <v>972</v>
      </c>
      <c r="B435" s="25" t="s">
        <v>91</v>
      </c>
      <c r="C435" s="25" t="s">
        <v>85</v>
      </c>
      <c r="D435" s="25" t="s">
        <v>1716</v>
      </c>
      <c r="E435" s="25" t="s">
        <v>88</v>
      </c>
      <c r="F435" s="25" t="s">
        <v>88</v>
      </c>
      <c r="G435" s="26" t="s">
        <v>1779</v>
      </c>
      <c r="H435" s="27">
        <v>0</v>
      </c>
      <c r="I435" t="s">
        <v>1780</v>
      </c>
      <c r="J435" t="s">
        <v>1781</v>
      </c>
    </row>
    <row r="436" spans="1:10">
      <c r="A436" s="25" t="s">
        <v>1577</v>
      </c>
      <c r="B436" s="25" t="s">
        <v>86</v>
      </c>
      <c r="C436" s="25" t="s">
        <v>85</v>
      </c>
      <c r="D436" s="25" t="s">
        <v>1716</v>
      </c>
      <c r="E436" s="25" t="s">
        <v>88</v>
      </c>
      <c r="F436" s="25" t="s">
        <v>88</v>
      </c>
      <c r="G436" s="26" t="s">
        <v>1782</v>
      </c>
      <c r="H436" s="27">
        <v>0</v>
      </c>
      <c r="I436" t="s">
        <v>1783</v>
      </c>
      <c r="J436" t="s">
        <v>1784</v>
      </c>
    </row>
    <row r="437" spans="1:10">
      <c r="A437" s="25" t="s">
        <v>1785</v>
      </c>
      <c r="B437" s="25" t="s">
        <v>91</v>
      </c>
      <c r="C437" s="25" t="s">
        <v>85</v>
      </c>
      <c r="D437" s="25" t="s">
        <v>1716</v>
      </c>
      <c r="E437" s="25" t="s">
        <v>88</v>
      </c>
      <c r="F437" s="25" t="s">
        <v>88</v>
      </c>
      <c r="G437" s="26" t="s">
        <v>1786</v>
      </c>
      <c r="H437" s="27">
        <v>0</v>
      </c>
      <c r="I437" t="s">
        <v>1787</v>
      </c>
      <c r="J437" t="s">
        <v>1788</v>
      </c>
    </row>
    <row r="438" spans="1:10">
      <c r="A438" s="25" t="s">
        <v>1789</v>
      </c>
      <c r="B438" s="25" t="s">
        <v>91</v>
      </c>
      <c r="C438" s="25" t="s">
        <v>123</v>
      </c>
      <c r="D438" s="25" t="s">
        <v>1716</v>
      </c>
      <c r="E438" s="25" t="s">
        <v>88</v>
      </c>
      <c r="F438" s="25" t="s">
        <v>88</v>
      </c>
      <c r="G438" s="26" t="s">
        <v>1790</v>
      </c>
      <c r="H438" s="27">
        <v>0</v>
      </c>
      <c r="I438" t="s">
        <v>1791</v>
      </c>
      <c r="J438" t="s">
        <v>1792</v>
      </c>
    </row>
    <row r="439" spans="1:10">
      <c r="A439" s="25" t="s">
        <v>1793</v>
      </c>
      <c r="B439" s="25" t="s">
        <v>91</v>
      </c>
      <c r="C439" s="25" t="s">
        <v>85</v>
      </c>
      <c r="D439" s="25" t="s">
        <v>1716</v>
      </c>
      <c r="E439" s="25" t="s">
        <v>88</v>
      </c>
      <c r="F439" s="25" t="s">
        <v>88</v>
      </c>
      <c r="G439" s="26" t="s">
        <v>1794</v>
      </c>
      <c r="H439" s="27">
        <v>0</v>
      </c>
      <c r="I439" t="s">
        <v>1795</v>
      </c>
      <c r="J439" t="s">
        <v>577</v>
      </c>
    </row>
    <row r="440" spans="1:10">
      <c r="A440" s="25" t="s">
        <v>1796</v>
      </c>
      <c r="B440" s="25" t="s">
        <v>86</v>
      </c>
      <c r="C440" s="25" t="s">
        <v>85</v>
      </c>
      <c r="D440" s="25" t="s">
        <v>1716</v>
      </c>
      <c r="E440" s="25" t="s">
        <v>88</v>
      </c>
      <c r="F440" s="25" t="s">
        <v>88</v>
      </c>
      <c r="G440" s="26" t="s">
        <v>1797</v>
      </c>
      <c r="H440" s="27">
        <v>0</v>
      </c>
      <c r="I440" t="s">
        <v>1798</v>
      </c>
      <c r="J440" t="s">
        <v>1799</v>
      </c>
    </row>
    <row r="441" spans="1:10">
      <c r="A441" s="25" t="s">
        <v>1577</v>
      </c>
      <c r="B441" s="25" t="s">
        <v>86</v>
      </c>
      <c r="C441" s="25" t="s">
        <v>85</v>
      </c>
      <c r="D441" s="25" t="s">
        <v>1716</v>
      </c>
      <c r="E441" s="25" t="s">
        <v>88</v>
      </c>
      <c r="F441" s="25" t="s">
        <v>88</v>
      </c>
      <c r="G441" s="26" t="s">
        <v>1800</v>
      </c>
      <c r="H441" s="27">
        <v>0</v>
      </c>
      <c r="I441" t="s">
        <v>1801</v>
      </c>
      <c r="J441" t="s">
        <v>1802</v>
      </c>
    </row>
    <row r="442" spans="1:10">
      <c r="A442" s="25" t="s">
        <v>1803</v>
      </c>
      <c r="B442" s="25" t="s">
        <v>91</v>
      </c>
      <c r="C442" s="25" t="s">
        <v>85</v>
      </c>
      <c r="D442" s="25" t="s">
        <v>1716</v>
      </c>
      <c r="E442" s="25" t="s">
        <v>88</v>
      </c>
      <c r="F442" s="25" t="s">
        <v>88</v>
      </c>
      <c r="G442" s="26" t="s">
        <v>1804</v>
      </c>
      <c r="H442" s="27">
        <v>0</v>
      </c>
      <c r="I442" t="s">
        <v>1805</v>
      </c>
      <c r="J442" t="s">
        <v>1806</v>
      </c>
    </row>
    <row r="443" spans="1:10">
      <c r="A443" s="25" t="s">
        <v>1807</v>
      </c>
      <c r="B443" s="25" t="s">
        <v>86</v>
      </c>
      <c r="C443" s="25" t="s">
        <v>85</v>
      </c>
      <c r="D443" s="25" t="s">
        <v>1716</v>
      </c>
      <c r="E443" s="25" t="s">
        <v>88</v>
      </c>
      <c r="F443" s="25" t="s">
        <v>88</v>
      </c>
      <c r="G443" s="26" t="s">
        <v>1808</v>
      </c>
      <c r="H443" s="27">
        <v>0</v>
      </c>
      <c r="I443" t="s">
        <v>1809</v>
      </c>
      <c r="J443" t="s">
        <v>1810</v>
      </c>
    </row>
    <row r="444" spans="1:10">
      <c r="A444" s="25" t="s">
        <v>1811</v>
      </c>
      <c r="B444" s="25" t="s">
        <v>91</v>
      </c>
      <c r="C444" s="25" t="s">
        <v>85</v>
      </c>
      <c r="D444" s="25" t="s">
        <v>1716</v>
      </c>
      <c r="E444" s="25" t="s">
        <v>88</v>
      </c>
      <c r="F444" s="25" t="s">
        <v>88</v>
      </c>
      <c r="G444" s="26" t="s">
        <v>1812</v>
      </c>
      <c r="H444" s="27">
        <v>0</v>
      </c>
      <c r="I444" t="s">
        <v>1813</v>
      </c>
      <c r="J444" t="s">
        <v>1814</v>
      </c>
    </row>
    <row r="445" spans="1:10">
      <c r="A445" s="25" t="s">
        <v>1815</v>
      </c>
      <c r="B445" s="25" t="s">
        <v>86</v>
      </c>
      <c r="C445" s="25" t="s">
        <v>85</v>
      </c>
      <c r="D445" s="25" t="s">
        <v>1716</v>
      </c>
      <c r="E445" s="25" t="s">
        <v>88</v>
      </c>
      <c r="F445" s="25" t="s">
        <v>88</v>
      </c>
      <c r="G445" s="26" t="s">
        <v>1816</v>
      </c>
      <c r="H445" s="27">
        <v>0</v>
      </c>
      <c r="I445" t="s">
        <v>1817</v>
      </c>
      <c r="J445" t="s">
        <v>1818</v>
      </c>
    </row>
    <row r="446" spans="1:10">
      <c r="A446" s="25" t="s">
        <v>1819</v>
      </c>
      <c r="B446" s="25" t="s">
        <v>86</v>
      </c>
      <c r="C446" s="25" t="s">
        <v>123</v>
      </c>
      <c r="D446" s="25" t="s">
        <v>1716</v>
      </c>
      <c r="E446" s="25" t="s">
        <v>88</v>
      </c>
      <c r="F446" s="25" t="s">
        <v>88</v>
      </c>
      <c r="G446" s="26" t="s">
        <v>1820</v>
      </c>
      <c r="H446" s="27">
        <v>0</v>
      </c>
      <c r="I446" t="s">
        <v>1821</v>
      </c>
      <c r="J446" t="s">
        <v>1822</v>
      </c>
    </row>
    <row r="447" spans="1:10">
      <c r="A447" s="25" t="s">
        <v>980</v>
      </c>
      <c r="B447" s="25" t="s">
        <v>91</v>
      </c>
      <c r="C447" s="25" t="s">
        <v>85</v>
      </c>
      <c r="D447" s="25" t="s">
        <v>1716</v>
      </c>
      <c r="E447" s="25" t="s">
        <v>88</v>
      </c>
      <c r="F447" s="25" t="s">
        <v>88</v>
      </c>
      <c r="G447" s="26" t="s">
        <v>1823</v>
      </c>
      <c r="H447" s="27">
        <v>0</v>
      </c>
      <c r="I447" t="s">
        <v>1824</v>
      </c>
      <c r="J447" t="s">
        <v>1825</v>
      </c>
    </row>
    <row r="448" spans="1:10">
      <c r="A448" s="25" t="s">
        <v>534</v>
      </c>
      <c r="B448" s="25" t="s">
        <v>86</v>
      </c>
      <c r="C448" s="25" t="s">
        <v>85</v>
      </c>
      <c r="D448" s="25" t="s">
        <v>1716</v>
      </c>
      <c r="E448" s="25" t="s">
        <v>88</v>
      </c>
      <c r="F448" s="25" t="s">
        <v>88</v>
      </c>
      <c r="G448" s="26" t="s">
        <v>1826</v>
      </c>
      <c r="H448" s="27">
        <v>0</v>
      </c>
      <c r="I448" t="s">
        <v>1827</v>
      </c>
      <c r="J448" t="s">
        <v>1828</v>
      </c>
    </row>
    <row r="449" spans="1:10">
      <c r="A449" s="25" t="s">
        <v>859</v>
      </c>
      <c r="B449" s="25" t="s">
        <v>91</v>
      </c>
      <c r="C449" s="25" t="s">
        <v>85</v>
      </c>
      <c r="D449" s="25" t="s">
        <v>1716</v>
      </c>
      <c r="E449" s="25" t="s">
        <v>88</v>
      </c>
      <c r="F449" s="25" t="s">
        <v>88</v>
      </c>
      <c r="G449" s="26" t="s">
        <v>1829</v>
      </c>
      <c r="H449" s="27">
        <v>0</v>
      </c>
      <c r="I449" t="s">
        <v>1830</v>
      </c>
      <c r="J449" t="s">
        <v>1831</v>
      </c>
    </row>
    <row r="450" spans="1:10">
      <c r="A450" s="25" t="s">
        <v>1832</v>
      </c>
      <c r="B450" s="25" t="s">
        <v>86</v>
      </c>
      <c r="C450" s="25" t="s">
        <v>123</v>
      </c>
      <c r="D450" s="25" t="s">
        <v>1716</v>
      </c>
      <c r="E450" s="25" t="s">
        <v>88</v>
      </c>
      <c r="F450" s="25" t="s">
        <v>88</v>
      </c>
      <c r="G450" s="26" t="s">
        <v>1833</v>
      </c>
      <c r="H450" s="27">
        <v>0</v>
      </c>
      <c r="I450" t="s">
        <v>1834</v>
      </c>
      <c r="J450" t="s">
        <v>1835</v>
      </c>
    </row>
    <row r="451" spans="1:10">
      <c r="A451" s="25" t="s">
        <v>1836</v>
      </c>
      <c r="B451" s="25" t="s">
        <v>86</v>
      </c>
      <c r="C451" s="25" t="s">
        <v>85</v>
      </c>
      <c r="D451" s="25" t="s">
        <v>1716</v>
      </c>
      <c r="E451" s="25" t="s">
        <v>88</v>
      </c>
      <c r="F451" s="25" t="s">
        <v>88</v>
      </c>
      <c r="G451" s="26" t="s">
        <v>1837</v>
      </c>
      <c r="H451" s="27">
        <v>0</v>
      </c>
      <c r="I451" t="s">
        <v>1838</v>
      </c>
      <c r="J451" t="s">
        <v>723</v>
      </c>
    </row>
    <row r="452" spans="1:10">
      <c r="A452" s="25" t="s">
        <v>1839</v>
      </c>
      <c r="B452" s="25" t="s">
        <v>86</v>
      </c>
      <c r="C452" s="25" t="s">
        <v>85</v>
      </c>
      <c r="D452" s="25" t="s">
        <v>1716</v>
      </c>
      <c r="E452" s="25" t="s">
        <v>88</v>
      </c>
      <c r="F452" s="25" t="s">
        <v>88</v>
      </c>
      <c r="G452" s="26" t="s">
        <v>1840</v>
      </c>
      <c r="H452" s="27">
        <v>0</v>
      </c>
      <c r="I452" t="s">
        <v>1841</v>
      </c>
      <c r="J452" t="s">
        <v>1842</v>
      </c>
    </row>
    <row r="453" spans="1:10">
      <c r="A453" s="25" t="s">
        <v>1843</v>
      </c>
      <c r="B453" s="25" t="s">
        <v>91</v>
      </c>
      <c r="C453" s="25" t="s">
        <v>85</v>
      </c>
      <c r="D453" s="25" t="s">
        <v>1716</v>
      </c>
      <c r="E453" s="25" t="s">
        <v>88</v>
      </c>
      <c r="F453" s="25" t="s">
        <v>88</v>
      </c>
      <c r="G453" s="26" t="s">
        <v>1844</v>
      </c>
      <c r="H453" s="27">
        <v>0</v>
      </c>
      <c r="I453" t="s">
        <v>1845</v>
      </c>
      <c r="J453" t="s">
        <v>1846</v>
      </c>
    </row>
    <row r="454" spans="1:10">
      <c r="A454" s="25" t="s">
        <v>1469</v>
      </c>
      <c r="B454" s="25" t="s">
        <v>91</v>
      </c>
      <c r="C454" s="25" t="s">
        <v>85</v>
      </c>
      <c r="D454" s="25" t="s">
        <v>1716</v>
      </c>
      <c r="E454" s="25" t="s">
        <v>88</v>
      </c>
      <c r="F454" s="25" t="s">
        <v>88</v>
      </c>
      <c r="G454" s="26" t="s">
        <v>1847</v>
      </c>
      <c r="H454" s="27">
        <v>0</v>
      </c>
      <c r="I454" t="s">
        <v>1848</v>
      </c>
      <c r="J454" t="s">
        <v>1849</v>
      </c>
    </row>
    <row r="455" spans="1:10">
      <c r="A455" s="25" t="s">
        <v>1850</v>
      </c>
      <c r="B455" s="25" t="s">
        <v>86</v>
      </c>
      <c r="C455" s="25" t="s">
        <v>85</v>
      </c>
      <c r="D455" s="25" t="s">
        <v>1716</v>
      </c>
      <c r="E455" s="25" t="s">
        <v>88</v>
      </c>
      <c r="F455" s="25" t="s">
        <v>88</v>
      </c>
      <c r="G455" s="26" t="s">
        <v>1851</v>
      </c>
      <c r="H455" s="27">
        <v>0</v>
      </c>
      <c r="I455" t="s">
        <v>1852</v>
      </c>
      <c r="J455" t="s">
        <v>1853</v>
      </c>
    </row>
    <row r="456" spans="1:10">
      <c r="A456" s="25" t="s">
        <v>1854</v>
      </c>
      <c r="B456" s="25" t="s">
        <v>86</v>
      </c>
      <c r="C456" s="25" t="s">
        <v>85</v>
      </c>
      <c r="D456" s="25" t="s">
        <v>1716</v>
      </c>
      <c r="E456" s="25" t="s">
        <v>88</v>
      </c>
      <c r="F456" s="25" t="s">
        <v>88</v>
      </c>
      <c r="G456" s="26" t="s">
        <v>1855</v>
      </c>
      <c r="H456" s="27">
        <v>0</v>
      </c>
      <c r="I456" t="s">
        <v>1856</v>
      </c>
      <c r="J456" t="s">
        <v>1857</v>
      </c>
    </row>
    <row r="457" spans="1:10">
      <c r="A457" s="25" t="s">
        <v>1366</v>
      </c>
      <c r="B457" s="25" t="s">
        <v>91</v>
      </c>
      <c r="C457" s="25" t="s">
        <v>85</v>
      </c>
      <c r="D457" s="25" t="s">
        <v>1716</v>
      </c>
      <c r="E457" s="25" t="s">
        <v>88</v>
      </c>
      <c r="F457" s="25" t="s">
        <v>88</v>
      </c>
      <c r="G457" s="26" t="s">
        <v>1858</v>
      </c>
      <c r="H457" s="27">
        <v>0</v>
      </c>
      <c r="I457" t="s">
        <v>1859</v>
      </c>
      <c r="J457" t="s">
        <v>1860</v>
      </c>
    </row>
    <row r="458" spans="1:10">
      <c r="A458" s="25" t="s">
        <v>1861</v>
      </c>
      <c r="B458" s="25" t="s">
        <v>91</v>
      </c>
      <c r="C458" s="25" t="s">
        <v>85</v>
      </c>
      <c r="D458" s="25" t="s">
        <v>1716</v>
      </c>
      <c r="E458" s="25" t="s">
        <v>88</v>
      </c>
      <c r="F458" s="25" t="s">
        <v>88</v>
      </c>
      <c r="G458" s="26" t="s">
        <v>1862</v>
      </c>
      <c r="H458" s="27">
        <v>0</v>
      </c>
      <c r="I458" t="s">
        <v>1863</v>
      </c>
      <c r="J458" t="s">
        <v>1864</v>
      </c>
    </row>
    <row r="459" spans="1:10">
      <c r="A459" s="25" t="s">
        <v>1865</v>
      </c>
      <c r="B459" s="25" t="s">
        <v>91</v>
      </c>
      <c r="C459" s="25" t="s">
        <v>85</v>
      </c>
      <c r="D459" s="25" t="s">
        <v>1716</v>
      </c>
      <c r="E459" s="25" t="s">
        <v>88</v>
      </c>
      <c r="F459" s="25" t="s">
        <v>88</v>
      </c>
      <c r="G459" s="26" t="s">
        <v>1866</v>
      </c>
      <c r="H459" s="27">
        <v>0</v>
      </c>
      <c r="I459" t="s">
        <v>1867</v>
      </c>
      <c r="J459" t="s">
        <v>1868</v>
      </c>
    </row>
    <row r="460" spans="1:10">
      <c r="A460" s="25" t="s">
        <v>1869</v>
      </c>
      <c r="B460" s="25" t="s">
        <v>91</v>
      </c>
      <c r="C460" s="25" t="s">
        <v>85</v>
      </c>
      <c r="D460" s="25" t="s">
        <v>1716</v>
      </c>
      <c r="E460" s="25" t="s">
        <v>88</v>
      </c>
      <c r="F460" s="25" t="s">
        <v>88</v>
      </c>
      <c r="G460" s="26" t="s">
        <v>1870</v>
      </c>
      <c r="H460" s="27">
        <v>0</v>
      </c>
      <c r="I460" t="s">
        <v>1871</v>
      </c>
      <c r="J460" t="s">
        <v>1872</v>
      </c>
    </row>
    <row r="461" spans="1:10">
      <c r="A461" s="25" t="s">
        <v>704</v>
      </c>
      <c r="B461" s="25" t="s">
        <v>86</v>
      </c>
      <c r="C461" s="25" t="s">
        <v>85</v>
      </c>
      <c r="D461" s="25" t="s">
        <v>1716</v>
      </c>
      <c r="E461" s="25" t="s">
        <v>88</v>
      </c>
      <c r="F461" s="25" t="s">
        <v>88</v>
      </c>
      <c r="G461" s="26" t="s">
        <v>1873</v>
      </c>
      <c r="H461" s="27">
        <v>0</v>
      </c>
      <c r="I461" t="s">
        <v>1874</v>
      </c>
      <c r="J461" t="s">
        <v>1875</v>
      </c>
    </row>
    <row r="462" spans="1:10">
      <c r="A462" s="25" t="s">
        <v>1876</v>
      </c>
      <c r="B462" s="25" t="s">
        <v>86</v>
      </c>
      <c r="C462" s="25" t="s">
        <v>85</v>
      </c>
      <c r="D462" s="25" t="s">
        <v>1716</v>
      </c>
      <c r="E462" s="25" t="s">
        <v>88</v>
      </c>
      <c r="F462" s="25" t="s">
        <v>88</v>
      </c>
      <c r="G462" s="26" t="s">
        <v>1877</v>
      </c>
      <c r="H462" s="27">
        <v>0</v>
      </c>
      <c r="I462" t="s">
        <v>1878</v>
      </c>
      <c r="J462" t="s">
        <v>1879</v>
      </c>
    </row>
    <row r="463" spans="1:10">
      <c r="A463" s="25" t="s">
        <v>1880</v>
      </c>
      <c r="B463" s="25" t="s">
        <v>91</v>
      </c>
      <c r="C463" s="25" t="s">
        <v>97</v>
      </c>
      <c r="D463" s="25" t="s">
        <v>1716</v>
      </c>
      <c r="E463" s="25" t="s">
        <v>88</v>
      </c>
      <c r="F463" s="25" t="s">
        <v>88</v>
      </c>
      <c r="G463" s="26" t="s">
        <v>1881</v>
      </c>
      <c r="H463" s="27">
        <v>0</v>
      </c>
      <c r="I463" t="s">
        <v>1882</v>
      </c>
      <c r="J463" t="s">
        <v>1883</v>
      </c>
    </row>
    <row r="464" spans="1:10">
      <c r="A464" s="25" t="s">
        <v>1884</v>
      </c>
      <c r="B464" s="25" t="s">
        <v>91</v>
      </c>
      <c r="C464" s="25" t="s">
        <v>85</v>
      </c>
      <c r="D464" s="25" t="s">
        <v>1716</v>
      </c>
      <c r="E464" s="25" t="s">
        <v>88</v>
      </c>
      <c r="F464" s="25" t="s">
        <v>88</v>
      </c>
      <c r="G464" s="26" t="s">
        <v>1885</v>
      </c>
      <c r="H464" s="27">
        <v>0</v>
      </c>
      <c r="I464" t="s">
        <v>1886</v>
      </c>
      <c r="J464" t="s">
        <v>1887</v>
      </c>
    </row>
    <row r="465" spans="1:10">
      <c r="A465" s="25" t="s">
        <v>1888</v>
      </c>
      <c r="B465" s="25" t="s">
        <v>91</v>
      </c>
      <c r="C465" s="25" t="s">
        <v>85</v>
      </c>
      <c r="D465" s="25" t="s">
        <v>1716</v>
      </c>
      <c r="E465" s="25" t="s">
        <v>88</v>
      </c>
      <c r="F465" s="25" t="s">
        <v>88</v>
      </c>
      <c r="G465" s="26" t="s">
        <v>1889</v>
      </c>
      <c r="H465" s="27">
        <v>0</v>
      </c>
      <c r="I465" t="s">
        <v>1890</v>
      </c>
      <c r="J465" t="s">
        <v>1891</v>
      </c>
    </row>
    <row r="466" spans="1:10">
      <c r="A466" s="25" t="s">
        <v>867</v>
      </c>
      <c r="B466" s="25" t="s">
        <v>91</v>
      </c>
      <c r="C466" s="25" t="s">
        <v>85</v>
      </c>
      <c r="D466" s="25" t="s">
        <v>1716</v>
      </c>
      <c r="E466" s="25" t="s">
        <v>88</v>
      </c>
      <c r="F466" s="25" t="s">
        <v>88</v>
      </c>
      <c r="G466" s="26" t="s">
        <v>1892</v>
      </c>
      <c r="H466" s="27">
        <v>0</v>
      </c>
      <c r="I466" t="s">
        <v>1893</v>
      </c>
      <c r="J466" t="s">
        <v>1894</v>
      </c>
    </row>
    <row r="467" spans="1:10">
      <c r="A467" s="25" t="s">
        <v>1895</v>
      </c>
      <c r="B467" s="25" t="s">
        <v>91</v>
      </c>
      <c r="C467" s="25" t="s">
        <v>85</v>
      </c>
      <c r="D467" s="25" t="s">
        <v>1716</v>
      </c>
      <c r="E467" s="25" t="s">
        <v>88</v>
      </c>
      <c r="F467" s="25" t="s">
        <v>88</v>
      </c>
      <c r="G467" s="26" t="s">
        <v>1896</v>
      </c>
      <c r="H467" s="27">
        <v>0</v>
      </c>
      <c r="I467" t="s">
        <v>1897</v>
      </c>
      <c r="J467" t="s">
        <v>1898</v>
      </c>
    </row>
    <row r="468" spans="1:10">
      <c r="A468" s="25" t="s">
        <v>1569</v>
      </c>
      <c r="B468" s="25" t="s">
        <v>91</v>
      </c>
      <c r="C468" s="25" t="s">
        <v>85</v>
      </c>
      <c r="D468" s="25" t="s">
        <v>1716</v>
      </c>
      <c r="E468" s="25" t="s">
        <v>88</v>
      </c>
      <c r="F468" s="25" t="s">
        <v>88</v>
      </c>
      <c r="G468" s="26" t="s">
        <v>1899</v>
      </c>
      <c r="H468" s="27">
        <v>0</v>
      </c>
      <c r="I468" t="s">
        <v>1900</v>
      </c>
      <c r="J468" t="s">
        <v>1901</v>
      </c>
    </row>
    <row r="469" spans="1:10">
      <c r="A469" s="25" t="s">
        <v>1902</v>
      </c>
      <c r="B469" s="25" t="s">
        <v>86</v>
      </c>
      <c r="C469" s="25" t="s">
        <v>123</v>
      </c>
      <c r="D469" s="25" t="s">
        <v>1716</v>
      </c>
      <c r="E469" s="25" t="s">
        <v>88</v>
      </c>
      <c r="F469" s="25" t="s">
        <v>88</v>
      </c>
      <c r="G469" s="26" t="s">
        <v>1903</v>
      </c>
      <c r="H469" s="27">
        <v>0</v>
      </c>
      <c r="I469" t="s">
        <v>1904</v>
      </c>
      <c r="J469" t="s">
        <v>1905</v>
      </c>
    </row>
    <row r="470" spans="1:10">
      <c r="A470" s="25" t="s">
        <v>139</v>
      </c>
      <c r="B470" s="25" t="s">
        <v>86</v>
      </c>
      <c r="C470" s="25" t="s">
        <v>85</v>
      </c>
      <c r="D470" s="25" t="s">
        <v>1716</v>
      </c>
      <c r="E470" s="25" t="s">
        <v>88</v>
      </c>
      <c r="F470" s="25" t="s">
        <v>88</v>
      </c>
      <c r="G470" s="26" t="s">
        <v>1906</v>
      </c>
      <c r="H470" s="27">
        <v>0</v>
      </c>
      <c r="I470" t="s">
        <v>1907</v>
      </c>
      <c r="J470" t="s">
        <v>1908</v>
      </c>
    </row>
    <row r="471" spans="1:10">
      <c r="A471" s="25" t="s">
        <v>1226</v>
      </c>
      <c r="B471" s="25" t="s">
        <v>91</v>
      </c>
      <c r="C471" s="25" t="s">
        <v>85</v>
      </c>
      <c r="D471" s="25" t="s">
        <v>1716</v>
      </c>
      <c r="E471" s="25" t="s">
        <v>88</v>
      </c>
      <c r="F471" s="25" t="s">
        <v>88</v>
      </c>
      <c r="G471" s="26" t="s">
        <v>1909</v>
      </c>
      <c r="H471" s="27">
        <v>0</v>
      </c>
      <c r="I471" t="s">
        <v>1910</v>
      </c>
      <c r="J471" t="s">
        <v>1911</v>
      </c>
    </row>
    <row r="472" spans="1:10">
      <c r="A472" s="25" t="s">
        <v>1912</v>
      </c>
      <c r="B472" s="25" t="s">
        <v>86</v>
      </c>
      <c r="C472" s="25" t="s">
        <v>85</v>
      </c>
      <c r="D472" s="25" t="s">
        <v>1716</v>
      </c>
      <c r="E472" s="25" t="s">
        <v>88</v>
      </c>
      <c r="F472" s="25" t="s">
        <v>88</v>
      </c>
      <c r="G472" s="26" t="s">
        <v>1913</v>
      </c>
      <c r="H472" s="27">
        <v>0</v>
      </c>
      <c r="I472" t="s">
        <v>1914</v>
      </c>
      <c r="J472" t="s">
        <v>1915</v>
      </c>
    </row>
    <row r="473" spans="1:10">
      <c r="A473" s="25" t="s">
        <v>392</v>
      </c>
      <c r="B473" s="25" t="s">
        <v>91</v>
      </c>
      <c r="C473" s="25" t="s">
        <v>85</v>
      </c>
      <c r="D473" s="25" t="s">
        <v>1716</v>
      </c>
      <c r="E473" s="25" t="s">
        <v>88</v>
      </c>
      <c r="F473" s="25" t="s">
        <v>88</v>
      </c>
      <c r="G473" s="26" t="s">
        <v>1916</v>
      </c>
      <c r="H473" s="27">
        <v>0</v>
      </c>
      <c r="I473" t="s">
        <v>1917</v>
      </c>
      <c r="J473" t="s">
        <v>1918</v>
      </c>
    </row>
    <row r="474" spans="1:10">
      <c r="A474" s="25" t="s">
        <v>1919</v>
      </c>
      <c r="B474" s="25" t="s">
        <v>91</v>
      </c>
      <c r="C474" s="25" t="s">
        <v>85</v>
      </c>
      <c r="D474" s="25" t="s">
        <v>1716</v>
      </c>
      <c r="E474" s="25" t="s">
        <v>88</v>
      </c>
      <c r="F474" s="25" t="s">
        <v>88</v>
      </c>
      <c r="G474" s="26" t="s">
        <v>1920</v>
      </c>
      <c r="H474" s="27">
        <v>0</v>
      </c>
      <c r="I474" t="s">
        <v>1921</v>
      </c>
      <c r="J474" t="s">
        <v>1922</v>
      </c>
    </row>
    <row r="475" spans="1:10">
      <c r="A475" s="25" t="s">
        <v>263</v>
      </c>
      <c r="B475" s="25" t="s">
        <v>86</v>
      </c>
      <c r="C475" s="25" t="s">
        <v>85</v>
      </c>
      <c r="D475" s="25" t="s">
        <v>1716</v>
      </c>
      <c r="E475" s="25" t="s">
        <v>88</v>
      </c>
      <c r="F475" s="25" t="s">
        <v>88</v>
      </c>
      <c r="G475" s="26" t="s">
        <v>1923</v>
      </c>
      <c r="H475" s="27">
        <v>0</v>
      </c>
      <c r="I475" t="s">
        <v>1924</v>
      </c>
      <c r="J475" t="s">
        <v>1925</v>
      </c>
    </row>
    <row r="476" spans="1:10">
      <c r="A476" s="25" t="s">
        <v>1926</v>
      </c>
      <c r="B476" s="25" t="s">
        <v>91</v>
      </c>
      <c r="C476" s="25" t="s">
        <v>123</v>
      </c>
      <c r="D476" s="25" t="s">
        <v>1716</v>
      </c>
      <c r="E476" s="25" t="s">
        <v>88</v>
      </c>
      <c r="F476" s="25" t="s">
        <v>88</v>
      </c>
      <c r="G476" s="26" t="s">
        <v>1927</v>
      </c>
      <c r="H476" s="27">
        <v>0</v>
      </c>
      <c r="I476" t="s">
        <v>1928</v>
      </c>
      <c r="J476" t="s">
        <v>833</v>
      </c>
    </row>
    <row r="477" spans="1:10">
      <c r="A477" s="25" t="s">
        <v>1929</v>
      </c>
      <c r="B477" s="25" t="s">
        <v>86</v>
      </c>
      <c r="C477" s="25" t="s">
        <v>97</v>
      </c>
      <c r="D477" s="25" t="s">
        <v>1716</v>
      </c>
      <c r="E477" s="25" t="s">
        <v>88</v>
      </c>
      <c r="F477" s="25" t="s">
        <v>88</v>
      </c>
      <c r="G477" s="26" t="s">
        <v>1930</v>
      </c>
      <c r="H477" s="27">
        <v>0</v>
      </c>
      <c r="I477" t="s">
        <v>1931</v>
      </c>
      <c r="J477" t="s">
        <v>1932</v>
      </c>
    </row>
    <row r="478" spans="1:10">
      <c r="A478" s="25" t="s">
        <v>1933</v>
      </c>
      <c r="B478" s="25" t="s">
        <v>86</v>
      </c>
      <c r="C478" s="25" t="s">
        <v>145</v>
      </c>
      <c r="D478" s="25" t="s">
        <v>1716</v>
      </c>
      <c r="E478" s="25" t="s">
        <v>88</v>
      </c>
      <c r="F478" s="25" t="s">
        <v>88</v>
      </c>
      <c r="G478" s="26" t="s">
        <v>1934</v>
      </c>
      <c r="H478" s="27">
        <v>0</v>
      </c>
      <c r="I478" t="s">
        <v>1935</v>
      </c>
      <c r="J478" t="s">
        <v>1936</v>
      </c>
    </row>
    <row r="479" spans="1:10">
      <c r="A479" s="25" t="s">
        <v>1937</v>
      </c>
      <c r="B479" s="25" t="s">
        <v>86</v>
      </c>
      <c r="C479" s="25" t="s">
        <v>97</v>
      </c>
      <c r="D479" s="25" t="s">
        <v>1716</v>
      </c>
      <c r="E479" s="25" t="s">
        <v>88</v>
      </c>
      <c r="F479" s="25" t="s">
        <v>88</v>
      </c>
      <c r="G479" s="26" t="s">
        <v>1938</v>
      </c>
      <c r="H479" s="27">
        <v>0</v>
      </c>
      <c r="I479" t="s">
        <v>1939</v>
      </c>
      <c r="J479" t="s">
        <v>1940</v>
      </c>
    </row>
    <row r="480" spans="1:10">
      <c r="A480" s="25" t="s">
        <v>1941</v>
      </c>
      <c r="B480" s="25" t="s">
        <v>86</v>
      </c>
      <c r="C480" s="25" t="s">
        <v>85</v>
      </c>
      <c r="D480" s="25" t="s">
        <v>1716</v>
      </c>
      <c r="E480" s="25" t="s">
        <v>88</v>
      </c>
      <c r="F480" s="25" t="s">
        <v>88</v>
      </c>
      <c r="G480" s="26" t="s">
        <v>1942</v>
      </c>
      <c r="H480" s="27">
        <v>0</v>
      </c>
      <c r="I480" t="s">
        <v>1943</v>
      </c>
      <c r="J480" t="s">
        <v>1944</v>
      </c>
    </row>
    <row r="481" spans="1:10">
      <c r="A481" s="25" t="s">
        <v>1528</v>
      </c>
      <c r="B481" s="25" t="s">
        <v>91</v>
      </c>
      <c r="C481" s="25" t="s">
        <v>85</v>
      </c>
      <c r="D481" s="25" t="s">
        <v>1716</v>
      </c>
      <c r="E481" s="25" t="s">
        <v>88</v>
      </c>
      <c r="F481" s="25" t="s">
        <v>88</v>
      </c>
      <c r="G481" s="26" t="s">
        <v>1945</v>
      </c>
      <c r="H481" s="27">
        <v>0</v>
      </c>
      <c r="I481" t="s">
        <v>1946</v>
      </c>
      <c r="J481" t="s">
        <v>1947</v>
      </c>
    </row>
    <row r="482" spans="1:10">
      <c r="A482" s="25" t="s">
        <v>1948</v>
      </c>
      <c r="B482" s="25" t="s">
        <v>91</v>
      </c>
      <c r="C482" s="25" t="s">
        <v>85</v>
      </c>
      <c r="D482" s="25" t="s">
        <v>1716</v>
      </c>
      <c r="E482" s="25" t="s">
        <v>88</v>
      </c>
      <c r="F482" s="25" t="s">
        <v>88</v>
      </c>
      <c r="G482" s="26" t="s">
        <v>1949</v>
      </c>
      <c r="H482" s="27">
        <v>0</v>
      </c>
      <c r="I482" t="s">
        <v>1950</v>
      </c>
      <c r="J482" t="s">
        <v>1951</v>
      </c>
    </row>
    <row r="483" spans="1:10">
      <c r="A483" s="25" t="s">
        <v>1952</v>
      </c>
      <c r="B483" s="25" t="s">
        <v>86</v>
      </c>
      <c r="C483" s="25" t="s">
        <v>85</v>
      </c>
      <c r="D483" s="25" t="s">
        <v>1716</v>
      </c>
      <c r="E483" s="25" t="s">
        <v>88</v>
      </c>
      <c r="F483" s="25" t="s">
        <v>88</v>
      </c>
      <c r="G483" s="26" t="s">
        <v>1953</v>
      </c>
      <c r="H483" s="27">
        <v>0</v>
      </c>
      <c r="I483" t="s">
        <v>1954</v>
      </c>
      <c r="J483" t="s">
        <v>1955</v>
      </c>
    </row>
    <row r="484" spans="1:10">
      <c r="A484" s="25" t="s">
        <v>1956</v>
      </c>
      <c r="B484" s="25" t="s">
        <v>86</v>
      </c>
      <c r="C484" s="25" t="s">
        <v>85</v>
      </c>
      <c r="D484" s="25" t="s">
        <v>1716</v>
      </c>
      <c r="E484" s="25" t="s">
        <v>88</v>
      </c>
      <c r="F484" s="25" t="s">
        <v>88</v>
      </c>
      <c r="G484" s="26" t="s">
        <v>1957</v>
      </c>
      <c r="H484" s="27">
        <v>0</v>
      </c>
      <c r="I484" t="s">
        <v>1958</v>
      </c>
      <c r="J484" t="s">
        <v>1959</v>
      </c>
    </row>
    <row r="485" spans="1:10">
      <c r="A485" s="25" t="s">
        <v>878</v>
      </c>
      <c r="B485" s="25" t="s">
        <v>86</v>
      </c>
      <c r="C485" s="25" t="s">
        <v>85</v>
      </c>
      <c r="D485" s="25" t="s">
        <v>1716</v>
      </c>
      <c r="E485" s="25" t="s">
        <v>88</v>
      </c>
      <c r="F485" s="25" t="s">
        <v>88</v>
      </c>
      <c r="G485" s="26" t="s">
        <v>1960</v>
      </c>
      <c r="H485" s="27">
        <v>0</v>
      </c>
      <c r="I485" t="s">
        <v>1961</v>
      </c>
      <c r="J485" t="s">
        <v>1097</v>
      </c>
    </row>
    <row r="486" spans="1:10">
      <c r="A486" s="25" t="s">
        <v>1929</v>
      </c>
      <c r="B486" s="25" t="s">
        <v>86</v>
      </c>
      <c r="C486" s="25" t="s">
        <v>97</v>
      </c>
      <c r="D486" s="25" t="s">
        <v>1716</v>
      </c>
      <c r="E486" s="25" t="s">
        <v>88</v>
      </c>
      <c r="F486" s="25" t="s">
        <v>88</v>
      </c>
      <c r="G486" s="26" t="s">
        <v>1962</v>
      </c>
      <c r="H486" s="27">
        <v>0</v>
      </c>
      <c r="I486" t="s">
        <v>1963</v>
      </c>
      <c r="J486" t="s">
        <v>1964</v>
      </c>
    </row>
    <row r="487" spans="1:10">
      <c r="A487" s="25" t="s">
        <v>1965</v>
      </c>
      <c r="B487" s="25" t="s">
        <v>91</v>
      </c>
      <c r="C487" s="25" t="s">
        <v>123</v>
      </c>
      <c r="D487" s="25" t="s">
        <v>1716</v>
      </c>
      <c r="E487" s="25" t="s">
        <v>88</v>
      </c>
      <c r="F487" s="25" t="s">
        <v>88</v>
      </c>
      <c r="G487" s="26" t="s">
        <v>1966</v>
      </c>
      <c r="H487" s="27">
        <v>0</v>
      </c>
      <c r="I487" t="s">
        <v>1967</v>
      </c>
      <c r="J487" t="s">
        <v>1968</v>
      </c>
    </row>
    <row r="488" spans="1:10">
      <c r="A488" s="25" t="s">
        <v>1969</v>
      </c>
      <c r="B488" s="25" t="s">
        <v>86</v>
      </c>
      <c r="C488" s="25" t="s">
        <v>123</v>
      </c>
      <c r="D488" s="25" t="s">
        <v>1716</v>
      </c>
      <c r="E488" s="25" t="s">
        <v>88</v>
      </c>
      <c r="F488" s="25" t="s">
        <v>88</v>
      </c>
      <c r="G488" s="26" t="s">
        <v>1970</v>
      </c>
      <c r="H488" s="27">
        <v>0</v>
      </c>
      <c r="I488" t="s">
        <v>1971</v>
      </c>
      <c r="J488" t="s">
        <v>1972</v>
      </c>
    </row>
    <row r="489" spans="1:10">
      <c r="A489" s="25" t="s">
        <v>1973</v>
      </c>
      <c r="B489" s="25" t="s">
        <v>86</v>
      </c>
      <c r="C489" s="25" t="s">
        <v>123</v>
      </c>
      <c r="D489" s="25" t="s">
        <v>1716</v>
      </c>
      <c r="E489" s="25" t="s">
        <v>88</v>
      </c>
      <c r="F489" s="25" t="s">
        <v>88</v>
      </c>
      <c r="G489" s="26" t="s">
        <v>1974</v>
      </c>
      <c r="H489" s="27">
        <v>0</v>
      </c>
      <c r="I489" t="s">
        <v>1975</v>
      </c>
      <c r="J489" t="s">
        <v>1976</v>
      </c>
    </row>
    <row r="490" spans="1:10">
      <c r="A490" s="25" t="s">
        <v>1977</v>
      </c>
      <c r="B490" s="25" t="s">
        <v>91</v>
      </c>
      <c r="C490" s="25" t="s">
        <v>85</v>
      </c>
      <c r="D490" s="25" t="s">
        <v>1716</v>
      </c>
      <c r="E490" s="25" t="s">
        <v>88</v>
      </c>
      <c r="F490" s="25" t="s">
        <v>88</v>
      </c>
      <c r="G490" s="26" t="s">
        <v>1978</v>
      </c>
      <c r="H490" s="27">
        <v>0</v>
      </c>
      <c r="I490" t="s">
        <v>1979</v>
      </c>
      <c r="J490" t="s">
        <v>1980</v>
      </c>
    </row>
    <row r="491" spans="1:10">
      <c r="A491" s="25" t="s">
        <v>1981</v>
      </c>
      <c r="B491" s="25" t="s">
        <v>91</v>
      </c>
      <c r="C491" s="25" t="s">
        <v>85</v>
      </c>
      <c r="D491" s="25" t="s">
        <v>1716</v>
      </c>
      <c r="E491" s="25" t="s">
        <v>88</v>
      </c>
      <c r="F491" s="25" t="s">
        <v>88</v>
      </c>
      <c r="G491" s="26" t="s">
        <v>1982</v>
      </c>
      <c r="H491" s="27">
        <v>0</v>
      </c>
      <c r="I491" t="s">
        <v>1983</v>
      </c>
      <c r="J491" t="s">
        <v>1984</v>
      </c>
    </row>
    <row r="492" spans="1:10">
      <c r="A492" s="25" t="s">
        <v>1985</v>
      </c>
      <c r="B492" s="25" t="s">
        <v>86</v>
      </c>
      <c r="C492" s="25" t="s">
        <v>85</v>
      </c>
      <c r="D492" s="25" t="s">
        <v>1716</v>
      </c>
      <c r="E492" s="25" t="s">
        <v>88</v>
      </c>
      <c r="F492" s="25" t="s">
        <v>88</v>
      </c>
      <c r="G492" s="26" t="s">
        <v>1986</v>
      </c>
      <c r="H492" s="27">
        <v>0</v>
      </c>
      <c r="I492" t="s">
        <v>1987</v>
      </c>
      <c r="J492" t="s">
        <v>1988</v>
      </c>
    </row>
    <row r="493" spans="1:10">
      <c r="A493" s="25" t="s">
        <v>1902</v>
      </c>
      <c r="B493" s="25" t="s">
        <v>86</v>
      </c>
      <c r="C493" s="25" t="s">
        <v>123</v>
      </c>
      <c r="D493" s="25" t="s">
        <v>1716</v>
      </c>
      <c r="E493" s="25" t="s">
        <v>88</v>
      </c>
      <c r="F493" s="25" t="s">
        <v>88</v>
      </c>
      <c r="G493" s="26" t="s">
        <v>1989</v>
      </c>
      <c r="H493" s="27">
        <v>0</v>
      </c>
      <c r="I493" t="s">
        <v>1990</v>
      </c>
      <c r="J493" t="s">
        <v>1991</v>
      </c>
    </row>
    <row r="494" spans="1:10">
      <c r="A494" s="25" t="s">
        <v>1992</v>
      </c>
      <c r="B494" s="25" t="s">
        <v>91</v>
      </c>
      <c r="C494" s="25" t="s">
        <v>123</v>
      </c>
      <c r="D494" s="25" t="s">
        <v>1716</v>
      </c>
      <c r="E494" s="25" t="s">
        <v>88</v>
      </c>
      <c r="F494" s="25" t="s">
        <v>88</v>
      </c>
      <c r="G494" s="26" t="s">
        <v>1993</v>
      </c>
      <c r="H494" s="27">
        <v>0</v>
      </c>
      <c r="I494" t="s">
        <v>1994</v>
      </c>
      <c r="J494" t="s">
        <v>1301</v>
      </c>
    </row>
    <row r="495" spans="1:10">
      <c r="A495" s="25" t="s">
        <v>1995</v>
      </c>
      <c r="B495" s="25" t="s">
        <v>91</v>
      </c>
      <c r="C495" s="25" t="s">
        <v>85</v>
      </c>
      <c r="D495" s="25" t="s">
        <v>1716</v>
      </c>
      <c r="E495" s="25" t="s">
        <v>88</v>
      </c>
      <c r="F495" s="25" t="s">
        <v>88</v>
      </c>
      <c r="G495" s="26" t="s">
        <v>1996</v>
      </c>
      <c r="H495" s="27">
        <v>0</v>
      </c>
      <c r="I495" t="s">
        <v>1997</v>
      </c>
      <c r="J495" t="s">
        <v>1998</v>
      </c>
    </row>
    <row r="496" spans="1:10">
      <c r="A496" s="25" t="s">
        <v>1999</v>
      </c>
      <c r="B496" s="25" t="s">
        <v>86</v>
      </c>
      <c r="C496" s="25" t="s">
        <v>85</v>
      </c>
      <c r="D496" s="25" t="s">
        <v>1716</v>
      </c>
      <c r="E496" s="25" t="s">
        <v>88</v>
      </c>
      <c r="F496" s="25" t="s">
        <v>88</v>
      </c>
      <c r="G496" s="26" t="s">
        <v>2000</v>
      </c>
      <c r="H496" s="27">
        <v>0</v>
      </c>
      <c r="I496" t="s">
        <v>2001</v>
      </c>
      <c r="J496" t="s">
        <v>2002</v>
      </c>
    </row>
    <row r="497" spans="1:10">
      <c r="A497" s="25" t="s">
        <v>2003</v>
      </c>
      <c r="B497" s="25" t="s">
        <v>86</v>
      </c>
      <c r="C497" s="25" t="s">
        <v>85</v>
      </c>
      <c r="D497" s="25" t="s">
        <v>1716</v>
      </c>
      <c r="E497" s="25" t="s">
        <v>88</v>
      </c>
      <c r="F497" s="25" t="s">
        <v>88</v>
      </c>
      <c r="G497" s="26" t="s">
        <v>2004</v>
      </c>
      <c r="H497" s="27">
        <v>0</v>
      </c>
      <c r="I497" t="s">
        <v>2005</v>
      </c>
      <c r="J497" t="s">
        <v>2006</v>
      </c>
    </row>
    <row r="498" spans="1:10">
      <c r="A498" s="25" t="s">
        <v>2007</v>
      </c>
      <c r="B498" s="25" t="s">
        <v>86</v>
      </c>
      <c r="C498" s="25" t="s">
        <v>85</v>
      </c>
      <c r="D498" s="25" t="s">
        <v>1716</v>
      </c>
      <c r="E498" s="25" t="s">
        <v>88</v>
      </c>
      <c r="F498" s="25" t="s">
        <v>88</v>
      </c>
      <c r="G498" s="26" t="s">
        <v>2008</v>
      </c>
      <c r="H498" s="27">
        <v>0</v>
      </c>
      <c r="I498" t="s">
        <v>2009</v>
      </c>
      <c r="J498" t="s">
        <v>2010</v>
      </c>
    </row>
    <row r="499" spans="1:10">
      <c r="A499" s="25" t="s">
        <v>2011</v>
      </c>
      <c r="B499" s="25" t="s">
        <v>91</v>
      </c>
      <c r="C499" s="25" t="s">
        <v>85</v>
      </c>
      <c r="D499" s="25" t="s">
        <v>1716</v>
      </c>
      <c r="E499" s="25" t="s">
        <v>88</v>
      </c>
      <c r="F499" s="25" t="s">
        <v>88</v>
      </c>
      <c r="G499" s="26" t="s">
        <v>2012</v>
      </c>
      <c r="H499" s="27">
        <v>0</v>
      </c>
      <c r="I499" t="s">
        <v>2013</v>
      </c>
      <c r="J499" t="s">
        <v>2014</v>
      </c>
    </row>
    <row r="500" spans="1:10">
      <c r="A500" s="25" t="s">
        <v>2015</v>
      </c>
      <c r="B500" s="25" t="s">
        <v>86</v>
      </c>
      <c r="C500" s="25" t="s">
        <v>85</v>
      </c>
      <c r="D500" s="25" t="s">
        <v>1716</v>
      </c>
      <c r="E500" s="25" t="s">
        <v>88</v>
      </c>
      <c r="F500" s="25" t="s">
        <v>88</v>
      </c>
      <c r="G500" s="26" t="s">
        <v>2016</v>
      </c>
      <c r="H500" s="27">
        <v>0</v>
      </c>
      <c r="I500" t="s">
        <v>2017</v>
      </c>
      <c r="J500" t="s">
        <v>2018</v>
      </c>
    </row>
    <row r="501" spans="1:10">
      <c r="A501" s="25" t="s">
        <v>508</v>
      </c>
      <c r="B501" s="25" t="s">
        <v>86</v>
      </c>
      <c r="C501" s="25" t="s">
        <v>85</v>
      </c>
      <c r="D501" s="25" t="s">
        <v>1716</v>
      </c>
      <c r="E501" s="25" t="s">
        <v>88</v>
      </c>
      <c r="F501" s="25" t="s">
        <v>88</v>
      </c>
      <c r="G501" s="26" t="s">
        <v>2019</v>
      </c>
      <c r="H501" s="27">
        <v>0</v>
      </c>
      <c r="I501" t="s">
        <v>2020</v>
      </c>
      <c r="J501" t="s">
        <v>2021</v>
      </c>
    </row>
    <row r="502" spans="1:10">
      <c r="A502" s="25" t="s">
        <v>340</v>
      </c>
      <c r="B502" s="25" t="s">
        <v>86</v>
      </c>
      <c r="C502" s="25" t="s">
        <v>85</v>
      </c>
      <c r="D502" s="25" t="s">
        <v>1716</v>
      </c>
      <c r="E502" s="25" t="s">
        <v>88</v>
      </c>
      <c r="F502" s="25" t="s">
        <v>88</v>
      </c>
      <c r="G502" s="26" t="s">
        <v>2022</v>
      </c>
      <c r="H502" s="27">
        <v>0</v>
      </c>
      <c r="I502" t="s">
        <v>2023</v>
      </c>
      <c r="J502" t="s">
        <v>2024</v>
      </c>
    </row>
  </sheetData>
  <mergeCells count="1">
    <mergeCell ref="A1:J1"/>
  </mergeCells>
  <dataValidations count="4">
    <dataValidation type="list" allowBlank="1" showInputMessage="1" showErrorMessage="1" sqref="E3:F1502" xr:uid="{00000000-0002-0000-0300-000000000000}">
      <formula1>"Yes,No"</formula1>
      <formula2>0</formula2>
    </dataValidation>
    <dataValidation type="list" allowBlank="1" showInputMessage="1" showErrorMessage="1" sqref="B3:B1502" xr:uid="{00000000-0002-0000-0300-000001000000}">
      <formula1>"Male,Female"</formula1>
      <formula2>0</formula2>
    </dataValidation>
    <dataValidation type="list" allowBlank="1" showInputMessage="1" showErrorMessage="1" sqref="C3:C1502" xr:uid="{00000000-0002-0000-0300-000002000000}">
      <formula1>"African,Coloured,Indian,White"</formula1>
      <formula2>0</formula2>
    </dataValidation>
    <dataValidation type="list" allowBlank="1" showInputMessage="1" showErrorMessage="1" sqref="D3:D1502" xr:uid="{00000000-0002-0000-0300-000003000000}">
      <formula1>"Executive Director,Non-executive Director,Other Executive Manager,Senior Manager,Middle Manager,Junior Manager,Semi-skilled,Unskilled"</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MI202"/>
  <sheetViews>
    <sheetView zoomScaleNormal="100" workbookViewId="0">
      <selection activeCell="C26" sqref="C26"/>
    </sheetView>
  </sheetViews>
  <sheetFormatPr defaultColWidth="9.85546875" defaultRowHeight="12.75"/>
  <cols>
    <col min="1" max="1" width="16" style="35" customWidth="1"/>
    <col min="2" max="4" width="9.85546875" style="35"/>
    <col min="5" max="5" width="13.85546875" style="35" customWidth="1"/>
    <col min="6" max="6" width="16.7109375" style="35" customWidth="1"/>
    <col min="7" max="7" width="13.28515625" style="36" customWidth="1"/>
    <col min="8" max="12" width="9.85546875" style="35"/>
    <col min="13" max="13" width="11" style="35" customWidth="1"/>
    <col min="14" max="14" width="11.5703125" style="35" customWidth="1"/>
    <col min="15" max="15" width="10.7109375" style="35" customWidth="1"/>
    <col min="16" max="17" width="9.85546875" style="35"/>
    <col min="18" max="18" width="15" style="35" customWidth="1"/>
    <col min="19" max="20" width="9.85546875" style="35"/>
    <col min="21" max="21" width="11.85546875" style="35" customWidth="1"/>
    <col min="22" max="22" width="11" style="35" customWidth="1"/>
    <col min="23" max="28" width="9.85546875" style="35"/>
    <col min="29" max="29" width="11.28515625" style="35" customWidth="1"/>
    <col min="30" max="30" width="12.5703125" style="35" customWidth="1"/>
    <col min="31" max="16384" width="9.85546875" style="35"/>
  </cols>
  <sheetData>
    <row r="1" spans="1:1023" s="37" customFormat="1" ht="18" customHeight="1">
      <c r="A1" s="3" t="s">
        <v>2025</v>
      </c>
      <c r="B1" s="3"/>
      <c r="C1" s="3"/>
      <c r="D1" s="3"/>
      <c r="E1" s="3"/>
      <c r="F1" s="3"/>
      <c r="G1" s="3"/>
      <c r="H1" s="3"/>
      <c r="I1" s="3"/>
      <c r="J1" s="3"/>
      <c r="K1" s="3"/>
      <c r="L1" s="3"/>
      <c r="M1" s="3"/>
      <c r="N1" s="3"/>
      <c r="O1" s="3"/>
      <c r="P1" s="3"/>
      <c r="Q1" s="3"/>
      <c r="R1" s="3"/>
      <c r="S1" s="3"/>
      <c r="T1" s="3"/>
      <c r="U1" s="3"/>
      <c r="V1" s="3"/>
      <c r="W1" s="3"/>
      <c r="X1" s="3"/>
      <c r="Y1" s="3"/>
      <c r="Z1" s="3"/>
      <c r="AA1" s="3"/>
      <c r="AB1" s="3"/>
      <c r="AC1" s="3"/>
      <c r="AD1" s="3"/>
      <c r="AMI1" s="35"/>
    </row>
    <row r="2" spans="1:1023" s="44" customFormat="1" ht="75" customHeight="1">
      <c r="A2" s="38" t="s">
        <v>2026</v>
      </c>
      <c r="B2" s="38" t="s">
        <v>2027</v>
      </c>
      <c r="C2" s="39" t="s">
        <v>2028</v>
      </c>
      <c r="D2" s="39" t="s">
        <v>2029</v>
      </c>
      <c r="E2" s="39" t="s">
        <v>2030</v>
      </c>
      <c r="F2" s="38" t="s">
        <v>2031</v>
      </c>
      <c r="G2" s="40" t="s">
        <v>109</v>
      </c>
      <c r="H2" s="38" t="s">
        <v>104</v>
      </c>
      <c r="I2" s="41" t="s">
        <v>105</v>
      </c>
      <c r="J2" s="42" t="s">
        <v>107</v>
      </c>
      <c r="K2" s="42" t="s">
        <v>108</v>
      </c>
      <c r="L2" s="39" t="s">
        <v>2032</v>
      </c>
      <c r="M2" s="39" t="s">
        <v>2033</v>
      </c>
      <c r="N2" s="39" t="s">
        <v>2034</v>
      </c>
      <c r="O2" s="39" t="s">
        <v>2035</v>
      </c>
      <c r="P2" s="42" t="s">
        <v>2036</v>
      </c>
      <c r="Q2" s="39" t="s">
        <v>2037</v>
      </c>
      <c r="R2" s="39" t="s">
        <v>2038</v>
      </c>
      <c r="S2" s="39" t="s">
        <v>2039</v>
      </c>
      <c r="T2" s="39" t="s">
        <v>2040</v>
      </c>
      <c r="U2" s="39" t="s">
        <v>2041</v>
      </c>
      <c r="V2" s="39" t="s">
        <v>2042</v>
      </c>
      <c r="W2" s="39" t="s">
        <v>2043</v>
      </c>
      <c r="X2" s="39" t="s">
        <v>2044</v>
      </c>
      <c r="Y2" s="39" t="s">
        <v>2045</v>
      </c>
      <c r="Z2" s="39" t="s">
        <v>2046</v>
      </c>
      <c r="AA2" s="43" t="s">
        <v>2047</v>
      </c>
      <c r="AB2" s="43" t="s">
        <v>2048</v>
      </c>
      <c r="AC2" s="43" t="s">
        <v>2049</v>
      </c>
      <c r="AD2" s="43" t="s">
        <v>111</v>
      </c>
      <c r="AMI2" s="35"/>
    </row>
    <row r="3" spans="1:1023">
      <c r="A3" s="35" t="s">
        <v>2050</v>
      </c>
      <c r="B3" s="35" t="s">
        <v>2051</v>
      </c>
      <c r="C3" s="35" t="s">
        <v>2052</v>
      </c>
      <c r="D3" s="35" t="s">
        <v>2053</v>
      </c>
      <c r="E3" s="35" t="s">
        <v>2054</v>
      </c>
      <c r="F3" s="35" t="s">
        <v>2055</v>
      </c>
      <c r="G3" s="36" t="s">
        <v>2056</v>
      </c>
      <c r="H3" s="35" t="s">
        <v>91</v>
      </c>
      <c r="I3" s="35" t="s">
        <v>85</v>
      </c>
      <c r="J3" s="35" t="s">
        <v>88</v>
      </c>
      <c r="K3" s="35" t="s">
        <v>88</v>
      </c>
      <c r="L3" s="35">
        <v>53</v>
      </c>
      <c r="M3" s="35" t="s">
        <v>87</v>
      </c>
      <c r="N3" s="35" t="s">
        <v>87</v>
      </c>
      <c r="O3" s="35" t="s">
        <v>88</v>
      </c>
      <c r="P3" s="35">
        <v>45774</v>
      </c>
      <c r="Q3" s="35">
        <v>1831</v>
      </c>
      <c r="R3" s="35">
        <v>2289</v>
      </c>
      <c r="S3" s="35">
        <v>1373</v>
      </c>
      <c r="T3" s="35">
        <v>915</v>
      </c>
      <c r="U3" s="35">
        <v>2746</v>
      </c>
      <c r="V3" s="35">
        <v>11444</v>
      </c>
      <c r="W3" s="35">
        <v>0</v>
      </c>
      <c r="X3" s="35" t="s">
        <v>2057</v>
      </c>
      <c r="Y3" s="35" t="s">
        <v>2058</v>
      </c>
      <c r="AA3" s="35">
        <v>320</v>
      </c>
      <c r="AB3" s="35" t="s">
        <v>2053</v>
      </c>
      <c r="AC3" s="35" t="s">
        <v>2059</v>
      </c>
      <c r="AD3" s="35" t="s">
        <v>1209</v>
      </c>
    </row>
    <row r="4" spans="1:1023">
      <c r="A4" s="35" t="s">
        <v>2060</v>
      </c>
      <c r="B4" s="35" t="s">
        <v>2061</v>
      </c>
      <c r="C4" s="35" t="s">
        <v>2052</v>
      </c>
      <c r="D4" s="35" t="s">
        <v>2062</v>
      </c>
      <c r="E4" s="35" t="s">
        <v>2063</v>
      </c>
      <c r="F4" s="35" t="s">
        <v>2064</v>
      </c>
      <c r="G4" s="36" t="s">
        <v>2065</v>
      </c>
      <c r="H4" s="35" t="s">
        <v>86</v>
      </c>
      <c r="I4" s="35" t="s">
        <v>85</v>
      </c>
      <c r="J4" s="35" t="s">
        <v>88</v>
      </c>
      <c r="K4" s="35" t="s">
        <v>88</v>
      </c>
      <c r="L4" s="35">
        <v>32</v>
      </c>
      <c r="M4" s="35" t="s">
        <v>87</v>
      </c>
      <c r="N4" s="35" t="s">
        <v>87</v>
      </c>
      <c r="O4" s="35" t="s">
        <v>88</v>
      </c>
      <c r="P4" s="35">
        <v>45916</v>
      </c>
      <c r="Q4" s="35">
        <v>1837</v>
      </c>
      <c r="R4" s="35">
        <v>0</v>
      </c>
      <c r="S4" s="35">
        <v>1377</v>
      </c>
      <c r="T4" s="35">
        <v>918</v>
      </c>
      <c r="U4" s="35">
        <v>0</v>
      </c>
      <c r="V4" s="35">
        <v>0</v>
      </c>
      <c r="W4" s="35">
        <v>0</v>
      </c>
      <c r="X4" s="35" t="s">
        <v>2057</v>
      </c>
      <c r="Y4" s="35" t="s">
        <v>2058</v>
      </c>
      <c r="AA4" s="35">
        <v>0</v>
      </c>
      <c r="AB4" s="35" t="s">
        <v>2062</v>
      </c>
      <c r="AC4" s="35" t="s">
        <v>2059</v>
      </c>
      <c r="AD4" s="35" t="s">
        <v>1827</v>
      </c>
    </row>
    <row r="5" spans="1:1023">
      <c r="A5" s="35" t="s">
        <v>2066</v>
      </c>
      <c r="B5" s="35" t="s">
        <v>2067</v>
      </c>
      <c r="C5" s="35" t="s">
        <v>2052</v>
      </c>
      <c r="D5" s="35" t="s">
        <v>2068</v>
      </c>
      <c r="E5" s="35" t="s">
        <v>2069</v>
      </c>
      <c r="F5" s="35" t="s">
        <v>2070</v>
      </c>
      <c r="G5" s="36" t="s">
        <v>2071</v>
      </c>
      <c r="H5" s="35" t="s">
        <v>86</v>
      </c>
      <c r="I5" s="35" t="s">
        <v>85</v>
      </c>
      <c r="J5" s="35" t="s">
        <v>88</v>
      </c>
      <c r="K5" s="35" t="s">
        <v>88</v>
      </c>
      <c r="L5" s="35">
        <v>47</v>
      </c>
      <c r="M5" s="35" t="s">
        <v>87</v>
      </c>
      <c r="N5" s="35" t="s">
        <v>87</v>
      </c>
      <c r="O5" s="35" t="s">
        <v>88</v>
      </c>
      <c r="P5" s="35">
        <v>30318</v>
      </c>
      <c r="Q5" s="35">
        <v>1213</v>
      </c>
      <c r="R5" s="35">
        <v>0</v>
      </c>
      <c r="S5" s="35">
        <v>910</v>
      </c>
      <c r="T5" s="35">
        <v>606</v>
      </c>
      <c r="U5" s="35">
        <v>0</v>
      </c>
      <c r="V5" s="35">
        <v>0</v>
      </c>
      <c r="W5" s="35">
        <v>0</v>
      </c>
      <c r="X5" s="35" t="s">
        <v>2057</v>
      </c>
      <c r="Y5" s="35" t="s">
        <v>2058</v>
      </c>
      <c r="AA5" s="35">
        <v>0</v>
      </c>
      <c r="AB5" s="35" t="s">
        <v>2068</v>
      </c>
      <c r="AC5" s="35" t="s">
        <v>2059</v>
      </c>
      <c r="AD5" s="35" t="s">
        <v>1950</v>
      </c>
    </row>
    <row r="6" spans="1:1023">
      <c r="A6" s="35" t="s">
        <v>2072</v>
      </c>
      <c r="B6" s="35" t="s">
        <v>2073</v>
      </c>
      <c r="C6" s="35" t="s">
        <v>2052</v>
      </c>
      <c r="D6" s="35" t="s">
        <v>2053</v>
      </c>
      <c r="E6" s="35" t="s">
        <v>2054</v>
      </c>
      <c r="F6" s="35" t="s">
        <v>2074</v>
      </c>
      <c r="G6" s="36" t="s">
        <v>2075</v>
      </c>
      <c r="H6" s="35" t="s">
        <v>91</v>
      </c>
      <c r="I6" s="35" t="s">
        <v>85</v>
      </c>
      <c r="J6" s="35" t="s">
        <v>88</v>
      </c>
      <c r="K6" s="35" t="s">
        <v>88</v>
      </c>
      <c r="L6" s="35">
        <v>20</v>
      </c>
      <c r="M6" s="35" t="s">
        <v>88</v>
      </c>
      <c r="N6" s="35" t="s">
        <v>87</v>
      </c>
      <c r="O6" s="35" t="s">
        <v>88</v>
      </c>
      <c r="P6" s="35">
        <v>31439</v>
      </c>
      <c r="Q6" s="35">
        <v>1258</v>
      </c>
      <c r="R6" s="35">
        <v>1572</v>
      </c>
      <c r="S6" s="35">
        <v>943</v>
      </c>
      <c r="T6" s="35">
        <v>629</v>
      </c>
      <c r="U6" s="35">
        <v>1886</v>
      </c>
      <c r="V6" s="35">
        <v>7860</v>
      </c>
      <c r="W6" s="35">
        <v>0</v>
      </c>
      <c r="X6" s="35" t="s">
        <v>2057</v>
      </c>
      <c r="Y6" s="35" t="s">
        <v>2058</v>
      </c>
      <c r="AA6" s="35">
        <v>960</v>
      </c>
      <c r="AB6" s="35" t="s">
        <v>2053</v>
      </c>
      <c r="AC6" s="35" t="s">
        <v>2059</v>
      </c>
    </row>
    <row r="7" spans="1:1023">
      <c r="A7" s="35" t="s">
        <v>2076</v>
      </c>
      <c r="B7" s="35" t="s">
        <v>2077</v>
      </c>
      <c r="C7" s="35" t="s">
        <v>2052</v>
      </c>
      <c r="D7" s="35" t="s">
        <v>2078</v>
      </c>
      <c r="E7" s="35" t="s">
        <v>2079</v>
      </c>
      <c r="F7" s="35" t="s">
        <v>2080</v>
      </c>
      <c r="G7" s="36" t="s">
        <v>2081</v>
      </c>
      <c r="H7" s="35" t="s">
        <v>86</v>
      </c>
      <c r="I7" s="35" t="s">
        <v>85</v>
      </c>
      <c r="J7" s="35" t="s">
        <v>88</v>
      </c>
      <c r="K7" s="35" t="s">
        <v>88</v>
      </c>
      <c r="L7" s="35">
        <v>54</v>
      </c>
      <c r="M7" s="35" t="s">
        <v>87</v>
      </c>
      <c r="N7" s="35" t="s">
        <v>87</v>
      </c>
      <c r="O7" s="35" t="s">
        <v>88</v>
      </c>
      <c r="P7" s="35">
        <v>44040</v>
      </c>
      <c r="Q7" s="35">
        <v>1762</v>
      </c>
      <c r="R7" s="35">
        <v>0</v>
      </c>
      <c r="S7" s="35">
        <v>1321</v>
      </c>
      <c r="T7" s="35">
        <v>881</v>
      </c>
      <c r="U7" s="35">
        <v>0</v>
      </c>
      <c r="V7" s="35">
        <v>0</v>
      </c>
      <c r="W7" s="35">
        <v>0</v>
      </c>
      <c r="X7" s="35" t="s">
        <v>2057</v>
      </c>
      <c r="Y7" s="35" t="s">
        <v>2058</v>
      </c>
      <c r="AA7" s="35">
        <v>0</v>
      </c>
      <c r="AB7" s="35" t="s">
        <v>2078</v>
      </c>
      <c r="AC7" s="35" t="s">
        <v>2059</v>
      </c>
      <c r="AD7" s="35" t="s">
        <v>502</v>
      </c>
    </row>
    <row r="8" spans="1:1023">
      <c r="A8" s="35" t="s">
        <v>2066</v>
      </c>
      <c r="B8" s="35" t="s">
        <v>2067</v>
      </c>
      <c r="C8" s="35" t="s">
        <v>2052</v>
      </c>
      <c r="D8" s="35" t="s">
        <v>2082</v>
      </c>
      <c r="E8" s="35" t="s">
        <v>2083</v>
      </c>
      <c r="F8" s="35" t="s">
        <v>922</v>
      </c>
      <c r="G8" s="36" t="s">
        <v>2084</v>
      </c>
      <c r="H8" s="35" t="s">
        <v>91</v>
      </c>
      <c r="I8" s="35" t="s">
        <v>85</v>
      </c>
      <c r="J8" s="35" t="s">
        <v>88</v>
      </c>
      <c r="K8" s="35" t="s">
        <v>88</v>
      </c>
      <c r="L8" s="35">
        <v>49</v>
      </c>
      <c r="M8" s="35" t="s">
        <v>87</v>
      </c>
      <c r="N8" s="35" t="s">
        <v>87</v>
      </c>
      <c r="O8" s="35" t="s">
        <v>88</v>
      </c>
      <c r="P8" s="35">
        <v>39584</v>
      </c>
      <c r="Q8" s="35">
        <v>1583</v>
      </c>
      <c r="R8" s="35">
        <v>0</v>
      </c>
      <c r="S8" s="35">
        <v>1188</v>
      </c>
      <c r="T8" s="35">
        <v>792</v>
      </c>
      <c r="U8" s="35">
        <v>0</v>
      </c>
      <c r="V8" s="35">
        <v>0</v>
      </c>
      <c r="W8" s="35">
        <v>0</v>
      </c>
      <c r="X8" s="35" t="s">
        <v>2057</v>
      </c>
      <c r="Y8" s="35" t="s">
        <v>2058</v>
      </c>
      <c r="AA8" s="35">
        <v>0</v>
      </c>
      <c r="AB8" s="35" t="s">
        <v>2082</v>
      </c>
      <c r="AC8" s="35" t="s">
        <v>2059</v>
      </c>
      <c r="AD8" s="35" t="s">
        <v>974</v>
      </c>
    </row>
    <row r="9" spans="1:1023">
      <c r="A9" s="35" t="s">
        <v>2072</v>
      </c>
      <c r="B9" s="35" t="s">
        <v>2073</v>
      </c>
      <c r="C9" s="35" t="s">
        <v>2052</v>
      </c>
      <c r="D9" s="35" t="s">
        <v>2068</v>
      </c>
      <c r="E9" s="35" t="s">
        <v>2069</v>
      </c>
      <c r="F9" s="35" t="s">
        <v>538</v>
      </c>
      <c r="G9" s="36" t="s">
        <v>2085</v>
      </c>
      <c r="H9" s="35" t="s">
        <v>86</v>
      </c>
      <c r="I9" s="35" t="s">
        <v>85</v>
      </c>
      <c r="J9" s="35" t="s">
        <v>88</v>
      </c>
      <c r="K9" s="35" t="s">
        <v>88</v>
      </c>
      <c r="L9" s="35">
        <v>30</v>
      </c>
      <c r="M9" s="35" t="s">
        <v>87</v>
      </c>
      <c r="N9" s="35" t="s">
        <v>87</v>
      </c>
      <c r="O9" s="35" t="s">
        <v>88</v>
      </c>
      <c r="P9" s="35">
        <v>42910</v>
      </c>
      <c r="Q9" s="35">
        <v>1716</v>
      </c>
      <c r="R9" s="35">
        <v>2146</v>
      </c>
      <c r="S9" s="35">
        <v>1287</v>
      </c>
      <c r="T9" s="35">
        <v>858</v>
      </c>
      <c r="U9" s="35">
        <v>2575</v>
      </c>
      <c r="V9" s="35">
        <v>10728</v>
      </c>
      <c r="W9" s="35">
        <v>0</v>
      </c>
      <c r="X9" s="35" t="s">
        <v>2057</v>
      </c>
      <c r="Y9" s="35" t="s">
        <v>2058</v>
      </c>
      <c r="AA9" s="35">
        <v>480</v>
      </c>
      <c r="AB9" s="35" t="s">
        <v>2068</v>
      </c>
      <c r="AC9" s="35" t="s">
        <v>2059</v>
      </c>
      <c r="AD9" s="35" t="s">
        <v>939</v>
      </c>
    </row>
    <row r="10" spans="1:1023">
      <c r="A10" s="35" t="s">
        <v>2086</v>
      </c>
      <c r="B10" s="35" t="s">
        <v>2087</v>
      </c>
      <c r="C10" s="35" t="s">
        <v>2052</v>
      </c>
      <c r="D10" s="35" t="s">
        <v>2078</v>
      </c>
      <c r="E10" s="35" t="s">
        <v>2079</v>
      </c>
      <c r="F10" s="35" t="s">
        <v>2088</v>
      </c>
      <c r="G10" s="36" t="s">
        <v>2089</v>
      </c>
      <c r="H10" s="35" t="s">
        <v>91</v>
      </c>
      <c r="I10" s="35" t="s">
        <v>145</v>
      </c>
      <c r="J10" s="35" t="s">
        <v>88</v>
      </c>
      <c r="K10" s="35" t="s">
        <v>88</v>
      </c>
      <c r="L10" s="35">
        <v>47</v>
      </c>
      <c r="M10" s="35" t="s">
        <v>87</v>
      </c>
      <c r="N10" s="35" t="s">
        <v>87</v>
      </c>
      <c r="O10" s="35" t="s">
        <v>88</v>
      </c>
      <c r="P10" s="35">
        <v>42580</v>
      </c>
      <c r="Q10" s="35">
        <v>1703</v>
      </c>
      <c r="R10" s="35">
        <v>0</v>
      </c>
      <c r="S10" s="35">
        <v>1277</v>
      </c>
      <c r="T10" s="35">
        <v>852</v>
      </c>
      <c r="U10" s="35">
        <v>0</v>
      </c>
      <c r="V10" s="35">
        <v>0</v>
      </c>
      <c r="W10" s="35">
        <v>0</v>
      </c>
      <c r="X10" s="35" t="s">
        <v>2057</v>
      </c>
      <c r="Y10" s="35" t="s">
        <v>2058</v>
      </c>
      <c r="AA10" s="35">
        <v>0</v>
      </c>
      <c r="AB10" s="35" t="s">
        <v>2078</v>
      </c>
      <c r="AC10" s="35" t="s">
        <v>2059</v>
      </c>
      <c r="AD10" s="35" t="s">
        <v>1039</v>
      </c>
    </row>
    <row r="11" spans="1:1023">
      <c r="A11" s="35" t="s">
        <v>2090</v>
      </c>
      <c r="B11" s="35" t="s">
        <v>2091</v>
      </c>
      <c r="C11" s="35" t="s">
        <v>2052</v>
      </c>
      <c r="D11" s="35" t="s">
        <v>2092</v>
      </c>
      <c r="E11" s="35" t="s">
        <v>2093</v>
      </c>
      <c r="F11" s="35" t="s">
        <v>2094</v>
      </c>
      <c r="G11" s="36" t="s">
        <v>2095</v>
      </c>
      <c r="H11" s="35" t="s">
        <v>86</v>
      </c>
      <c r="I11" s="35" t="s">
        <v>85</v>
      </c>
      <c r="J11" s="35" t="s">
        <v>88</v>
      </c>
      <c r="K11" s="35" t="s">
        <v>88</v>
      </c>
      <c r="L11" s="35">
        <v>28</v>
      </c>
      <c r="M11" s="35" t="s">
        <v>87</v>
      </c>
      <c r="N11" s="35" t="s">
        <v>87</v>
      </c>
      <c r="O11" s="35" t="s">
        <v>88</v>
      </c>
      <c r="P11" s="35">
        <v>44197</v>
      </c>
      <c r="Q11" s="35">
        <v>1768</v>
      </c>
      <c r="R11" s="35">
        <v>0</v>
      </c>
      <c r="S11" s="35">
        <v>1326</v>
      </c>
      <c r="T11" s="35">
        <v>884</v>
      </c>
      <c r="U11" s="35">
        <v>2652</v>
      </c>
      <c r="V11" s="35">
        <v>11049</v>
      </c>
      <c r="W11" s="35">
        <v>0</v>
      </c>
      <c r="X11" s="35" t="s">
        <v>2057</v>
      </c>
      <c r="Y11" s="35" t="s">
        <v>2058</v>
      </c>
      <c r="AA11" s="35">
        <v>960</v>
      </c>
      <c r="AB11" s="35" t="s">
        <v>2092</v>
      </c>
      <c r="AC11" s="35" t="s">
        <v>2059</v>
      </c>
      <c r="AD11" s="35" t="s">
        <v>323</v>
      </c>
    </row>
    <row r="12" spans="1:1023">
      <c r="A12" s="35" t="s">
        <v>2072</v>
      </c>
      <c r="B12" s="35" t="s">
        <v>2073</v>
      </c>
      <c r="C12" s="35" t="s">
        <v>2052</v>
      </c>
      <c r="D12" s="35" t="s">
        <v>2092</v>
      </c>
      <c r="E12" s="35" t="s">
        <v>2093</v>
      </c>
      <c r="F12" s="35" t="s">
        <v>2096</v>
      </c>
      <c r="G12" s="36" t="s">
        <v>2097</v>
      </c>
      <c r="H12" s="35" t="s">
        <v>91</v>
      </c>
      <c r="I12" s="35" t="s">
        <v>85</v>
      </c>
      <c r="J12" s="35" t="s">
        <v>88</v>
      </c>
      <c r="K12" s="35" t="s">
        <v>88</v>
      </c>
      <c r="L12" s="35">
        <v>38</v>
      </c>
      <c r="M12" s="35" t="s">
        <v>87</v>
      </c>
      <c r="N12" s="35" t="s">
        <v>87</v>
      </c>
      <c r="O12" s="35" t="s">
        <v>88</v>
      </c>
      <c r="P12" s="35">
        <v>39994</v>
      </c>
      <c r="Q12" s="35">
        <v>1600</v>
      </c>
      <c r="R12" s="35">
        <v>2000</v>
      </c>
      <c r="S12" s="35">
        <v>1200</v>
      </c>
      <c r="T12" s="35">
        <v>800</v>
      </c>
      <c r="U12" s="35">
        <v>2400</v>
      </c>
      <c r="V12" s="35">
        <v>9998</v>
      </c>
      <c r="W12" s="35">
        <v>0</v>
      </c>
      <c r="X12" s="35" t="s">
        <v>2057</v>
      </c>
      <c r="Y12" s="35" t="s">
        <v>2058</v>
      </c>
      <c r="AA12" s="35">
        <v>480</v>
      </c>
      <c r="AB12" s="35" t="s">
        <v>2092</v>
      </c>
      <c r="AC12" s="35" t="s">
        <v>2059</v>
      </c>
      <c r="AD12" s="35" t="s">
        <v>1139</v>
      </c>
    </row>
    <row r="13" spans="1:1023">
      <c r="A13" s="35" t="s">
        <v>2090</v>
      </c>
      <c r="B13" s="35" t="s">
        <v>2091</v>
      </c>
      <c r="C13" s="35" t="s">
        <v>2052</v>
      </c>
      <c r="D13" s="35" t="s">
        <v>2092</v>
      </c>
      <c r="E13" s="35" t="s">
        <v>2093</v>
      </c>
      <c r="F13" s="35" t="s">
        <v>2098</v>
      </c>
      <c r="G13" s="36" t="s">
        <v>2099</v>
      </c>
      <c r="H13" s="35" t="s">
        <v>86</v>
      </c>
      <c r="I13" s="35" t="s">
        <v>85</v>
      </c>
      <c r="J13" s="35" t="s">
        <v>88</v>
      </c>
      <c r="K13" s="35" t="s">
        <v>88</v>
      </c>
      <c r="L13" s="35">
        <v>46</v>
      </c>
      <c r="M13" s="35" t="s">
        <v>87</v>
      </c>
      <c r="N13" s="35" t="s">
        <v>87</v>
      </c>
      <c r="O13" s="35" t="s">
        <v>88</v>
      </c>
      <c r="P13" s="35">
        <v>45935</v>
      </c>
      <c r="Q13" s="35">
        <v>1837</v>
      </c>
      <c r="R13" s="35">
        <v>0</v>
      </c>
      <c r="S13" s="35">
        <v>1378</v>
      </c>
      <c r="T13" s="35">
        <v>919</v>
      </c>
      <c r="U13" s="35">
        <v>2756</v>
      </c>
      <c r="V13" s="35">
        <v>11484</v>
      </c>
      <c r="W13" s="35">
        <v>0</v>
      </c>
      <c r="X13" s="35" t="s">
        <v>2057</v>
      </c>
      <c r="Y13" s="35" t="s">
        <v>2058</v>
      </c>
      <c r="AA13" s="35">
        <v>1200</v>
      </c>
      <c r="AB13" s="35" t="s">
        <v>2092</v>
      </c>
      <c r="AC13" s="35" t="s">
        <v>2059</v>
      </c>
      <c r="AD13" s="35" t="s">
        <v>1270</v>
      </c>
    </row>
    <row r="14" spans="1:1023">
      <c r="A14" s="35" t="s">
        <v>2050</v>
      </c>
      <c r="B14" s="35" t="s">
        <v>2051</v>
      </c>
      <c r="C14" s="35" t="s">
        <v>2052</v>
      </c>
      <c r="D14" s="35" t="s">
        <v>2082</v>
      </c>
      <c r="E14" s="35" t="s">
        <v>2083</v>
      </c>
      <c r="F14" s="35" t="s">
        <v>2100</v>
      </c>
      <c r="G14" s="36" t="s">
        <v>2101</v>
      </c>
      <c r="H14" s="35" t="s">
        <v>91</v>
      </c>
      <c r="I14" s="35" t="s">
        <v>85</v>
      </c>
      <c r="J14" s="35" t="s">
        <v>88</v>
      </c>
      <c r="K14" s="35" t="s">
        <v>88</v>
      </c>
      <c r="L14" s="35">
        <v>40</v>
      </c>
      <c r="M14" s="35" t="s">
        <v>87</v>
      </c>
      <c r="N14" s="35" t="s">
        <v>87</v>
      </c>
      <c r="O14" s="35" t="s">
        <v>88</v>
      </c>
      <c r="P14" s="35">
        <v>37690</v>
      </c>
      <c r="Q14" s="35">
        <v>1508</v>
      </c>
      <c r="R14" s="35">
        <v>1884</v>
      </c>
      <c r="S14" s="35">
        <v>1131</v>
      </c>
      <c r="T14" s="35">
        <v>754</v>
      </c>
      <c r="U14" s="35">
        <v>2261</v>
      </c>
      <c r="V14" s="35">
        <v>9422</v>
      </c>
      <c r="W14" s="35">
        <v>0</v>
      </c>
      <c r="X14" s="35" t="s">
        <v>2057</v>
      </c>
      <c r="Y14" s="35" t="s">
        <v>2058</v>
      </c>
      <c r="AA14" s="35">
        <v>640</v>
      </c>
      <c r="AB14" s="35" t="s">
        <v>2082</v>
      </c>
      <c r="AC14" s="35" t="s">
        <v>2059</v>
      </c>
      <c r="AD14" s="35" t="s">
        <v>1319</v>
      </c>
    </row>
    <row r="15" spans="1:1023">
      <c r="A15" s="35" t="s">
        <v>2076</v>
      </c>
      <c r="B15" s="35" t="s">
        <v>2077</v>
      </c>
      <c r="C15" s="35" t="s">
        <v>2052</v>
      </c>
      <c r="D15" s="35" t="s">
        <v>2078</v>
      </c>
      <c r="E15" s="35" t="s">
        <v>2079</v>
      </c>
      <c r="F15" s="35" t="s">
        <v>2102</v>
      </c>
      <c r="G15" s="36" t="s">
        <v>2103</v>
      </c>
      <c r="H15" s="35" t="s">
        <v>86</v>
      </c>
      <c r="I15" s="35" t="s">
        <v>97</v>
      </c>
      <c r="J15" s="35" t="s">
        <v>88</v>
      </c>
      <c r="K15" s="35" t="s">
        <v>88</v>
      </c>
      <c r="L15" s="35">
        <v>50</v>
      </c>
      <c r="M15" s="35" t="s">
        <v>87</v>
      </c>
      <c r="N15" s="35" t="s">
        <v>87</v>
      </c>
      <c r="O15" s="35" t="s">
        <v>88</v>
      </c>
      <c r="P15" s="35">
        <v>15197</v>
      </c>
      <c r="Q15" s="35">
        <v>608</v>
      </c>
      <c r="R15" s="35">
        <v>0</v>
      </c>
      <c r="S15" s="35">
        <v>456</v>
      </c>
      <c r="T15" s="35">
        <v>304</v>
      </c>
      <c r="U15" s="35">
        <v>0</v>
      </c>
      <c r="V15" s="35">
        <v>0</v>
      </c>
      <c r="W15" s="35">
        <v>0</v>
      </c>
      <c r="X15" s="35" t="s">
        <v>2057</v>
      </c>
      <c r="Y15" s="35" t="s">
        <v>2058</v>
      </c>
      <c r="AA15" s="35">
        <v>0</v>
      </c>
      <c r="AB15" s="35" t="s">
        <v>2078</v>
      </c>
      <c r="AC15" s="35" t="s">
        <v>2059</v>
      </c>
    </row>
    <row r="16" spans="1:1023">
      <c r="A16" s="35" t="s">
        <v>2050</v>
      </c>
      <c r="B16" s="35" t="s">
        <v>2051</v>
      </c>
      <c r="C16" s="35" t="s">
        <v>2052</v>
      </c>
      <c r="D16" s="35" t="s">
        <v>2078</v>
      </c>
      <c r="E16" s="35" t="s">
        <v>2079</v>
      </c>
      <c r="F16" s="35" t="s">
        <v>2104</v>
      </c>
      <c r="G16" s="36" t="s">
        <v>2105</v>
      </c>
      <c r="H16" s="35" t="s">
        <v>86</v>
      </c>
      <c r="I16" s="35" t="s">
        <v>123</v>
      </c>
      <c r="J16" s="35" t="s">
        <v>88</v>
      </c>
      <c r="K16" s="35" t="s">
        <v>88</v>
      </c>
      <c r="L16" s="35">
        <v>22</v>
      </c>
      <c r="M16" s="35" t="s">
        <v>88</v>
      </c>
      <c r="N16" s="35" t="s">
        <v>87</v>
      </c>
      <c r="O16" s="35" t="s">
        <v>88</v>
      </c>
      <c r="P16" s="35">
        <v>30253</v>
      </c>
      <c r="Q16" s="35">
        <v>1210</v>
      </c>
      <c r="R16" s="35">
        <v>1513</v>
      </c>
      <c r="S16" s="35">
        <v>908</v>
      </c>
      <c r="T16" s="35">
        <v>605</v>
      </c>
      <c r="U16" s="35">
        <v>1815</v>
      </c>
      <c r="V16" s="35">
        <v>7563</v>
      </c>
      <c r="W16" s="35">
        <v>0</v>
      </c>
      <c r="X16" s="35" t="s">
        <v>2057</v>
      </c>
      <c r="Y16" s="35" t="s">
        <v>2058</v>
      </c>
      <c r="AA16" s="35">
        <v>480</v>
      </c>
      <c r="AB16" s="35" t="s">
        <v>2078</v>
      </c>
      <c r="AC16" s="35" t="s">
        <v>2059</v>
      </c>
    </row>
    <row r="17" spans="1:30">
      <c r="A17" s="35" t="s">
        <v>2086</v>
      </c>
      <c r="B17" s="35" t="s">
        <v>2087</v>
      </c>
      <c r="C17" s="35" t="s">
        <v>2052</v>
      </c>
      <c r="D17" s="35" t="s">
        <v>2068</v>
      </c>
      <c r="E17" s="35" t="s">
        <v>2069</v>
      </c>
      <c r="F17" s="35" t="s">
        <v>878</v>
      </c>
      <c r="G17" s="36" t="s">
        <v>2106</v>
      </c>
      <c r="H17" s="35" t="s">
        <v>86</v>
      </c>
      <c r="I17" s="35" t="s">
        <v>85</v>
      </c>
      <c r="J17" s="35" t="s">
        <v>88</v>
      </c>
      <c r="K17" s="35" t="s">
        <v>88</v>
      </c>
      <c r="L17" s="35">
        <v>39</v>
      </c>
      <c r="M17" s="35" t="s">
        <v>87</v>
      </c>
      <c r="N17" s="35" t="s">
        <v>87</v>
      </c>
      <c r="O17" s="35" t="s">
        <v>88</v>
      </c>
      <c r="P17" s="35">
        <v>37511</v>
      </c>
      <c r="Q17" s="35">
        <v>1500</v>
      </c>
      <c r="R17" s="35">
        <v>0</v>
      </c>
      <c r="S17" s="35">
        <v>1125</v>
      </c>
      <c r="T17" s="35">
        <v>750</v>
      </c>
      <c r="U17" s="35">
        <v>0</v>
      </c>
      <c r="V17" s="35">
        <v>0</v>
      </c>
      <c r="W17" s="35">
        <v>0</v>
      </c>
      <c r="X17" s="35" t="s">
        <v>2057</v>
      </c>
      <c r="Y17" s="35" t="s">
        <v>2058</v>
      </c>
      <c r="AA17" s="35">
        <v>0</v>
      </c>
      <c r="AB17" s="35" t="s">
        <v>2068</v>
      </c>
      <c r="AC17" s="35" t="s">
        <v>2059</v>
      </c>
      <c r="AD17" s="35" t="s">
        <v>362</v>
      </c>
    </row>
    <row r="18" spans="1:30">
      <c r="A18" s="35" t="s">
        <v>2076</v>
      </c>
      <c r="B18" s="35" t="s">
        <v>2077</v>
      </c>
      <c r="C18" s="35" t="s">
        <v>2052</v>
      </c>
      <c r="D18" s="35" t="s">
        <v>2107</v>
      </c>
      <c r="E18" s="35" t="s">
        <v>2108</v>
      </c>
      <c r="F18" s="35" t="s">
        <v>2109</v>
      </c>
      <c r="G18" s="36" t="s">
        <v>2110</v>
      </c>
      <c r="H18" s="35" t="s">
        <v>86</v>
      </c>
      <c r="I18" s="35" t="s">
        <v>85</v>
      </c>
      <c r="J18" s="35" t="s">
        <v>88</v>
      </c>
      <c r="K18" s="35" t="s">
        <v>88</v>
      </c>
      <c r="L18" s="35">
        <v>38</v>
      </c>
      <c r="M18" s="35" t="s">
        <v>87</v>
      </c>
      <c r="N18" s="35" t="s">
        <v>87</v>
      </c>
      <c r="O18" s="35" t="s">
        <v>88</v>
      </c>
      <c r="P18" s="35">
        <v>33538</v>
      </c>
      <c r="Q18" s="35">
        <v>1342</v>
      </c>
      <c r="R18" s="35">
        <v>0</v>
      </c>
      <c r="S18" s="35">
        <v>1006</v>
      </c>
      <c r="T18" s="35">
        <v>671</v>
      </c>
      <c r="U18" s="35">
        <v>0</v>
      </c>
      <c r="V18" s="35">
        <v>0</v>
      </c>
      <c r="W18" s="35">
        <v>0</v>
      </c>
      <c r="X18" s="35" t="s">
        <v>2057</v>
      </c>
      <c r="Y18" s="35" t="s">
        <v>2058</v>
      </c>
      <c r="AA18" s="35">
        <v>0</v>
      </c>
      <c r="AB18" s="35" t="s">
        <v>2107</v>
      </c>
      <c r="AC18" s="35" t="s">
        <v>2059</v>
      </c>
      <c r="AD18" s="35" t="s">
        <v>1983</v>
      </c>
    </row>
    <row r="19" spans="1:30">
      <c r="A19" s="35" t="s">
        <v>2090</v>
      </c>
      <c r="B19" s="35" t="s">
        <v>2091</v>
      </c>
      <c r="C19" s="35" t="s">
        <v>2052</v>
      </c>
      <c r="D19" s="35" t="s">
        <v>2082</v>
      </c>
      <c r="E19" s="35" t="s">
        <v>2083</v>
      </c>
      <c r="F19" s="35" t="s">
        <v>2111</v>
      </c>
      <c r="G19" s="36" t="s">
        <v>2112</v>
      </c>
      <c r="H19" s="35" t="s">
        <v>91</v>
      </c>
      <c r="I19" s="35" t="s">
        <v>145</v>
      </c>
      <c r="J19" s="35" t="s">
        <v>88</v>
      </c>
      <c r="K19" s="35" t="s">
        <v>88</v>
      </c>
      <c r="L19" s="35">
        <v>50</v>
      </c>
      <c r="M19" s="35" t="s">
        <v>87</v>
      </c>
      <c r="N19" s="35" t="s">
        <v>87</v>
      </c>
      <c r="O19" s="35" t="s">
        <v>88</v>
      </c>
      <c r="P19" s="35">
        <v>36264</v>
      </c>
      <c r="Q19" s="35">
        <v>1451</v>
      </c>
      <c r="R19" s="35">
        <v>0</v>
      </c>
      <c r="S19" s="35">
        <v>1088</v>
      </c>
      <c r="T19" s="35">
        <v>725</v>
      </c>
      <c r="U19" s="35">
        <v>2176</v>
      </c>
      <c r="V19" s="35">
        <v>9066</v>
      </c>
      <c r="W19" s="35">
        <v>0</v>
      </c>
      <c r="X19" s="35" t="s">
        <v>2057</v>
      </c>
      <c r="Y19" s="35" t="s">
        <v>2058</v>
      </c>
      <c r="AA19" s="35">
        <v>640</v>
      </c>
      <c r="AB19" s="35" t="s">
        <v>2082</v>
      </c>
      <c r="AC19" s="35" t="s">
        <v>2059</v>
      </c>
      <c r="AD19" s="35" t="s">
        <v>323</v>
      </c>
    </row>
    <row r="20" spans="1:30">
      <c r="A20" s="35" t="s">
        <v>2090</v>
      </c>
      <c r="B20" s="35" t="s">
        <v>2091</v>
      </c>
      <c r="C20" s="35" t="s">
        <v>2052</v>
      </c>
      <c r="D20" s="35" t="s">
        <v>2107</v>
      </c>
      <c r="E20" s="35" t="s">
        <v>2108</v>
      </c>
      <c r="F20" s="35" t="s">
        <v>263</v>
      </c>
      <c r="G20" s="36" t="s">
        <v>2113</v>
      </c>
      <c r="H20" s="35" t="s">
        <v>86</v>
      </c>
      <c r="I20" s="35" t="s">
        <v>85</v>
      </c>
      <c r="J20" s="35" t="s">
        <v>88</v>
      </c>
      <c r="K20" s="35" t="s">
        <v>88</v>
      </c>
      <c r="L20" s="35">
        <v>52</v>
      </c>
      <c r="M20" s="35" t="s">
        <v>87</v>
      </c>
      <c r="N20" s="35" t="s">
        <v>87</v>
      </c>
      <c r="O20" s="35" t="s">
        <v>88</v>
      </c>
      <c r="P20" s="35">
        <v>42117</v>
      </c>
      <c r="Q20" s="35">
        <v>1685</v>
      </c>
      <c r="R20" s="35">
        <v>0</v>
      </c>
      <c r="S20" s="35">
        <v>1264</v>
      </c>
      <c r="T20" s="35">
        <v>842</v>
      </c>
      <c r="U20" s="35">
        <v>2527</v>
      </c>
      <c r="V20" s="35">
        <v>10529</v>
      </c>
      <c r="W20" s="35">
        <v>0</v>
      </c>
      <c r="X20" s="35" t="s">
        <v>2057</v>
      </c>
      <c r="Y20" s="35" t="s">
        <v>2058</v>
      </c>
      <c r="AA20" s="35">
        <v>480</v>
      </c>
      <c r="AB20" s="35" t="s">
        <v>2107</v>
      </c>
      <c r="AC20" s="35" t="s">
        <v>2059</v>
      </c>
      <c r="AD20" s="35" t="s">
        <v>462</v>
      </c>
    </row>
    <row r="21" spans="1:30">
      <c r="A21" s="35" t="s">
        <v>2086</v>
      </c>
      <c r="B21" s="35" t="s">
        <v>2087</v>
      </c>
      <c r="C21" s="35" t="s">
        <v>2052</v>
      </c>
      <c r="D21" s="35" t="s">
        <v>2078</v>
      </c>
      <c r="E21" s="35" t="s">
        <v>2079</v>
      </c>
      <c r="F21" s="35" t="s">
        <v>2114</v>
      </c>
      <c r="G21" s="36" t="s">
        <v>2115</v>
      </c>
      <c r="H21" s="35" t="s">
        <v>91</v>
      </c>
      <c r="I21" s="35" t="s">
        <v>85</v>
      </c>
      <c r="J21" s="35" t="s">
        <v>88</v>
      </c>
      <c r="K21" s="35" t="s">
        <v>88</v>
      </c>
      <c r="L21" s="35">
        <v>53</v>
      </c>
      <c r="M21" s="35" t="s">
        <v>87</v>
      </c>
      <c r="N21" s="35" t="s">
        <v>87</v>
      </c>
      <c r="O21" s="35" t="s">
        <v>88</v>
      </c>
      <c r="P21" s="35">
        <v>42823</v>
      </c>
      <c r="Q21" s="35">
        <v>1713</v>
      </c>
      <c r="R21" s="35">
        <v>0</v>
      </c>
      <c r="S21" s="35">
        <v>1285</v>
      </c>
      <c r="T21" s="35">
        <v>856</v>
      </c>
      <c r="U21" s="35">
        <v>0</v>
      </c>
      <c r="V21" s="35">
        <v>0</v>
      </c>
      <c r="W21" s="35">
        <v>0</v>
      </c>
      <c r="X21" s="35" t="s">
        <v>2057</v>
      </c>
      <c r="Y21" s="35" t="s">
        <v>2058</v>
      </c>
      <c r="AA21" s="35">
        <v>0</v>
      </c>
      <c r="AB21" s="35" t="s">
        <v>2078</v>
      </c>
      <c r="AC21" s="35" t="s">
        <v>2059</v>
      </c>
      <c r="AD21" s="35" t="s">
        <v>1147</v>
      </c>
    </row>
    <row r="22" spans="1:30">
      <c r="A22" s="35" t="s">
        <v>2050</v>
      </c>
      <c r="B22" s="35" t="s">
        <v>2051</v>
      </c>
      <c r="C22" s="35" t="s">
        <v>2052</v>
      </c>
      <c r="D22" s="35" t="s">
        <v>2082</v>
      </c>
      <c r="E22" s="35" t="s">
        <v>2083</v>
      </c>
      <c r="F22" s="35" t="s">
        <v>2116</v>
      </c>
      <c r="G22" s="36" t="s">
        <v>2117</v>
      </c>
      <c r="H22" s="35" t="s">
        <v>91</v>
      </c>
      <c r="I22" s="35" t="s">
        <v>85</v>
      </c>
      <c r="J22" s="35" t="s">
        <v>88</v>
      </c>
      <c r="K22" s="35" t="s">
        <v>88</v>
      </c>
      <c r="L22" s="35">
        <v>26</v>
      </c>
      <c r="M22" s="35" t="s">
        <v>87</v>
      </c>
      <c r="N22" s="35" t="s">
        <v>87</v>
      </c>
      <c r="O22" s="35" t="s">
        <v>88</v>
      </c>
      <c r="P22" s="35">
        <v>44722</v>
      </c>
      <c r="Q22" s="35">
        <v>1789</v>
      </c>
      <c r="R22" s="35">
        <v>2236</v>
      </c>
      <c r="S22" s="35">
        <v>1342</v>
      </c>
      <c r="T22" s="35">
        <v>894</v>
      </c>
      <c r="U22" s="35">
        <v>2683</v>
      </c>
      <c r="V22" s="35">
        <v>11180</v>
      </c>
      <c r="W22" s="35">
        <v>0</v>
      </c>
      <c r="X22" s="35" t="s">
        <v>2057</v>
      </c>
      <c r="Y22" s="35" t="s">
        <v>2058</v>
      </c>
      <c r="AA22" s="35">
        <v>320</v>
      </c>
      <c r="AB22" s="35" t="s">
        <v>2082</v>
      </c>
      <c r="AC22" s="35" t="s">
        <v>2059</v>
      </c>
      <c r="AD22" s="35" t="s">
        <v>1059</v>
      </c>
    </row>
    <row r="23" spans="1:30">
      <c r="A23" s="35" t="s">
        <v>2072</v>
      </c>
      <c r="B23" s="35" t="s">
        <v>2073</v>
      </c>
      <c r="C23" s="35" t="s">
        <v>2052</v>
      </c>
      <c r="D23" s="35" t="s">
        <v>2062</v>
      </c>
      <c r="E23" s="35" t="s">
        <v>2063</v>
      </c>
      <c r="F23" s="35" t="s">
        <v>2118</v>
      </c>
      <c r="G23" s="36" t="s">
        <v>2119</v>
      </c>
      <c r="H23" s="35" t="s">
        <v>91</v>
      </c>
      <c r="I23" s="35" t="s">
        <v>123</v>
      </c>
      <c r="J23" s="35" t="s">
        <v>88</v>
      </c>
      <c r="K23" s="35" t="s">
        <v>88</v>
      </c>
      <c r="L23" s="35">
        <v>48</v>
      </c>
      <c r="M23" s="35" t="s">
        <v>87</v>
      </c>
      <c r="N23" s="35" t="s">
        <v>87</v>
      </c>
      <c r="O23" s="35" t="s">
        <v>88</v>
      </c>
      <c r="P23" s="35">
        <v>30915</v>
      </c>
      <c r="Q23" s="35">
        <v>1237</v>
      </c>
      <c r="R23" s="35">
        <v>1546</v>
      </c>
      <c r="S23" s="35">
        <v>927</v>
      </c>
      <c r="T23" s="35">
        <v>618</v>
      </c>
      <c r="U23" s="35">
        <v>1855</v>
      </c>
      <c r="V23" s="35">
        <v>7729</v>
      </c>
      <c r="W23" s="35">
        <v>0</v>
      </c>
      <c r="X23" s="35" t="s">
        <v>2057</v>
      </c>
      <c r="Y23" s="35" t="s">
        <v>2058</v>
      </c>
      <c r="AA23" s="35">
        <v>320</v>
      </c>
      <c r="AB23" s="35" t="s">
        <v>2062</v>
      </c>
      <c r="AC23" s="35" t="s">
        <v>2059</v>
      </c>
      <c r="AD23" s="35" t="s">
        <v>1874</v>
      </c>
    </row>
    <row r="24" spans="1:30">
      <c r="A24" s="35" t="s">
        <v>2072</v>
      </c>
      <c r="B24" s="35" t="s">
        <v>2073</v>
      </c>
      <c r="C24" s="35" t="s">
        <v>2052</v>
      </c>
      <c r="D24" s="35" t="s">
        <v>2107</v>
      </c>
      <c r="E24" s="35" t="s">
        <v>2108</v>
      </c>
      <c r="F24" s="35" t="s">
        <v>127</v>
      </c>
      <c r="G24" s="36" t="s">
        <v>2120</v>
      </c>
      <c r="H24" s="35" t="s">
        <v>86</v>
      </c>
      <c r="I24" s="35" t="s">
        <v>85</v>
      </c>
      <c r="J24" s="35" t="s">
        <v>88</v>
      </c>
      <c r="K24" s="35" t="s">
        <v>88</v>
      </c>
      <c r="L24" s="35">
        <v>26</v>
      </c>
      <c r="M24" s="35" t="s">
        <v>87</v>
      </c>
      <c r="N24" s="35" t="s">
        <v>87</v>
      </c>
      <c r="O24" s="35" t="s">
        <v>88</v>
      </c>
      <c r="P24" s="35">
        <v>43663</v>
      </c>
      <c r="Q24" s="35">
        <v>1747</v>
      </c>
      <c r="R24" s="35">
        <v>2183</v>
      </c>
      <c r="S24" s="35">
        <v>1310</v>
      </c>
      <c r="T24" s="35">
        <v>873</v>
      </c>
      <c r="U24" s="35">
        <v>2620</v>
      </c>
      <c r="V24" s="35">
        <v>10916</v>
      </c>
      <c r="W24" s="35">
        <v>0</v>
      </c>
      <c r="X24" s="35" t="s">
        <v>2057</v>
      </c>
      <c r="Y24" s="35" t="s">
        <v>2058</v>
      </c>
      <c r="AA24" s="35">
        <v>320</v>
      </c>
      <c r="AB24" s="35" t="s">
        <v>2107</v>
      </c>
      <c r="AC24" s="35" t="s">
        <v>2059</v>
      </c>
      <c r="AD24" s="35" t="s">
        <v>1382</v>
      </c>
    </row>
    <row r="25" spans="1:30">
      <c r="A25" s="35" t="s">
        <v>2060</v>
      </c>
      <c r="B25" s="35" t="s">
        <v>2061</v>
      </c>
      <c r="C25" s="35" t="s">
        <v>2052</v>
      </c>
      <c r="D25" s="35" t="s">
        <v>2078</v>
      </c>
      <c r="E25" s="35" t="s">
        <v>2079</v>
      </c>
      <c r="F25" s="35" t="s">
        <v>2121</v>
      </c>
      <c r="G25" s="36" t="s">
        <v>2122</v>
      </c>
      <c r="H25" s="35" t="s">
        <v>91</v>
      </c>
      <c r="I25" s="35" t="s">
        <v>85</v>
      </c>
      <c r="J25" s="35" t="s">
        <v>88</v>
      </c>
      <c r="K25" s="35" t="s">
        <v>88</v>
      </c>
      <c r="L25" s="35">
        <v>41</v>
      </c>
      <c r="M25" s="35" t="s">
        <v>87</v>
      </c>
      <c r="N25" s="35" t="s">
        <v>87</v>
      </c>
      <c r="O25" s="35" t="s">
        <v>88</v>
      </c>
      <c r="P25" s="35">
        <v>30117</v>
      </c>
      <c r="Q25" s="35">
        <v>1205</v>
      </c>
      <c r="R25" s="35">
        <v>0</v>
      </c>
      <c r="S25" s="35">
        <v>904</v>
      </c>
      <c r="T25" s="35">
        <v>602</v>
      </c>
      <c r="U25" s="35">
        <v>0</v>
      </c>
      <c r="V25" s="35">
        <v>0</v>
      </c>
      <c r="W25" s="35">
        <v>0</v>
      </c>
      <c r="X25" s="35" t="s">
        <v>2057</v>
      </c>
      <c r="Y25" s="35" t="s">
        <v>2058</v>
      </c>
      <c r="AA25" s="35">
        <v>0</v>
      </c>
      <c r="AB25" s="35" t="s">
        <v>2078</v>
      </c>
      <c r="AC25" s="35" t="s">
        <v>2059</v>
      </c>
      <c r="AD25" s="35" t="s">
        <v>2001</v>
      </c>
    </row>
    <row r="26" spans="1:30">
      <c r="A26" s="35" t="s">
        <v>2066</v>
      </c>
      <c r="B26" s="35" t="s">
        <v>2067</v>
      </c>
      <c r="C26" s="35" t="s">
        <v>2052</v>
      </c>
      <c r="D26" s="35" t="s">
        <v>2068</v>
      </c>
      <c r="E26" s="35" t="s">
        <v>2069</v>
      </c>
      <c r="F26" s="35" t="s">
        <v>2123</v>
      </c>
      <c r="G26" s="36" t="s">
        <v>2124</v>
      </c>
      <c r="H26" s="35" t="s">
        <v>91</v>
      </c>
      <c r="I26" s="35" t="s">
        <v>97</v>
      </c>
      <c r="J26" s="35" t="s">
        <v>88</v>
      </c>
      <c r="K26" s="35" t="s">
        <v>88</v>
      </c>
      <c r="L26" s="35">
        <v>39</v>
      </c>
      <c r="M26" s="35" t="s">
        <v>87</v>
      </c>
      <c r="N26" s="35" t="s">
        <v>87</v>
      </c>
      <c r="O26" s="35" t="s">
        <v>88</v>
      </c>
      <c r="P26" s="35">
        <v>19873</v>
      </c>
      <c r="Q26" s="35">
        <v>795</v>
      </c>
      <c r="R26" s="35">
        <v>0</v>
      </c>
      <c r="S26" s="35">
        <v>596</v>
      </c>
      <c r="T26" s="35">
        <v>397</v>
      </c>
      <c r="U26" s="35">
        <v>0</v>
      </c>
      <c r="V26" s="35">
        <v>0</v>
      </c>
      <c r="W26" s="35">
        <v>0</v>
      </c>
      <c r="X26" s="35" t="s">
        <v>2057</v>
      </c>
      <c r="Y26" s="35" t="s">
        <v>2058</v>
      </c>
      <c r="AA26" s="35">
        <v>0</v>
      </c>
      <c r="AB26" s="35" t="s">
        <v>2068</v>
      </c>
      <c r="AC26" s="35" t="s">
        <v>2059</v>
      </c>
    </row>
    <row r="27" spans="1:30">
      <c r="A27" s="35" t="s">
        <v>2072</v>
      </c>
      <c r="B27" s="35" t="s">
        <v>2073</v>
      </c>
      <c r="C27" s="35" t="s">
        <v>2052</v>
      </c>
      <c r="D27" s="35" t="s">
        <v>2107</v>
      </c>
      <c r="E27" s="35" t="s">
        <v>2108</v>
      </c>
      <c r="F27" s="35" t="s">
        <v>2125</v>
      </c>
      <c r="G27" s="36" t="s">
        <v>2126</v>
      </c>
      <c r="H27" s="35" t="s">
        <v>91</v>
      </c>
      <c r="I27" s="35" t="s">
        <v>123</v>
      </c>
      <c r="J27" s="35" t="s">
        <v>88</v>
      </c>
      <c r="K27" s="35" t="s">
        <v>88</v>
      </c>
      <c r="L27" s="35">
        <v>44</v>
      </c>
      <c r="M27" s="35" t="s">
        <v>87</v>
      </c>
      <c r="N27" s="35" t="s">
        <v>87</v>
      </c>
      <c r="O27" s="35" t="s">
        <v>88</v>
      </c>
      <c r="P27" s="35">
        <v>33669</v>
      </c>
      <c r="Q27" s="35">
        <v>1347</v>
      </c>
      <c r="R27" s="35">
        <v>1683</v>
      </c>
      <c r="S27" s="35">
        <v>1010</v>
      </c>
      <c r="T27" s="35">
        <v>673</v>
      </c>
      <c r="U27" s="35">
        <v>2020</v>
      </c>
      <c r="V27" s="35">
        <v>8417</v>
      </c>
      <c r="W27" s="35">
        <v>0</v>
      </c>
      <c r="X27" s="35" t="s">
        <v>2057</v>
      </c>
      <c r="Y27" s="35" t="s">
        <v>2058</v>
      </c>
      <c r="AA27" s="35">
        <v>480</v>
      </c>
      <c r="AB27" s="35" t="s">
        <v>2107</v>
      </c>
      <c r="AC27" s="35" t="s">
        <v>2059</v>
      </c>
      <c r="AD27" s="35" t="s">
        <v>1897</v>
      </c>
    </row>
    <row r="28" spans="1:30">
      <c r="A28" s="35" t="s">
        <v>2050</v>
      </c>
      <c r="B28" s="35" t="s">
        <v>2051</v>
      </c>
      <c r="C28" s="35" t="s">
        <v>2052</v>
      </c>
      <c r="D28" s="35" t="s">
        <v>2082</v>
      </c>
      <c r="E28" s="35" t="s">
        <v>2083</v>
      </c>
      <c r="F28" s="35" t="s">
        <v>1569</v>
      </c>
      <c r="G28" s="36" t="s">
        <v>2127</v>
      </c>
      <c r="H28" s="35" t="s">
        <v>91</v>
      </c>
      <c r="I28" s="35" t="s">
        <v>85</v>
      </c>
      <c r="J28" s="35" t="s">
        <v>88</v>
      </c>
      <c r="K28" s="35" t="s">
        <v>88</v>
      </c>
      <c r="L28" s="35">
        <v>30</v>
      </c>
      <c r="M28" s="35" t="s">
        <v>88</v>
      </c>
      <c r="N28" s="35" t="s">
        <v>87</v>
      </c>
      <c r="O28" s="35" t="s">
        <v>88</v>
      </c>
      <c r="P28" s="35">
        <v>31429</v>
      </c>
      <c r="Q28" s="35">
        <v>1257</v>
      </c>
      <c r="R28" s="35">
        <v>1571</v>
      </c>
      <c r="S28" s="35">
        <v>943</v>
      </c>
      <c r="T28" s="35">
        <v>629</v>
      </c>
      <c r="U28" s="35">
        <v>1886</v>
      </c>
      <c r="V28" s="35">
        <v>7857</v>
      </c>
      <c r="W28" s="35">
        <v>0</v>
      </c>
      <c r="X28" s="35" t="s">
        <v>2057</v>
      </c>
      <c r="Y28" s="35" t="s">
        <v>2058</v>
      </c>
      <c r="AA28" s="35">
        <v>320</v>
      </c>
      <c r="AB28" s="35" t="s">
        <v>2082</v>
      </c>
      <c r="AC28" s="35" t="s">
        <v>2059</v>
      </c>
    </row>
    <row r="29" spans="1:30">
      <c r="A29" s="35" t="s">
        <v>2050</v>
      </c>
      <c r="B29" s="35" t="s">
        <v>2051</v>
      </c>
      <c r="C29" s="35" t="s">
        <v>2052</v>
      </c>
      <c r="D29" s="35" t="s">
        <v>2062</v>
      </c>
      <c r="E29" s="35" t="s">
        <v>2063</v>
      </c>
      <c r="F29" s="35" t="s">
        <v>2128</v>
      </c>
      <c r="G29" s="36" t="s">
        <v>2129</v>
      </c>
      <c r="H29" s="35" t="s">
        <v>86</v>
      </c>
      <c r="I29" s="35" t="s">
        <v>85</v>
      </c>
      <c r="J29" s="35" t="s">
        <v>88</v>
      </c>
      <c r="K29" s="35" t="s">
        <v>88</v>
      </c>
      <c r="L29" s="35">
        <v>58</v>
      </c>
      <c r="M29" s="35" t="s">
        <v>87</v>
      </c>
      <c r="N29" s="35" t="s">
        <v>87</v>
      </c>
      <c r="O29" s="35" t="s">
        <v>88</v>
      </c>
      <c r="P29" s="35">
        <v>41539</v>
      </c>
      <c r="Q29" s="35">
        <v>1662</v>
      </c>
      <c r="R29" s="35">
        <v>2077</v>
      </c>
      <c r="S29" s="35">
        <v>1246</v>
      </c>
      <c r="T29" s="35">
        <v>831</v>
      </c>
      <c r="U29" s="35">
        <v>2492</v>
      </c>
      <c r="V29" s="35">
        <v>10385</v>
      </c>
      <c r="W29" s="35">
        <v>0</v>
      </c>
      <c r="X29" s="35" t="s">
        <v>2057</v>
      </c>
      <c r="Y29" s="35" t="s">
        <v>2058</v>
      </c>
      <c r="AA29" s="35">
        <v>640</v>
      </c>
      <c r="AB29" s="35" t="s">
        <v>2062</v>
      </c>
      <c r="AC29" s="35" t="s">
        <v>2059</v>
      </c>
      <c r="AD29" s="35" t="s">
        <v>1059</v>
      </c>
    </row>
    <row r="30" spans="1:30">
      <c r="A30" s="35" t="s">
        <v>2060</v>
      </c>
      <c r="B30" s="35" t="s">
        <v>2061</v>
      </c>
      <c r="C30" s="35" t="s">
        <v>2052</v>
      </c>
      <c r="D30" s="35" t="s">
        <v>2107</v>
      </c>
      <c r="E30" s="35" t="s">
        <v>2108</v>
      </c>
      <c r="F30" s="35" t="s">
        <v>2130</v>
      </c>
      <c r="G30" s="36" t="s">
        <v>2131</v>
      </c>
      <c r="H30" s="35" t="s">
        <v>91</v>
      </c>
      <c r="I30" s="35" t="s">
        <v>85</v>
      </c>
      <c r="J30" s="35" t="s">
        <v>88</v>
      </c>
      <c r="K30" s="35" t="s">
        <v>88</v>
      </c>
      <c r="L30" s="35">
        <v>45</v>
      </c>
      <c r="M30" s="35" t="s">
        <v>87</v>
      </c>
      <c r="N30" s="35" t="s">
        <v>87</v>
      </c>
      <c r="O30" s="35" t="s">
        <v>88</v>
      </c>
      <c r="P30" s="35">
        <v>43787</v>
      </c>
      <c r="Q30" s="35">
        <v>1751</v>
      </c>
      <c r="R30" s="35">
        <v>0</v>
      </c>
      <c r="S30" s="35">
        <v>1314</v>
      </c>
      <c r="T30" s="35">
        <v>876</v>
      </c>
      <c r="U30" s="35">
        <v>0</v>
      </c>
      <c r="V30" s="35">
        <v>0</v>
      </c>
      <c r="W30" s="35">
        <v>0</v>
      </c>
      <c r="X30" s="35" t="s">
        <v>2057</v>
      </c>
      <c r="Y30" s="35" t="s">
        <v>2058</v>
      </c>
      <c r="AA30" s="35">
        <v>0</v>
      </c>
      <c r="AB30" s="35" t="s">
        <v>2107</v>
      </c>
      <c r="AC30" s="35" t="s">
        <v>2059</v>
      </c>
      <c r="AD30" s="35" t="s">
        <v>358</v>
      </c>
    </row>
    <row r="31" spans="1:30">
      <c r="A31" s="35" t="s">
        <v>2072</v>
      </c>
      <c r="B31" s="35" t="s">
        <v>2073</v>
      </c>
      <c r="C31" s="35" t="s">
        <v>2052</v>
      </c>
      <c r="D31" s="35" t="s">
        <v>2132</v>
      </c>
      <c r="E31" s="35" t="s">
        <v>2133</v>
      </c>
      <c r="F31" s="35" t="s">
        <v>2134</v>
      </c>
      <c r="G31" s="36" t="s">
        <v>2135</v>
      </c>
      <c r="H31" s="35" t="s">
        <v>91</v>
      </c>
      <c r="I31" s="35" t="s">
        <v>85</v>
      </c>
      <c r="J31" s="35" t="s">
        <v>88</v>
      </c>
      <c r="K31" s="35" t="s">
        <v>88</v>
      </c>
      <c r="L31" s="35">
        <v>28</v>
      </c>
      <c r="M31" s="35" t="s">
        <v>87</v>
      </c>
      <c r="N31" s="35" t="s">
        <v>87</v>
      </c>
      <c r="O31" s="35" t="s">
        <v>88</v>
      </c>
      <c r="P31" s="35">
        <v>38983</v>
      </c>
      <c r="Q31" s="35">
        <v>1559</v>
      </c>
      <c r="R31" s="35">
        <v>1949</v>
      </c>
      <c r="S31" s="35">
        <v>1169</v>
      </c>
      <c r="T31" s="35">
        <v>780</v>
      </c>
      <c r="U31" s="35">
        <v>2339</v>
      </c>
      <c r="V31" s="35">
        <v>9746</v>
      </c>
      <c r="W31" s="35">
        <v>0</v>
      </c>
      <c r="X31" s="35" t="s">
        <v>2057</v>
      </c>
      <c r="Y31" s="35" t="s">
        <v>2058</v>
      </c>
      <c r="AA31" s="35">
        <v>640</v>
      </c>
      <c r="AB31" s="35" t="s">
        <v>2132</v>
      </c>
      <c r="AC31" s="35" t="s">
        <v>2059</v>
      </c>
      <c r="AD31" s="35" t="s">
        <v>536</v>
      </c>
    </row>
    <row r="32" spans="1:30">
      <c r="A32" s="35" t="s">
        <v>2050</v>
      </c>
      <c r="B32" s="35" t="s">
        <v>2051</v>
      </c>
      <c r="C32" s="35" t="s">
        <v>2052</v>
      </c>
      <c r="D32" s="35" t="s">
        <v>2062</v>
      </c>
      <c r="E32" s="35" t="s">
        <v>2063</v>
      </c>
      <c r="F32" s="35" t="s">
        <v>428</v>
      </c>
      <c r="G32" s="36" t="s">
        <v>2136</v>
      </c>
      <c r="H32" s="35" t="s">
        <v>91</v>
      </c>
      <c r="I32" s="35" t="s">
        <v>85</v>
      </c>
      <c r="J32" s="35" t="s">
        <v>88</v>
      </c>
      <c r="K32" s="35" t="s">
        <v>88</v>
      </c>
      <c r="L32" s="35">
        <v>46</v>
      </c>
      <c r="M32" s="35" t="s">
        <v>87</v>
      </c>
      <c r="N32" s="35" t="s">
        <v>87</v>
      </c>
      <c r="O32" s="35" t="s">
        <v>88</v>
      </c>
      <c r="P32" s="35">
        <v>34389</v>
      </c>
      <c r="Q32" s="35">
        <v>1376</v>
      </c>
      <c r="R32" s="35">
        <v>1719</v>
      </c>
      <c r="S32" s="35">
        <v>1032</v>
      </c>
      <c r="T32" s="35">
        <v>688</v>
      </c>
      <c r="U32" s="35">
        <v>2063</v>
      </c>
      <c r="V32" s="35">
        <v>8597</v>
      </c>
      <c r="W32" s="35">
        <v>0</v>
      </c>
      <c r="X32" s="35" t="s">
        <v>2057</v>
      </c>
      <c r="Y32" s="35" t="s">
        <v>2058</v>
      </c>
      <c r="AA32" s="35">
        <v>640</v>
      </c>
      <c r="AB32" s="35" t="s">
        <v>2062</v>
      </c>
      <c r="AC32" s="35" t="s">
        <v>2059</v>
      </c>
      <c r="AD32" s="35" t="s">
        <v>410</v>
      </c>
    </row>
    <row r="33" spans="1:30">
      <c r="A33" s="35" t="s">
        <v>2076</v>
      </c>
      <c r="B33" s="35" t="s">
        <v>2077</v>
      </c>
      <c r="C33" s="35" t="s">
        <v>2052</v>
      </c>
      <c r="D33" s="35" t="s">
        <v>2082</v>
      </c>
      <c r="E33" s="35" t="s">
        <v>2083</v>
      </c>
      <c r="F33" s="35" t="s">
        <v>2137</v>
      </c>
      <c r="G33" s="36" t="s">
        <v>2138</v>
      </c>
      <c r="H33" s="35" t="s">
        <v>91</v>
      </c>
      <c r="I33" s="35" t="s">
        <v>85</v>
      </c>
      <c r="J33" s="35" t="s">
        <v>88</v>
      </c>
      <c r="K33" s="35" t="s">
        <v>88</v>
      </c>
      <c r="L33" s="35">
        <v>47</v>
      </c>
      <c r="M33" s="35" t="s">
        <v>87</v>
      </c>
      <c r="N33" s="35" t="s">
        <v>87</v>
      </c>
      <c r="O33" s="35" t="s">
        <v>88</v>
      </c>
      <c r="P33" s="35">
        <v>39314</v>
      </c>
      <c r="Q33" s="35">
        <v>1573</v>
      </c>
      <c r="R33" s="35">
        <v>0</v>
      </c>
      <c r="S33" s="35">
        <v>1179</v>
      </c>
      <c r="T33" s="35">
        <v>786</v>
      </c>
      <c r="U33" s="35">
        <v>0</v>
      </c>
      <c r="V33" s="35">
        <v>0</v>
      </c>
      <c r="W33" s="35">
        <v>0</v>
      </c>
      <c r="X33" s="35" t="s">
        <v>2057</v>
      </c>
      <c r="Y33" s="35" t="s">
        <v>2058</v>
      </c>
      <c r="AA33" s="35">
        <v>0</v>
      </c>
      <c r="AB33" s="35" t="s">
        <v>2082</v>
      </c>
      <c r="AC33" s="35" t="s">
        <v>2059</v>
      </c>
      <c r="AD33" s="35" t="s">
        <v>1946</v>
      </c>
    </row>
    <row r="34" spans="1:30">
      <c r="A34" s="35" t="s">
        <v>2086</v>
      </c>
      <c r="B34" s="35" t="s">
        <v>2087</v>
      </c>
      <c r="C34" s="35" t="s">
        <v>2052</v>
      </c>
      <c r="D34" s="35" t="s">
        <v>2078</v>
      </c>
      <c r="E34" s="35" t="s">
        <v>2079</v>
      </c>
      <c r="F34" s="35" t="s">
        <v>2139</v>
      </c>
      <c r="G34" s="36" t="s">
        <v>2140</v>
      </c>
      <c r="H34" s="35" t="s">
        <v>91</v>
      </c>
      <c r="I34" s="35" t="s">
        <v>85</v>
      </c>
      <c r="J34" s="35" t="s">
        <v>88</v>
      </c>
      <c r="K34" s="35" t="s">
        <v>88</v>
      </c>
      <c r="L34" s="35">
        <v>29</v>
      </c>
      <c r="M34" s="35" t="s">
        <v>87</v>
      </c>
      <c r="N34" s="35" t="s">
        <v>87</v>
      </c>
      <c r="O34" s="35" t="s">
        <v>88</v>
      </c>
      <c r="P34" s="35">
        <v>38222</v>
      </c>
      <c r="Q34" s="35">
        <v>1529</v>
      </c>
      <c r="R34" s="35">
        <v>0</v>
      </c>
      <c r="S34" s="35">
        <v>1147</v>
      </c>
      <c r="T34" s="35">
        <v>764</v>
      </c>
      <c r="U34" s="35">
        <v>0</v>
      </c>
      <c r="V34" s="35">
        <v>0</v>
      </c>
      <c r="W34" s="35">
        <v>0</v>
      </c>
      <c r="X34" s="35" t="s">
        <v>2057</v>
      </c>
      <c r="Y34" s="35" t="s">
        <v>2058</v>
      </c>
      <c r="AA34" s="35">
        <v>0</v>
      </c>
      <c r="AB34" s="35" t="s">
        <v>2078</v>
      </c>
      <c r="AC34" s="35" t="s">
        <v>2059</v>
      </c>
      <c r="AD34" s="35" t="s">
        <v>1767</v>
      </c>
    </row>
    <row r="35" spans="1:30">
      <c r="A35" s="35" t="s">
        <v>2050</v>
      </c>
      <c r="B35" s="35" t="s">
        <v>2051</v>
      </c>
      <c r="C35" s="35" t="s">
        <v>2052</v>
      </c>
      <c r="D35" s="35" t="s">
        <v>2141</v>
      </c>
      <c r="E35" s="35" t="s">
        <v>2142</v>
      </c>
      <c r="F35" s="35" t="s">
        <v>960</v>
      </c>
      <c r="G35" s="36" t="s">
        <v>2143</v>
      </c>
      <c r="H35" s="35" t="s">
        <v>86</v>
      </c>
      <c r="I35" s="35" t="s">
        <v>145</v>
      </c>
      <c r="J35" s="35" t="s">
        <v>88</v>
      </c>
      <c r="K35" s="35" t="s">
        <v>88</v>
      </c>
      <c r="L35" s="35">
        <v>55</v>
      </c>
      <c r="M35" s="35" t="s">
        <v>87</v>
      </c>
      <c r="N35" s="35" t="s">
        <v>87</v>
      </c>
      <c r="O35" s="35" t="s">
        <v>88</v>
      </c>
      <c r="P35" s="35">
        <v>40054</v>
      </c>
      <c r="Q35" s="35">
        <v>1602</v>
      </c>
      <c r="R35" s="35">
        <v>2003</v>
      </c>
      <c r="S35" s="35">
        <v>1202</v>
      </c>
      <c r="T35" s="35">
        <v>801</v>
      </c>
      <c r="U35" s="35">
        <v>2403</v>
      </c>
      <c r="V35" s="35">
        <v>10014</v>
      </c>
      <c r="W35" s="35">
        <v>0</v>
      </c>
      <c r="X35" s="35" t="s">
        <v>2057</v>
      </c>
      <c r="Y35" s="35" t="s">
        <v>2058</v>
      </c>
      <c r="AA35" s="35">
        <v>960</v>
      </c>
      <c r="AB35" s="35" t="s">
        <v>2141</v>
      </c>
      <c r="AC35" s="35" t="s">
        <v>2059</v>
      </c>
      <c r="AD35" s="35" t="s">
        <v>1267</v>
      </c>
    </row>
    <row r="36" spans="1:30">
      <c r="A36" s="35" t="s">
        <v>2090</v>
      </c>
      <c r="B36" s="35" t="s">
        <v>2091</v>
      </c>
      <c r="C36" s="35" t="s">
        <v>2052</v>
      </c>
      <c r="D36" s="35" t="s">
        <v>2068</v>
      </c>
      <c r="E36" s="35" t="s">
        <v>2069</v>
      </c>
      <c r="F36" s="35" t="s">
        <v>2144</v>
      </c>
      <c r="G36" s="36" t="s">
        <v>2145</v>
      </c>
      <c r="H36" s="35" t="s">
        <v>91</v>
      </c>
      <c r="I36" s="35" t="s">
        <v>145</v>
      </c>
      <c r="J36" s="35" t="s">
        <v>88</v>
      </c>
      <c r="K36" s="35" t="s">
        <v>88</v>
      </c>
      <c r="L36" s="35">
        <v>41</v>
      </c>
      <c r="M36" s="35" t="s">
        <v>87</v>
      </c>
      <c r="N36" s="35" t="s">
        <v>87</v>
      </c>
      <c r="O36" s="35" t="s">
        <v>88</v>
      </c>
      <c r="P36" s="35">
        <v>43590</v>
      </c>
      <c r="Q36" s="35">
        <v>1744</v>
      </c>
      <c r="R36" s="35">
        <v>0</v>
      </c>
      <c r="S36" s="35">
        <v>1308</v>
      </c>
      <c r="T36" s="35">
        <v>872</v>
      </c>
      <c r="U36" s="35">
        <v>2615</v>
      </c>
      <c r="V36" s="35">
        <v>10898</v>
      </c>
      <c r="W36" s="35">
        <v>0</v>
      </c>
      <c r="X36" s="35" t="s">
        <v>2057</v>
      </c>
      <c r="Y36" s="35" t="s">
        <v>2058</v>
      </c>
      <c r="AA36" s="35">
        <v>960</v>
      </c>
      <c r="AB36" s="35" t="s">
        <v>2068</v>
      </c>
      <c r="AC36" s="35" t="s">
        <v>2059</v>
      </c>
      <c r="AD36" s="35" t="s">
        <v>1471</v>
      </c>
    </row>
    <row r="37" spans="1:30">
      <c r="A37" s="35" t="s">
        <v>2066</v>
      </c>
      <c r="B37" s="35" t="s">
        <v>2067</v>
      </c>
      <c r="C37" s="35" t="s">
        <v>2052</v>
      </c>
      <c r="D37" s="35" t="s">
        <v>2132</v>
      </c>
      <c r="E37" s="35" t="s">
        <v>2133</v>
      </c>
      <c r="F37" s="35" t="s">
        <v>2146</v>
      </c>
      <c r="G37" s="36" t="s">
        <v>2147</v>
      </c>
      <c r="H37" s="35" t="s">
        <v>91</v>
      </c>
      <c r="I37" s="35" t="s">
        <v>85</v>
      </c>
      <c r="J37" s="35" t="s">
        <v>88</v>
      </c>
      <c r="K37" s="35" t="s">
        <v>88</v>
      </c>
      <c r="L37" s="35">
        <v>54</v>
      </c>
      <c r="M37" s="35" t="s">
        <v>87</v>
      </c>
      <c r="N37" s="35" t="s">
        <v>87</v>
      </c>
      <c r="O37" s="35" t="s">
        <v>88</v>
      </c>
      <c r="P37" s="35">
        <v>39784</v>
      </c>
      <c r="Q37" s="35">
        <v>1591</v>
      </c>
      <c r="R37" s="35">
        <v>0</v>
      </c>
      <c r="S37" s="35">
        <v>1194</v>
      </c>
      <c r="T37" s="35">
        <v>796</v>
      </c>
      <c r="U37" s="35">
        <v>0</v>
      </c>
      <c r="V37" s="35">
        <v>0</v>
      </c>
      <c r="W37" s="35">
        <v>0</v>
      </c>
      <c r="X37" s="35" t="s">
        <v>2057</v>
      </c>
      <c r="Y37" s="35" t="s">
        <v>2058</v>
      </c>
      <c r="AA37" s="35">
        <v>0</v>
      </c>
      <c r="AB37" s="35" t="s">
        <v>2132</v>
      </c>
      <c r="AC37" s="35" t="s">
        <v>2059</v>
      </c>
      <c r="AD37" s="35" t="s">
        <v>548</v>
      </c>
    </row>
    <row r="38" spans="1:30">
      <c r="A38" s="35" t="s">
        <v>2050</v>
      </c>
      <c r="B38" s="35" t="s">
        <v>2051</v>
      </c>
      <c r="C38" s="35" t="s">
        <v>2052</v>
      </c>
      <c r="D38" s="35" t="s">
        <v>2107</v>
      </c>
      <c r="E38" s="35" t="s">
        <v>2108</v>
      </c>
      <c r="F38" s="35" t="s">
        <v>2148</v>
      </c>
      <c r="G38" s="36" t="s">
        <v>2149</v>
      </c>
      <c r="H38" s="35" t="s">
        <v>86</v>
      </c>
      <c r="I38" s="35" t="s">
        <v>85</v>
      </c>
      <c r="J38" s="35" t="s">
        <v>88</v>
      </c>
      <c r="K38" s="35" t="s">
        <v>88</v>
      </c>
      <c r="L38" s="35">
        <v>25</v>
      </c>
      <c r="M38" s="35" t="s">
        <v>88</v>
      </c>
      <c r="N38" s="35" t="s">
        <v>87</v>
      </c>
      <c r="O38" s="35" t="s">
        <v>87</v>
      </c>
      <c r="P38" s="35">
        <v>31045</v>
      </c>
      <c r="Q38" s="35">
        <v>1242</v>
      </c>
      <c r="R38" s="35">
        <v>1552</v>
      </c>
      <c r="S38" s="35">
        <v>931</v>
      </c>
      <c r="T38" s="35">
        <v>621</v>
      </c>
      <c r="U38" s="35">
        <v>1863</v>
      </c>
      <c r="V38" s="35">
        <v>7761</v>
      </c>
      <c r="W38" s="35">
        <v>0</v>
      </c>
      <c r="X38" s="35" t="s">
        <v>2057</v>
      </c>
      <c r="Y38" s="35" t="s">
        <v>2058</v>
      </c>
      <c r="AA38" s="35">
        <v>320</v>
      </c>
      <c r="AB38" s="35" t="s">
        <v>2107</v>
      </c>
      <c r="AC38" s="35" t="s">
        <v>2059</v>
      </c>
    </row>
    <row r="39" spans="1:30">
      <c r="A39" s="35" t="s">
        <v>2086</v>
      </c>
      <c r="B39" s="35" t="s">
        <v>2087</v>
      </c>
      <c r="C39" s="35" t="s">
        <v>2052</v>
      </c>
      <c r="D39" s="35" t="s">
        <v>2107</v>
      </c>
      <c r="E39" s="35" t="s">
        <v>2108</v>
      </c>
      <c r="F39" s="35" t="s">
        <v>2150</v>
      </c>
      <c r="G39" s="36" t="s">
        <v>2151</v>
      </c>
      <c r="H39" s="35" t="s">
        <v>86</v>
      </c>
      <c r="I39" s="35" t="s">
        <v>85</v>
      </c>
      <c r="J39" s="35" t="s">
        <v>88</v>
      </c>
      <c r="K39" s="35" t="s">
        <v>88</v>
      </c>
      <c r="L39" s="35">
        <v>44</v>
      </c>
      <c r="M39" s="35" t="s">
        <v>87</v>
      </c>
      <c r="N39" s="35" t="s">
        <v>87</v>
      </c>
      <c r="O39" s="35" t="s">
        <v>88</v>
      </c>
      <c r="P39" s="35">
        <v>37747</v>
      </c>
      <c r="Q39" s="35">
        <v>1510</v>
      </c>
      <c r="R39" s="35">
        <v>0</v>
      </c>
      <c r="S39" s="35">
        <v>1132</v>
      </c>
      <c r="T39" s="35">
        <v>755</v>
      </c>
      <c r="U39" s="35">
        <v>0</v>
      </c>
      <c r="V39" s="35">
        <v>0</v>
      </c>
      <c r="W39" s="35">
        <v>0</v>
      </c>
      <c r="X39" s="35" t="s">
        <v>2057</v>
      </c>
      <c r="Y39" s="35" t="s">
        <v>2058</v>
      </c>
      <c r="AA39" s="35">
        <v>0</v>
      </c>
      <c r="AB39" s="35" t="s">
        <v>2107</v>
      </c>
      <c r="AC39" s="35" t="s">
        <v>2059</v>
      </c>
      <c r="AD39" s="35" t="s">
        <v>588</v>
      </c>
    </row>
    <row r="40" spans="1:30">
      <c r="A40" s="35" t="s">
        <v>2086</v>
      </c>
      <c r="B40" s="35" t="s">
        <v>2087</v>
      </c>
      <c r="C40" s="35" t="s">
        <v>2052</v>
      </c>
      <c r="D40" s="35" t="s">
        <v>2068</v>
      </c>
      <c r="E40" s="35" t="s">
        <v>2069</v>
      </c>
      <c r="F40" s="35" t="s">
        <v>223</v>
      </c>
      <c r="G40" s="36" t="s">
        <v>2152</v>
      </c>
      <c r="H40" s="35" t="s">
        <v>91</v>
      </c>
      <c r="I40" s="35" t="s">
        <v>85</v>
      </c>
      <c r="J40" s="35" t="s">
        <v>88</v>
      </c>
      <c r="K40" s="35" t="s">
        <v>88</v>
      </c>
      <c r="L40" s="35">
        <v>39</v>
      </c>
      <c r="M40" s="35" t="s">
        <v>87</v>
      </c>
      <c r="N40" s="35" t="s">
        <v>87</v>
      </c>
      <c r="O40" s="35" t="s">
        <v>88</v>
      </c>
      <c r="P40" s="35">
        <v>34710</v>
      </c>
      <c r="Q40" s="35">
        <v>1388</v>
      </c>
      <c r="R40" s="35">
        <v>0</v>
      </c>
      <c r="S40" s="35">
        <v>1041</v>
      </c>
      <c r="T40" s="35">
        <v>694</v>
      </c>
      <c r="U40" s="35">
        <v>0</v>
      </c>
      <c r="V40" s="35">
        <v>0</v>
      </c>
      <c r="W40" s="35">
        <v>0</v>
      </c>
      <c r="X40" s="35" t="s">
        <v>2057</v>
      </c>
      <c r="Y40" s="35" t="s">
        <v>2058</v>
      </c>
      <c r="AA40" s="35">
        <v>0</v>
      </c>
      <c r="AB40" s="35" t="s">
        <v>2068</v>
      </c>
      <c r="AC40" s="35" t="s">
        <v>2059</v>
      </c>
      <c r="AD40" s="35" t="s">
        <v>1600</v>
      </c>
    </row>
    <row r="41" spans="1:30">
      <c r="A41" s="35" t="s">
        <v>2076</v>
      </c>
      <c r="B41" s="35" t="s">
        <v>2077</v>
      </c>
      <c r="C41" s="35" t="s">
        <v>2052</v>
      </c>
      <c r="D41" s="35" t="s">
        <v>2053</v>
      </c>
      <c r="E41" s="35" t="s">
        <v>2054</v>
      </c>
      <c r="F41" s="35" t="s">
        <v>2153</v>
      </c>
      <c r="G41" s="36" t="s">
        <v>2154</v>
      </c>
      <c r="H41" s="35" t="s">
        <v>91</v>
      </c>
      <c r="I41" s="35" t="s">
        <v>85</v>
      </c>
      <c r="J41" s="35" t="s">
        <v>88</v>
      </c>
      <c r="K41" s="35" t="s">
        <v>88</v>
      </c>
      <c r="L41" s="35">
        <v>33</v>
      </c>
      <c r="M41" s="35" t="s">
        <v>87</v>
      </c>
      <c r="N41" s="35" t="s">
        <v>87</v>
      </c>
      <c r="O41" s="35" t="s">
        <v>88</v>
      </c>
      <c r="P41" s="35">
        <v>37005</v>
      </c>
      <c r="Q41" s="35">
        <v>1480</v>
      </c>
      <c r="R41" s="35">
        <v>0</v>
      </c>
      <c r="S41" s="35">
        <v>1110</v>
      </c>
      <c r="T41" s="35">
        <v>740</v>
      </c>
      <c r="U41" s="35">
        <v>0</v>
      </c>
      <c r="V41" s="35">
        <v>0</v>
      </c>
      <c r="W41" s="35">
        <v>0</v>
      </c>
      <c r="X41" s="35" t="s">
        <v>2057</v>
      </c>
      <c r="Y41" s="35" t="s">
        <v>2058</v>
      </c>
      <c r="AA41" s="35">
        <v>0</v>
      </c>
      <c r="AB41" s="35" t="s">
        <v>2053</v>
      </c>
      <c r="AC41" s="35" t="s">
        <v>2059</v>
      </c>
      <c r="AD41" s="35" t="s">
        <v>1414</v>
      </c>
    </row>
    <row r="42" spans="1:30">
      <c r="A42" s="35" t="s">
        <v>2050</v>
      </c>
      <c r="B42" s="35" t="s">
        <v>2051</v>
      </c>
      <c r="C42" s="35" t="s">
        <v>2052</v>
      </c>
      <c r="D42" s="35" t="s">
        <v>2107</v>
      </c>
      <c r="E42" s="35" t="s">
        <v>2108</v>
      </c>
      <c r="F42" s="35" t="s">
        <v>2155</v>
      </c>
      <c r="G42" s="36" t="s">
        <v>2156</v>
      </c>
      <c r="H42" s="35" t="s">
        <v>91</v>
      </c>
      <c r="I42" s="35" t="s">
        <v>85</v>
      </c>
      <c r="J42" s="35" t="s">
        <v>88</v>
      </c>
      <c r="K42" s="35" t="s">
        <v>88</v>
      </c>
      <c r="L42" s="35">
        <v>42</v>
      </c>
      <c r="M42" s="35" t="s">
        <v>87</v>
      </c>
      <c r="N42" s="35" t="s">
        <v>87</v>
      </c>
      <c r="O42" s="35" t="s">
        <v>88</v>
      </c>
      <c r="P42" s="35">
        <v>37691</v>
      </c>
      <c r="Q42" s="35">
        <v>1508</v>
      </c>
      <c r="R42" s="35">
        <v>1885</v>
      </c>
      <c r="S42" s="35">
        <v>1131</v>
      </c>
      <c r="T42" s="35">
        <v>754</v>
      </c>
      <c r="U42" s="35">
        <v>2261</v>
      </c>
      <c r="V42" s="35">
        <v>9423</v>
      </c>
      <c r="W42" s="35">
        <v>0</v>
      </c>
      <c r="X42" s="35" t="s">
        <v>2057</v>
      </c>
      <c r="Y42" s="35" t="s">
        <v>2058</v>
      </c>
      <c r="AA42" s="35">
        <v>1200</v>
      </c>
      <c r="AB42" s="35" t="s">
        <v>2107</v>
      </c>
      <c r="AC42" s="35" t="s">
        <v>2059</v>
      </c>
      <c r="AD42" s="35" t="s">
        <v>1658</v>
      </c>
    </row>
    <row r="43" spans="1:30">
      <c r="A43" s="35" t="s">
        <v>2066</v>
      </c>
      <c r="B43" s="35" t="s">
        <v>2067</v>
      </c>
      <c r="C43" s="35" t="s">
        <v>2052</v>
      </c>
      <c r="D43" s="35" t="s">
        <v>2078</v>
      </c>
      <c r="E43" s="35" t="s">
        <v>2079</v>
      </c>
      <c r="F43" s="35" t="s">
        <v>728</v>
      </c>
      <c r="G43" s="36" t="s">
        <v>2157</v>
      </c>
      <c r="H43" s="35" t="s">
        <v>91</v>
      </c>
      <c r="I43" s="35" t="s">
        <v>97</v>
      </c>
      <c r="J43" s="35" t="s">
        <v>88</v>
      </c>
      <c r="K43" s="35" t="s">
        <v>88</v>
      </c>
      <c r="L43" s="35">
        <v>28</v>
      </c>
      <c r="M43" s="35" t="s">
        <v>87</v>
      </c>
      <c r="N43" s="35" t="s">
        <v>87</v>
      </c>
      <c r="O43" s="35" t="s">
        <v>88</v>
      </c>
      <c r="P43" s="35">
        <v>20672</v>
      </c>
      <c r="Q43" s="35">
        <v>827</v>
      </c>
      <c r="R43" s="35">
        <v>0</v>
      </c>
      <c r="S43" s="35">
        <v>620</v>
      </c>
      <c r="T43" s="35">
        <v>413</v>
      </c>
      <c r="U43" s="35">
        <v>0</v>
      </c>
      <c r="V43" s="35">
        <v>0</v>
      </c>
      <c r="W43" s="35">
        <v>0</v>
      </c>
      <c r="X43" s="35" t="s">
        <v>2057</v>
      </c>
      <c r="Y43" s="35" t="s">
        <v>2058</v>
      </c>
      <c r="AA43" s="35">
        <v>0</v>
      </c>
      <c r="AB43" s="35" t="s">
        <v>2078</v>
      </c>
      <c r="AC43" s="35" t="s">
        <v>2059</v>
      </c>
    </row>
    <row r="44" spans="1:30">
      <c r="A44" s="35" t="s">
        <v>2072</v>
      </c>
      <c r="B44" s="35" t="s">
        <v>2073</v>
      </c>
      <c r="C44" s="35" t="s">
        <v>2052</v>
      </c>
      <c r="D44" s="35" t="s">
        <v>2092</v>
      </c>
      <c r="E44" s="35" t="s">
        <v>2093</v>
      </c>
      <c r="F44" s="35" t="s">
        <v>2158</v>
      </c>
      <c r="G44" s="36" t="s">
        <v>2159</v>
      </c>
      <c r="H44" s="35" t="s">
        <v>86</v>
      </c>
      <c r="I44" s="35" t="s">
        <v>85</v>
      </c>
      <c r="J44" s="35" t="s">
        <v>88</v>
      </c>
      <c r="K44" s="35" t="s">
        <v>88</v>
      </c>
      <c r="L44" s="35">
        <v>31</v>
      </c>
      <c r="M44" s="35" t="s">
        <v>87</v>
      </c>
      <c r="N44" s="35" t="s">
        <v>87</v>
      </c>
      <c r="O44" s="35" t="s">
        <v>88</v>
      </c>
      <c r="P44" s="35">
        <v>39203</v>
      </c>
      <c r="Q44" s="35">
        <v>1568</v>
      </c>
      <c r="R44" s="35">
        <v>1960</v>
      </c>
      <c r="S44" s="35">
        <v>1176</v>
      </c>
      <c r="T44" s="35">
        <v>784</v>
      </c>
      <c r="U44" s="35">
        <v>2352</v>
      </c>
      <c r="V44" s="35">
        <v>9801</v>
      </c>
      <c r="W44" s="35">
        <v>0</v>
      </c>
      <c r="X44" s="35" t="s">
        <v>2057</v>
      </c>
      <c r="Y44" s="35" t="s">
        <v>2058</v>
      </c>
      <c r="AA44" s="35">
        <v>960</v>
      </c>
      <c r="AB44" s="35" t="s">
        <v>2092</v>
      </c>
      <c r="AC44" s="35" t="s">
        <v>2059</v>
      </c>
      <c r="AD44" s="35" t="s">
        <v>1281</v>
      </c>
    </row>
    <row r="45" spans="1:30">
      <c r="A45" s="35" t="s">
        <v>2086</v>
      </c>
      <c r="B45" s="35" t="s">
        <v>2087</v>
      </c>
      <c r="C45" s="35" t="s">
        <v>2052</v>
      </c>
      <c r="D45" s="35" t="s">
        <v>2141</v>
      </c>
      <c r="E45" s="35" t="s">
        <v>2142</v>
      </c>
      <c r="F45" s="35" t="s">
        <v>2160</v>
      </c>
      <c r="G45" s="36" t="s">
        <v>2161</v>
      </c>
      <c r="H45" s="35" t="s">
        <v>86</v>
      </c>
      <c r="I45" s="35" t="s">
        <v>97</v>
      </c>
      <c r="J45" s="35" t="s">
        <v>88</v>
      </c>
      <c r="K45" s="35" t="s">
        <v>88</v>
      </c>
      <c r="L45" s="35">
        <v>50</v>
      </c>
      <c r="M45" s="35" t="s">
        <v>87</v>
      </c>
      <c r="N45" s="35" t="s">
        <v>87</v>
      </c>
      <c r="O45" s="35" t="s">
        <v>88</v>
      </c>
      <c r="P45" s="35">
        <v>22965</v>
      </c>
      <c r="Q45" s="35">
        <v>919</v>
      </c>
      <c r="R45" s="35">
        <v>0</v>
      </c>
      <c r="S45" s="35">
        <v>689</v>
      </c>
      <c r="T45" s="35">
        <v>459</v>
      </c>
      <c r="U45" s="35">
        <v>0</v>
      </c>
      <c r="V45" s="35">
        <v>0</v>
      </c>
      <c r="W45" s="35">
        <v>0</v>
      </c>
      <c r="X45" s="35" t="s">
        <v>2057</v>
      </c>
      <c r="Y45" s="35" t="s">
        <v>2058</v>
      </c>
      <c r="AA45" s="35">
        <v>0</v>
      </c>
      <c r="AB45" s="35" t="s">
        <v>2141</v>
      </c>
      <c r="AC45" s="35" t="s">
        <v>2059</v>
      </c>
    </row>
    <row r="46" spans="1:30">
      <c r="A46" s="35" t="s">
        <v>2076</v>
      </c>
      <c r="B46" s="35" t="s">
        <v>2077</v>
      </c>
      <c r="C46" s="35" t="s">
        <v>2052</v>
      </c>
      <c r="D46" s="35" t="s">
        <v>2107</v>
      </c>
      <c r="E46" s="35" t="s">
        <v>2108</v>
      </c>
      <c r="F46" s="35" t="s">
        <v>2162</v>
      </c>
      <c r="G46" s="36" t="s">
        <v>2163</v>
      </c>
      <c r="H46" s="35" t="s">
        <v>86</v>
      </c>
      <c r="I46" s="35" t="s">
        <v>97</v>
      </c>
      <c r="J46" s="35" t="s">
        <v>88</v>
      </c>
      <c r="K46" s="35" t="s">
        <v>88</v>
      </c>
      <c r="L46" s="35">
        <v>25</v>
      </c>
      <c r="M46" s="35" t="s">
        <v>87</v>
      </c>
      <c r="N46" s="35" t="s">
        <v>87</v>
      </c>
      <c r="O46" s="35" t="s">
        <v>88</v>
      </c>
      <c r="P46" s="35">
        <v>23690</v>
      </c>
      <c r="Q46" s="35">
        <v>948</v>
      </c>
      <c r="R46" s="35">
        <v>0</v>
      </c>
      <c r="S46" s="35">
        <v>711</v>
      </c>
      <c r="T46" s="35">
        <v>474</v>
      </c>
      <c r="U46" s="35">
        <v>0</v>
      </c>
      <c r="V46" s="35">
        <v>0</v>
      </c>
      <c r="W46" s="35">
        <v>0</v>
      </c>
      <c r="X46" s="35" t="s">
        <v>2057</v>
      </c>
      <c r="Y46" s="35" t="s">
        <v>2058</v>
      </c>
      <c r="AA46" s="35">
        <v>0</v>
      </c>
      <c r="AB46" s="35" t="s">
        <v>2107</v>
      </c>
      <c r="AC46" s="35" t="s">
        <v>2059</v>
      </c>
    </row>
    <row r="47" spans="1:30">
      <c r="A47" s="35" t="s">
        <v>2050</v>
      </c>
      <c r="B47" s="35" t="s">
        <v>2051</v>
      </c>
      <c r="C47" s="35" t="s">
        <v>2052</v>
      </c>
      <c r="D47" s="35" t="s">
        <v>2062</v>
      </c>
      <c r="E47" s="35" t="s">
        <v>2063</v>
      </c>
      <c r="F47" s="35" t="s">
        <v>2164</v>
      </c>
      <c r="G47" s="36" t="s">
        <v>2165</v>
      </c>
      <c r="H47" s="35" t="s">
        <v>86</v>
      </c>
      <c r="I47" s="35" t="s">
        <v>85</v>
      </c>
      <c r="J47" s="35" t="s">
        <v>88</v>
      </c>
      <c r="K47" s="35" t="s">
        <v>88</v>
      </c>
      <c r="L47" s="35">
        <v>30</v>
      </c>
      <c r="M47" s="35" t="s">
        <v>87</v>
      </c>
      <c r="N47" s="35" t="s">
        <v>87</v>
      </c>
      <c r="O47" s="35" t="s">
        <v>88</v>
      </c>
      <c r="P47" s="35">
        <v>43548</v>
      </c>
      <c r="Q47" s="35">
        <v>1742</v>
      </c>
      <c r="R47" s="35">
        <v>2177</v>
      </c>
      <c r="S47" s="35">
        <v>1306</v>
      </c>
      <c r="T47" s="35">
        <v>871</v>
      </c>
      <c r="U47" s="35">
        <v>2613</v>
      </c>
      <c r="V47" s="35">
        <v>10887</v>
      </c>
      <c r="W47" s="35">
        <v>0</v>
      </c>
      <c r="X47" s="35" t="s">
        <v>2057</v>
      </c>
      <c r="Y47" s="35" t="s">
        <v>2058</v>
      </c>
      <c r="AA47" s="35">
        <v>480</v>
      </c>
      <c r="AB47" s="35" t="s">
        <v>2062</v>
      </c>
      <c r="AC47" s="35" t="s">
        <v>2059</v>
      </c>
      <c r="AD47" s="35" t="s">
        <v>769</v>
      </c>
    </row>
    <row r="48" spans="1:30">
      <c r="A48" s="35" t="s">
        <v>2060</v>
      </c>
      <c r="B48" s="35" t="s">
        <v>2061</v>
      </c>
      <c r="C48" s="35" t="s">
        <v>2052</v>
      </c>
      <c r="D48" s="35" t="s">
        <v>2092</v>
      </c>
      <c r="E48" s="35" t="s">
        <v>2093</v>
      </c>
      <c r="F48" s="35" t="s">
        <v>2166</v>
      </c>
      <c r="G48" s="36" t="s">
        <v>2167</v>
      </c>
      <c r="H48" s="35" t="s">
        <v>91</v>
      </c>
      <c r="I48" s="35" t="s">
        <v>85</v>
      </c>
      <c r="J48" s="35" t="s">
        <v>88</v>
      </c>
      <c r="K48" s="35" t="s">
        <v>88</v>
      </c>
      <c r="L48" s="35">
        <v>36</v>
      </c>
      <c r="M48" s="35" t="s">
        <v>87</v>
      </c>
      <c r="N48" s="35" t="s">
        <v>87</v>
      </c>
      <c r="O48" s="35" t="s">
        <v>88</v>
      </c>
      <c r="P48" s="35">
        <v>34409</v>
      </c>
      <c r="Q48" s="35">
        <v>1376</v>
      </c>
      <c r="R48" s="35">
        <v>0</v>
      </c>
      <c r="S48" s="35">
        <v>1032</v>
      </c>
      <c r="T48" s="35">
        <v>688</v>
      </c>
      <c r="U48" s="35">
        <v>0</v>
      </c>
      <c r="V48" s="35">
        <v>0</v>
      </c>
      <c r="W48" s="35">
        <v>0</v>
      </c>
      <c r="X48" s="35" t="s">
        <v>2057</v>
      </c>
      <c r="Y48" s="35" t="s">
        <v>2058</v>
      </c>
      <c r="AA48" s="35">
        <v>0</v>
      </c>
      <c r="AB48" s="35" t="s">
        <v>2092</v>
      </c>
      <c r="AC48" s="35" t="s">
        <v>2059</v>
      </c>
      <c r="AD48" s="35" t="s">
        <v>1508</v>
      </c>
    </row>
    <row r="49" spans="1:30">
      <c r="A49" s="35" t="s">
        <v>2060</v>
      </c>
      <c r="B49" s="35" t="s">
        <v>2061</v>
      </c>
      <c r="C49" s="35" t="s">
        <v>2052</v>
      </c>
      <c r="D49" s="35" t="s">
        <v>2092</v>
      </c>
      <c r="E49" s="35" t="s">
        <v>2093</v>
      </c>
      <c r="F49" s="35" t="s">
        <v>2168</v>
      </c>
      <c r="G49" s="36" t="s">
        <v>2169</v>
      </c>
      <c r="H49" s="35" t="s">
        <v>86</v>
      </c>
      <c r="I49" s="35" t="s">
        <v>85</v>
      </c>
      <c r="J49" s="35" t="s">
        <v>88</v>
      </c>
      <c r="K49" s="35" t="s">
        <v>88</v>
      </c>
      <c r="L49" s="35">
        <v>42</v>
      </c>
      <c r="M49" s="35" t="s">
        <v>87</v>
      </c>
      <c r="N49" s="35" t="s">
        <v>87</v>
      </c>
      <c r="O49" s="35" t="s">
        <v>88</v>
      </c>
      <c r="P49" s="35">
        <v>38490</v>
      </c>
      <c r="Q49" s="35">
        <v>1540</v>
      </c>
      <c r="R49" s="35">
        <v>0</v>
      </c>
      <c r="S49" s="35">
        <v>1155</v>
      </c>
      <c r="T49" s="35">
        <v>770</v>
      </c>
      <c r="U49" s="35">
        <v>0</v>
      </c>
      <c r="V49" s="35">
        <v>0</v>
      </c>
      <c r="W49" s="35">
        <v>0</v>
      </c>
      <c r="X49" s="35" t="s">
        <v>2057</v>
      </c>
      <c r="Y49" s="35" t="s">
        <v>2058</v>
      </c>
      <c r="AA49" s="35">
        <v>0</v>
      </c>
      <c r="AB49" s="35" t="s">
        <v>2092</v>
      </c>
      <c r="AC49" s="35" t="s">
        <v>2059</v>
      </c>
      <c r="AD49" s="35" t="s">
        <v>1675</v>
      </c>
    </row>
    <row r="50" spans="1:30">
      <c r="A50" s="35" t="s">
        <v>2086</v>
      </c>
      <c r="B50" s="35" t="s">
        <v>2087</v>
      </c>
      <c r="C50" s="35" t="s">
        <v>2052</v>
      </c>
      <c r="D50" s="35" t="s">
        <v>2092</v>
      </c>
      <c r="E50" s="35" t="s">
        <v>2093</v>
      </c>
      <c r="F50" s="35" t="s">
        <v>2170</v>
      </c>
      <c r="G50" s="36" t="s">
        <v>2171</v>
      </c>
      <c r="H50" s="35" t="s">
        <v>86</v>
      </c>
      <c r="I50" s="35" t="s">
        <v>85</v>
      </c>
      <c r="J50" s="35" t="s">
        <v>88</v>
      </c>
      <c r="K50" s="35" t="s">
        <v>88</v>
      </c>
      <c r="L50" s="35">
        <v>56</v>
      </c>
      <c r="M50" s="35" t="s">
        <v>87</v>
      </c>
      <c r="N50" s="35" t="s">
        <v>87</v>
      </c>
      <c r="O50" s="35" t="s">
        <v>88</v>
      </c>
      <c r="P50" s="35">
        <v>31709</v>
      </c>
      <c r="Q50" s="35">
        <v>1268</v>
      </c>
      <c r="R50" s="35">
        <v>0</v>
      </c>
      <c r="S50" s="35">
        <v>951</v>
      </c>
      <c r="T50" s="35">
        <v>634</v>
      </c>
      <c r="U50" s="35">
        <v>0</v>
      </c>
      <c r="V50" s="35">
        <v>0</v>
      </c>
      <c r="W50" s="35">
        <v>0</v>
      </c>
      <c r="X50" s="35" t="s">
        <v>2057</v>
      </c>
      <c r="Y50" s="35" t="s">
        <v>2058</v>
      </c>
      <c r="AA50" s="35">
        <v>0</v>
      </c>
      <c r="AB50" s="35" t="s">
        <v>2092</v>
      </c>
      <c r="AC50" s="35" t="s">
        <v>2059</v>
      </c>
      <c r="AD50" s="35" t="s">
        <v>1270</v>
      </c>
    </row>
    <row r="51" spans="1:30">
      <c r="A51" s="35" t="s">
        <v>2086</v>
      </c>
      <c r="B51" s="35" t="s">
        <v>2087</v>
      </c>
      <c r="C51" s="35" t="s">
        <v>2052</v>
      </c>
      <c r="D51" s="35" t="s">
        <v>2062</v>
      </c>
      <c r="E51" s="35" t="s">
        <v>2063</v>
      </c>
      <c r="F51" s="35" t="s">
        <v>2172</v>
      </c>
      <c r="G51" s="36" t="s">
        <v>2173</v>
      </c>
      <c r="H51" s="35" t="s">
        <v>91</v>
      </c>
      <c r="I51" s="35" t="s">
        <v>85</v>
      </c>
      <c r="J51" s="35" t="s">
        <v>88</v>
      </c>
      <c r="K51" s="35" t="s">
        <v>88</v>
      </c>
      <c r="L51" s="35">
        <v>26</v>
      </c>
      <c r="M51" s="35" t="s">
        <v>87</v>
      </c>
      <c r="N51" s="35" t="s">
        <v>87</v>
      </c>
      <c r="O51" s="35" t="s">
        <v>88</v>
      </c>
      <c r="P51" s="35">
        <v>40901</v>
      </c>
      <c r="Q51" s="35">
        <v>1636</v>
      </c>
      <c r="R51" s="35">
        <v>0</v>
      </c>
      <c r="S51" s="35">
        <v>1227</v>
      </c>
      <c r="T51" s="35">
        <v>818</v>
      </c>
      <c r="U51" s="35">
        <v>0</v>
      </c>
      <c r="V51" s="35">
        <v>0</v>
      </c>
      <c r="W51" s="35">
        <v>0</v>
      </c>
      <c r="X51" s="35" t="s">
        <v>2057</v>
      </c>
      <c r="Y51" s="35" t="s">
        <v>2058</v>
      </c>
      <c r="AA51" s="35">
        <v>0</v>
      </c>
      <c r="AB51" s="35" t="s">
        <v>2062</v>
      </c>
      <c r="AC51" s="35" t="s">
        <v>2059</v>
      </c>
      <c r="AD51" s="35" t="s">
        <v>1037</v>
      </c>
    </row>
    <row r="52" spans="1:30">
      <c r="A52" s="35" t="s">
        <v>2060</v>
      </c>
      <c r="B52" s="35" t="s">
        <v>2061</v>
      </c>
      <c r="C52" s="35" t="s">
        <v>2052</v>
      </c>
      <c r="D52" s="35" t="s">
        <v>2092</v>
      </c>
      <c r="E52" s="35" t="s">
        <v>2093</v>
      </c>
      <c r="F52" s="35" t="s">
        <v>2174</v>
      </c>
      <c r="G52" s="36" t="s">
        <v>2175</v>
      </c>
      <c r="H52" s="35" t="s">
        <v>86</v>
      </c>
      <c r="I52" s="35" t="s">
        <v>85</v>
      </c>
      <c r="J52" s="35" t="s">
        <v>88</v>
      </c>
      <c r="K52" s="35" t="s">
        <v>88</v>
      </c>
      <c r="L52" s="35">
        <v>46</v>
      </c>
      <c r="M52" s="35" t="s">
        <v>87</v>
      </c>
      <c r="N52" s="35" t="s">
        <v>87</v>
      </c>
      <c r="O52" s="35" t="s">
        <v>88</v>
      </c>
      <c r="P52" s="35">
        <v>33041</v>
      </c>
      <c r="Q52" s="35">
        <v>1322</v>
      </c>
      <c r="R52" s="35">
        <v>0</v>
      </c>
      <c r="S52" s="35">
        <v>991</v>
      </c>
      <c r="T52" s="35">
        <v>661</v>
      </c>
      <c r="U52" s="35">
        <v>0</v>
      </c>
      <c r="V52" s="35">
        <v>0</v>
      </c>
      <c r="W52" s="35">
        <v>0</v>
      </c>
      <c r="X52" s="35" t="s">
        <v>2057</v>
      </c>
      <c r="Y52" s="35" t="s">
        <v>2058</v>
      </c>
      <c r="AA52" s="35">
        <v>0</v>
      </c>
      <c r="AB52" s="35" t="s">
        <v>2092</v>
      </c>
      <c r="AC52" s="35" t="s">
        <v>2059</v>
      </c>
      <c r="AD52" s="35" t="s">
        <v>283</v>
      </c>
    </row>
    <row r="53" spans="1:30">
      <c r="A53" s="35" t="s">
        <v>2066</v>
      </c>
      <c r="B53" s="35" t="s">
        <v>2067</v>
      </c>
      <c r="C53" s="35" t="s">
        <v>2052</v>
      </c>
      <c r="D53" s="35" t="s">
        <v>2107</v>
      </c>
      <c r="E53" s="35" t="s">
        <v>2108</v>
      </c>
      <c r="F53" s="35" t="s">
        <v>2176</v>
      </c>
      <c r="G53" s="36" t="s">
        <v>2177</v>
      </c>
      <c r="H53" s="35" t="s">
        <v>91</v>
      </c>
      <c r="I53" s="35" t="s">
        <v>97</v>
      </c>
      <c r="J53" s="35" t="s">
        <v>88</v>
      </c>
      <c r="K53" s="35" t="s">
        <v>88</v>
      </c>
      <c r="L53" s="35">
        <v>32</v>
      </c>
      <c r="M53" s="35" t="s">
        <v>87</v>
      </c>
      <c r="N53" s="35" t="s">
        <v>87</v>
      </c>
      <c r="O53" s="35" t="s">
        <v>88</v>
      </c>
      <c r="P53" s="35">
        <v>20252</v>
      </c>
      <c r="Q53" s="35">
        <v>810</v>
      </c>
      <c r="R53" s="35">
        <v>0</v>
      </c>
      <c r="S53" s="35">
        <v>608</v>
      </c>
      <c r="T53" s="35">
        <v>405</v>
      </c>
      <c r="U53" s="35">
        <v>0</v>
      </c>
      <c r="V53" s="35">
        <v>0</v>
      </c>
      <c r="W53" s="35">
        <v>0</v>
      </c>
      <c r="X53" s="35" t="s">
        <v>2057</v>
      </c>
      <c r="Y53" s="35" t="s">
        <v>2058</v>
      </c>
      <c r="AA53" s="35">
        <v>0</v>
      </c>
      <c r="AB53" s="35" t="s">
        <v>2107</v>
      </c>
      <c r="AC53" s="35" t="s">
        <v>2059</v>
      </c>
    </row>
    <row r="54" spans="1:30">
      <c r="A54" s="35" t="s">
        <v>2090</v>
      </c>
      <c r="B54" s="35" t="s">
        <v>2091</v>
      </c>
      <c r="C54" s="35" t="s">
        <v>2052</v>
      </c>
      <c r="D54" s="35" t="s">
        <v>2107</v>
      </c>
      <c r="E54" s="35" t="s">
        <v>2108</v>
      </c>
      <c r="F54" s="35" t="s">
        <v>2178</v>
      </c>
      <c r="G54" s="36" t="s">
        <v>2179</v>
      </c>
      <c r="H54" s="35" t="s">
        <v>91</v>
      </c>
      <c r="I54" s="35" t="s">
        <v>145</v>
      </c>
      <c r="J54" s="35" t="s">
        <v>87</v>
      </c>
      <c r="K54" s="35" t="s">
        <v>88</v>
      </c>
      <c r="L54" s="35">
        <v>34</v>
      </c>
      <c r="M54" s="35" t="s">
        <v>87</v>
      </c>
      <c r="N54" s="35" t="s">
        <v>87</v>
      </c>
      <c r="O54" s="35" t="s">
        <v>88</v>
      </c>
      <c r="P54" s="35">
        <v>33596</v>
      </c>
      <c r="Q54" s="35">
        <v>1344</v>
      </c>
      <c r="R54" s="35">
        <v>0</v>
      </c>
      <c r="S54" s="35">
        <v>1008</v>
      </c>
      <c r="T54" s="35">
        <v>672</v>
      </c>
      <c r="U54" s="35">
        <v>2016</v>
      </c>
      <c r="V54" s="35">
        <v>8399</v>
      </c>
      <c r="W54" s="35">
        <v>0</v>
      </c>
      <c r="X54" s="35" t="s">
        <v>2057</v>
      </c>
      <c r="Y54" s="35" t="s">
        <v>2058</v>
      </c>
      <c r="AA54" s="35">
        <v>320</v>
      </c>
      <c r="AB54" s="35" t="s">
        <v>2107</v>
      </c>
      <c r="AC54" s="35" t="s">
        <v>2059</v>
      </c>
      <c r="AD54" s="35" t="s">
        <v>1285</v>
      </c>
    </row>
    <row r="55" spans="1:30">
      <c r="A55" s="35" t="s">
        <v>2072</v>
      </c>
      <c r="B55" s="35" t="s">
        <v>2073</v>
      </c>
      <c r="C55" s="35" t="s">
        <v>2052</v>
      </c>
      <c r="D55" s="35" t="s">
        <v>2141</v>
      </c>
      <c r="E55" s="35" t="s">
        <v>2142</v>
      </c>
      <c r="F55" s="35" t="s">
        <v>2180</v>
      </c>
      <c r="G55" s="36" t="s">
        <v>2181</v>
      </c>
      <c r="H55" s="35" t="s">
        <v>91</v>
      </c>
      <c r="I55" s="35" t="s">
        <v>85</v>
      </c>
      <c r="J55" s="35" t="s">
        <v>88</v>
      </c>
      <c r="K55" s="35" t="s">
        <v>88</v>
      </c>
      <c r="L55" s="35">
        <v>31</v>
      </c>
      <c r="M55" s="35" t="s">
        <v>87</v>
      </c>
      <c r="N55" s="35" t="s">
        <v>87</v>
      </c>
      <c r="O55" s="35" t="s">
        <v>88</v>
      </c>
      <c r="P55" s="35">
        <v>38581</v>
      </c>
      <c r="Q55" s="35">
        <v>1543</v>
      </c>
      <c r="R55" s="35">
        <v>1929</v>
      </c>
      <c r="S55" s="35">
        <v>1157</v>
      </c>
      <c r="T55" s="35">
        <v>772</v>
      </c>
      <c r="U55" s="35">
        <v>2315</v>
      </c>
      <c r="V55" s="35">
        <v>9645</v>
      </c>
      <c r="W55" s="35">
        <v>0</v>
      </c>
      <c r="X55" s="35" t="s">
        <v>2057</v>
      </c>
      <c r="Y55" s="35" t="s">
        <v>2058</v>
      </c>
      <c r="AA55" s="35">
        <v>320</v>
      </c>
      <c r="AB55" s="35" t="s">
        <v>2141</v>
      </c>
      <c r="AC55" s="35" t="s">
        <v>2059</v>
      </c>
      <c r="AD55" s="35" t="s">
        <v>1637</v>
      </c>
    </row>
    <row r="56" spans="1:30">
      <c r="A56" s="35" t="s">
        <v>2072</v>
      </c>
      <c r="B56" s="35" t="s">
        <v>2073</v>
      </c>
      <c r="C56" s="35" t="s">
        <v>2052</v>
      </c>
      <c r="D56" s="35" t="s">
        <v>2068</v>
      </c>
      <c r="E56" s="35" t="s">
        <v>2069</v>
      </c>
      <c r="F56" s="35" t="s">
        <v>2182</v>
      </c>
      <c r="G56" s="36" t="s">
        <v>2183</v>
      </c>
      <c r="H56" s="35" t="s">
        <v>86</v>
      </c>
      <c r="I56" s="35" t="s">
        <v>85</v>
      </c>
      <c r="J56" s="35" t="s">
        <v>88</v>
      </c>
      <c r="K56" s="35" t="s">
        <v>88</v>
      </c>
      <c r="L56" s="35">
        <v>32</v>
      </c>
      <c r="M56" s="35" t="s">
        <v>88</v>
      </c>
      <c r="N56" s="35" t="s">
        <v>87</v>
      </c>
      <c r="O56" s="35" t="s">
        <v>87</v>
      </c>
      <c r="P56" s="35">
        <v>31457</v>
      </c>
      <c r="Q56" s="35">
        <v>1258</v>
      </c>
      <c r="R56" s="35">
        <v>1573</v>
      </c>
      <c r="S56" s="35">
        <v>944</v>
      </c>
      <c r="T56" s="35">
        <v>629</v>
      </c>
      <c r="U56" s="35">
        <v>1887</v>
      </c>
      <c r="V56" s="35">
        <v>7864</v>
      </c>
      <c r="W56" s="35">
        <v>0</v>
      </c>
      <c r="X56" s="35" t="s">
        <v>2057</v>
      </c>
      <c r="Y56" s="35" t="s">
        <v>2058</v>
      </c>
      <c r="AA56" s="35">
        <v>960</v>
      </c>
      <c r="AB56" s="35" t="s">
        <v>2068</v>
      </c>
      <c r="AC56" s="35" t="s">
        <v>2059</v>
      </c>
    </row>
    <row r="57" spans="1:30">
      <c r="A57" s="35" t="s">
        <v>2090</v>
      </c>
      <c r="B57" s="35" t="s">
        <v>2091</v>
      </c>
      <c r="C57" s="35" t="s">
        <v>2052</v>
      </c>
      <c r="D57" s="35" t="s">
        <v>2078</v>
      </c>
      <c r="E57" s="35" t="s">
        <v>2079</v>
      </c>
      <c r="F57" s="35" t="s">
        <v>2184</v>
      </c>
      <c r="G57" s="36" t="s">
        <v>2185</v>
      </c>
      <c r="H57" s="35" t="s">
        <v>86</v>
      </c>
      <c r="I57" s="35" t="s">
        <v>85</v>
      </c>
      <c r="J57" s="35" t="s">
        <v>88</v>
      </c>
      <c r="K57" s="35" t="s">
        <v>88</v>
      </c>
      <c r="L57" s="35">
        <v>46</v>
      </c>
      <c r="M57" s="35" t="s">
        <v>87</v>
      </c>
      <c r="N57" s="35" t="s">
        <v>87</v>
      </c>
      <c r="O57" s="35" t="s">
        <v>88</v>
      </c>
      <c r="P57" s="35">
        <v>37285</v>
      </c>
      <c r="Q57" s="35">
        <v>1491</v>
      </c>
      <c r="R57" s="35">
        <v>0</v>
      </c>
      <c r="S57" s="35">
        <v>1119</v>
      </c>
      <c r="T57" s="35">
        <v>746</v>
      </c>
      <c r="U57" s="35">
        <v>2237</v>
      </c>
      <c r="V57" s="35">
        <v>9321</v>
      </c>
      <c r="W57" s="35">
        <v>0</v>
      </c>
      <c r="X57" s="35" t="s">
        <v>2057</v>
      </c>
      <c r="Y57" s="35" t="s">
        <v>2058</v>
      </c>
      <c r="AA57" s="35">
        <v>640</v>
      </c>
      <c r="AB57" s="35" t="s">
        <v>2078</v>
      </c>
      <c r="AC57" s="35" t="s">
        <v>2059</v>
      </c>
      <c r="AD57" s="35" t="s">
        <v>1352</v>
      </c>
    </row>
    <row r="58" spans="1:30">
      <c r="A58" s="35" t="s">
        <v>2076</v>
      </c>
      <c r="B58" s="35" t="s">
        <v>2077</v>
      </c>
      <c r="C58" s="35" t="s">
        <v>2052</v>
      </c>
      <c r="D58" s="35" t="s">
        <v>2082</v>
      </c>
      <c r="E58" s="35" t="s">
        <v>2083</v>
      </c>
      <c r="F58" s="35" t="s">
        <v>2186</v>
      </c>
      <c r="G58" s="36" t="s">
        <v>2187</v>
      </c>
      <c r="H58" s="35" t="s">
        <v>91</v>
      </c>
      <c r="I58" s="35" t="s">
        <v>85</v>
      </c>
      <c r="J58" s="35" t="s">
        <v>88</v>
      </c>
      <c r="K58" s="35" t="s">
        <v>88</v>
      </c>
      <c r="L58" s="35">
        <v>45</v>
      </c>
      <c r="M58" s="35" t="s">
        <v>87</v>
      </c>
      <c r="N58" s="35" t="s">
        <v>87</v>
      </c>
      <c r="O58" s="35" t="s">
        <v>88</v>
      </c>
      <c r="P58" s="35">
        <v>38736</v>
      </c>
      <c r="Q58" s="35">
        <v>1549</v>
      </c>
      <c r="R58" s="35">
        <v>0</v>
      </c>
      <c r="S58" s="35">
        <v>1162</v>
      </c>
      <c r="T58" s="35">
        <v>775</v>
      </c>
      <c r="U58" s="35">
        <v>0</v>
      </c>
      <c r="V58" s="35">
        <v>0</v>
      </c>
      <c r="W58" s="35">
        <v>0</v>
      </c>
      <c r="X58" s="35" t="s">
        <v>2057</v>
      </c>
      <c r="Y58" s="35" t="s">
        <v>2058</v>
      </c>
      <c r="AA58" s="35">
        <v>0</v>
      </c>
      <c r="AB58" s="35" t="s">
        <v>2082</v>
      </c>
      <c r="AC58" s="35" t="s">
        <v>2059</v>
      </c>
      <c r="AD58" s="35" t="s">
        <v>974</v>
      </c>
    </row>
    <row r="59" spans="1:30">
      <c r="A59" s="35" t="s">
        <v>2050</v>
      </c>
      <c r="B59" s="35" t="s">
        <v>2051</v>
      </c>
      <c r="C59" s="35" t="s">
        <v>2052</v>
      </c>
      <c r="D59" s="35" t="s">
        <v>2053</v>
      </c>
      <c r="E59" s="35" t="s">
        <v>2054</v>
      </c>
      <c r="F59" s="35" t="s">
        <v>2188</v>
      </c>
      <c r="G59" s="36" t="s">
        <v>2189</v>
      </c>
      <c r="H59" s="35" t="s">
        <v>86</v>
      </c>
      <c r="I59" s="35" t="s">
        <v>85</v>
      </c>
      <c r="J59" s="35" t="s">
        <v>88</v>
      </c>
      <c r="K59" s="35" t="s">
        <v>88</v>
      </c>
      <c r="L59" s="35">
        <v>43</v>
      </c>
      <c r="M59" s="35" t="s">
        <v>87</v>
      </c>
      <c r="N59" s="35" t="s">
        <v>87</v>
      </c>
      <c r="O59" s="35" t="s">
        <v>88</v>
      </c>
      <c r="P59" s="35">
        <v>41607</v>
      </c>
      <c r="Q59" s="35">
        <v>1664</v>
      </c>
      <c r="R59" s="35">
        <v>2080</v>
      </c>
      <c r="S59" s="35">
        <v>1248</v>
      </c>
      <c r="T59" s="35">
        <v>832</v>
      </c>
      <c r="U59" s="35">
        <v>2496</v>
      </c>
      <c r="V59" s="35">
        <v>10402</v>
      </c>
      <c r="W59" s="35">
        <v>0</v>
      </c>
      <c r="X59" s="35" t="s">
        <v>2057</v>
      </c>
      <c r="Y59" s="35" t="s">
        <v>2058</v>
      </c>
      <c r="AA59" s="35">
        <v>480</v>
      </c>
      <c r="AB59" s="35" t="s">
        <v>2053</v>
      </c>
      <c r="AC59" s="35" t="s">
        <v>2059</v>
      </c>
      <c r="AD59" s="35" t="s">
        <v>1763</v>
      </c>
    </row>
    <row r="60" spans="1:30">
      <c r="A60" s="35" t="s">
        <v>2072</v>
      </c>
      <c r="B60" s="35" t="s">
        <v>2073</v>
      </c>
      <c r="C60" s="35" t="s">
        <v>2052</v>
      </c>
      <c r="D60" s="35" t="s">
        <v>2092</v>
      </c>
      <c r="E60" s="35" t="s">
        <v>2093</v>
      </c>
      <c r="F60" s="35" t="s">
        <v>2190</v>
      </c>
      <c r="G60" s="36" t="s">
        <v>2191</v>
      </c>
      <c r="H60" s="35" t="s">
        <v>86</v>
      </c>
      <c r="I60" s="35" t="s">
        <v>85</v>
      </c>
      <c r="J60" s="35" t="s">
        <v>88</v>
      </c>
      <c r="K60" s="35" t="s">
        <v>88</v>
      </c>
      <c r="L60" s="35">
        <v>25</v>
      </c>
      <c r="M60" s="35" t="s">
        <v>87</v>
      </c>
      <c r="N60" s="35" t="s">
        <v>87</v>
      </c>
      <c r="O60" s="35" t="s">
        <v>88</v>
      </c>
      <c r="P60" s="35">
        <v>33233</v>
      </c>
      <c r="Q60" s="35">
        <v>1329</v>
      </c>
      <c r="R60" s="35">
        <v>1662</v>
      </c>
      <c r="S60" s="35">
        <v>997</v>
      </c>
      <c r="T60" s="35">
        <v>665</v>
      </c>
      <c r="U60" s="35">
        <v>1994</v>
      </c>
      <c r="V60" s="35">
        <v>8308</v>
      </c>
      <c r="W60" s="35">
        <v>0</v>
      </c>
      <c r="X60" s="35" t="s">
        <v>2057</v>
      </c>
      <c r="Y60" s="35" t="s">
        <v>2058</v>
      </c>
      <c r="AA60" s="35">
        <v>320</v>
      </c>
      <c r="AB60" s="35" t="s">
        <v>2092</v>
      </c>
      <c r="AC60" s="35" t="s">
        <v>2059</v>
      </c>
      <c r="AD60" s="35" t="s">
        <v>548</v>
      </c>
    </row>
    <row r="61" spans="1:30">
      <c r="A61" s="35" t="s">
        <v>2076</v>
      </c>
      <c r="B61" s="35" t="s">
        <v>2077</v>
      </c>
      <c r="C61" s="35" t="s">
        <v>2052</v>
      </c>
      <c r="D61" s="35" t="s">
        <v>2092</v>
      </c>
      <c r="E61" s="35" t="s">
        <v>2093</v>
      </c>
      <c r="F61" s="35" t="s">
        <v>2192</v>
      </c>
      <c r="G61" s="36" t="s">
        <v>2193</v>
      </c>
      <c r="H61" s="35" t="s">
        <v>91</v>
      </c>
      <c r="I61" s="35" t="s">
        <v>123</v>
      </c>
      <c r="J61" s="35" t="s">
        <v>88</v>
      </c>
      <c r="K61" s="35" t="s">
        <v>88</v>
      </c>
      <c r="L61" s="35">
        <v>43</v>
      </c>
      <c r="M61" s="35" t="s">
        <v>87</v>
      </c>
      <c r="N61" s="35" t="s">
        <v>87</v>
      </c>
      <c r="O61" s="35" t="s">
        <v>88</v>
      </c>
      <c r="P61" s="35">
        <v>42616</v>
      </c>
      <c r="Q61" s="35">
        <v>1705</v>
      </c>
      <c r="R61" s="35">
        <v>0</v>
      </c>
      <c r="S61" s="35">
        <v>1278</v>
      </c>
      <c r="T61" s="35">
        <v>852</v>
      </c>
      <c r="U61" s="35">
        <v>0</v>
      </c>
      <c r="V61" s="35">
        <v>0</v>
      </c>
      <c r="W61" s="35">
        <v>0</v>
      </c>
      <c r="X61" s="35" t="s">
        <v>2057</v>
      </c>
      <c r="Y61" s="35" t="s">
        <v>2058</v>
      </c>
      <c r="AA61" s="35">
        <v>0</v>
      </c>
      <c r="AB61" s="35" t="s">
        <v>2092</v>
      </c>
      <c r="AC61" s="35" t="s">
        <v>2059</v>
      </c>
      <c r="AD61" s="35" t="s">
        <v>283</v>
      </c>
    </row>
    <row r="62" spans="1:30">
      <c r="A62" s="35" t="s">
        <v>2086</v>
      </c>
      <c r="B62" s="35" t="s">
        <v>2087</v>
      </c>
      <c r="C62" s="35" t="s">
        <v>2052</v>
      </c>
      <c r="D62" s="35" t="s">
        <v>2082</v>
      </c>
      <c r="E62" s="35" t="s">
        <v>2083</v>
      </c>
      <c r="F62" s="35" t="s">
        <v>401</v>
      </c>
      <c r="G62" s="36" t="s">
        <v>2194</v>
      </c>
      <c r="H62" s="35" t="s">
        <v>86</v>
      </c>
      <c r="I62" s="35" t="s">
        <v>85</v>
      </c>
      <c r="J62" s="35" t="s">
        <v>88</v>
      </c>
      <c r="K62" s="35" t="s">
        <v>88</v>
      </c>
      <c r="L62" s="35">
        <v>50</v>
      </c>
      <c r="M62" s="35" t="s">
        <v>87</v>
      </c>
      <c r="N62" s="35" t="s">
        <v>87</v>
      </c>
      <c r="O62" s="35" t="s">
        <v>88</v>
      </c>
      <c r="P62" s="35">
        <v>34192</v>
      </c>
      <c r="Q62" s="35">
        <v>1368</v>
      </c>
      <c r="R62" s="35">
        <v>0</v>
      </c>
      <c r="S62" s="35">
        <v>1026</v>
      </c>
      <c r="T62" s="35">
        <v>684</v>
      </c>
      <c r="U62" s="35">
        <v>0</v>
      </c>
      <c r="V62" s="35">
        <v>0</v>
      </c>
      <c r="W62" s="35">
        <v>0</v>
      </c>
      <c r="X62" s="35" t="s">
        <v>2057</v>
      </c>
      <c r="Y62" s="35" t="s">
        <v>2058</v>
      </c>
      <c r="AA62" s="35">
        <v>0</v>
      </c>
      <c r="AB62" s="35" t="s">
        <v>2082</v>
      </c>
      <c r="AC62" s="35" t="s">
        <v>2059</v>
      </c>
      <c r="AD62" s="35" t="s">
        <v>1893</v>
      </c>
    </row>
    <row r="63" spans="1:30">
      <c r="A63" s="35" t="s">
        <v>2072</v>
      </c>
      <c r="B63" s="35" t="s">
        <v>2073</v>
      </c>
      <c r="C63" s="35" t="s">
        <v>2052</v>
      </c>
      <c r="D63" s="35" t="s">
        <v>2078</v>
      </c>
      <c r="E63" s="35" t="s">
        <v>2079</v>
      </c>
      <c r="F63" s="35" t="s">
        <v>1738</v>
      </c>
      <c r="G63" s="36" t="s">
        <v>2195</v>
      </c>
      <c r="H63" s="35" t="s">
        <v>91</v>
      </c>
      <c r="I63" s="35" t="s">
        <v>85</v>
      </c>
      <c r="J63" s="35" t="s">
        <v>88</v>
      </c>
      <c r="K63" s="35" t="s">
        <v>88</v>
      </c>
      <c r="L63" s="35">
        <v>46</v>
      </c>
      <c r="M63" s="35" t="s">
        <v>87</v>
      </c>
      <c r="N63" s="35" t="s">
        <v>87</v>
      </c>
      <c r="O63" s="35" t="s">
        <v>88</v>
      </c>
      <c r="P63" s="35">
        <v>44438</v>
      </c>
      <c r="Q63" s="35">
        <v>1778</v>
      </c>
      <c r="R63" s="35">
        <v>2222</v>
      </c>
      <c r="S63" s="35">
        <v>1333</v>
      </c>
      <c r="T63" s="35">
        <v>889</v>
      </c>
      <c r="U63" s="35">
        <v>2666</v>
      </c>
      <c r="V63" s="35">
        <v>11110</v>
      </c>
      <c r="W63" s="35">
        <v>0</v>
      </c>
      <c r="X63" s="35" t="s">
        <v>2057</v>
      </c>
      <c r="Y63" s="35" t="s">
        <v>2058</v>
      </c>
      <c r="AA63" s="35">
        <v>1200</v>
      </c>
      <c r="AB63" s="35" t="s">
        <v>2078</v>
      </c>
      <c r="AC63" s="35" t="s">
        <v>2059</v>
      </c>
      <c r="AD63" s="35" t="s">
        <v>1705</v>
      </c>
    </row>
    <row r="64" spans="1:30">
      <c r="A64" s="35" t="s">
        <v>2072</v>
      </c>
      <c r="B64" s="35" t="s">
        <v>2073</v>
      </c>
      <c r="C64" s="35" t="s">
        <v>2052</v>
      </c>
      <c r="D64" s="35" t="s">
        <v>2141</v>
      </c>
      <c r="E64" s="35" t="s">
        <v>2142</v>
      </c>
      <c r="F64" s="35" t="s">
        <v>806</v>
      </c>
      <c r="G64" s="36" t="s">
        <v>2196</v>
      </c>
      <c r="H64" s="35" t="s">
        <v>86</v>
      </c>
      <c r="I64" s="35" t="s">
        <v>85</v>
      </c>
      <c r="J64" s="35" t="s">
        <v>88</v>
      </c>
      <c r="K64" s="35" t="s">
        <v>88</v>
      </c>
      <c r="L64" s="35">
        <v>23</v>
      </c>
      <c r="M64" s="35" t="s">
        <v>88</v>
      </c>
      <c r="N64" s="35" t="s">
        <v>87</v>
      </c>
      <c r="O64" s="35" t="s">
        <v>88</v>
      </c>
      <c r="P64" s="35">
        <v>27549</v>
      </c>
      <c r="Q64" s="35">
        <v>1102</v>
      </c>
      <c r="R64" s="35">
        <v>1377</v>
      </c>
      <c r="S64" s="35">
        <v>826</v>
      </c>
      <c r="T64" s="35">
        <v>551</v>
      </c>
      <c r="U64" s="35">
        <v>1653</v>
      </c>
      <c r="V64" s="35">
        <v>6887</v>
      </c>
      <c r="W64" s="35">
        <v>0</v>
      </c>
      <c r="X64" s="35" t="s">
        <v>2057</v>
      </c>
      <c r="Y64" s="35" t="s">
        <v>2058</v>
      </c>
      <c r="AA64" s="35">
        <v>640</v>
      </c>
      <c r="AB64" s="35" t="s">
        <v>2141</v>
      </c>
      <c r="AC64" s="35" t="s">
        <v>2059</v>
      </c>
    </row>
    <row r="65" spans="1:30">
      <c r="A65" s="35" t="s">
        <v>2050</v>
      </c>
      <c r="B65" s="35" t="s">
        <v>2051</v>
      </c>
      <c r="C65" s="35" t="s">
        <v>2052</v>
      </c>
      <c r="D65" s="35" t="s">
        <v>2107</v>
      </c>
      <c r="E65" s="35" t="s">
        <v>2108</v>
      </c>
      <c r="F65" s="35" t="s">
        <v>440</v>
      </c>
      <c r="G65" s="36" t="s">
        <v>2197</v>
      </c>
      <c r="H65" s="35" t="s">
        <v>86</v>
      </c>
      <c r="I65" s="35" t="s">
        <v>85</v>
      </c>
      <c r="J65" s="35" t="s">
        <v>88</v>
      </c>
      <c r="K65" s="35" t="s">
        <v>88</v>
      </c>
      <c r="L65" s="35">
        <v>30</v>
      </c>
      <c r="M65" s="35" t="s">
        <v>88</v>
      </c>
      <c r="N65" s="35" t="s">
        <v>87</v>
      </c>
      <c r="O65" s="35" t="s">
        <v>87</v>
      </c>
      <c r="P65" s="35">
        <v>26893</v>
      </c>
      <c r="Q65" s="35">
        <v>1076</v>
      </c>
      <c r="R65" s="35">
        <v>1345</v>
      </c>
      <c r="S65" s="35">
        <v>807</v>
      </c>
      <c r="T65" s="35">
        <v>538</v>
      </c>
      <c r="U65" s="35">
        <v>1614</v>
      </c>
      <c r="V65" s="35">
        <v>6723</v>
      </c>
      <c r="W65" s="35">
        <v>0</v>
      </c>
      <c r="X65" s="35" t="s">
        <v>2057</v>
      </c>
      <c r="Y65" s="35" t="s">
        <v>2058</v>
      </c>
      <c r="AA65" s="35">
        <v>640</v>
      </c>
      <c r="AB65" s="35" t="s">
        <v>2107</v>
      </c>
      <c r="AC65" s="35" t="s">
        <v>2059</v>
      </c>
    </row>
    <row r="66" spans="1:30">
      <c r="A66" s="35" t="s">
        <v>2076</v>
      </c>
      <c r="B66" s="35" t="s">
        <v>2077</v>
      </c>
      <c r="C66" s="35" t="s">
        <v>2052</v>
      </c>
      <c r="D66" s="35" t="s">
        <v>2132</v>
      </c>
      <c r="E66" s="35" t="s">
        <v>2133</v>
      </c>
      <c r="F66" s="35" t="s">
        <v>2198</v>
      </c>
      <c r="G66" s="36" t="s">
        <v>2199</v>
      </c>
      <c r="H66" s="35" t="s">
        <v>91</v>
      </c>
      <c r="I66" s="35" t="s">
        <v>85</v>
      </c>
      <c r="J66" s="35" t="s">
        <v>88</v>
      </c>
      <c r="K66" s="35" t="s">
        <v>88</v>
      </c>
      <c r="L66" s="35">
        <v>29</v>
      </c>
      <c r="M66" s="35" t="s">
        <v>87</v>
      </c>
      <c r="N66" s="35" t="s">
        <v>87</v>
      </c>
      <c r="O66" s="35" t="s">
        <v>88</v>
      </c>
      <c r="P66" s="35">
        <v>36228</v>
      </c>
      <c r="Q66" s="35">
        <v>1449</v>
      </c>
      <c r="R66" s="35">
        <v>0</v>
      </c>
      <c r="S66" s="35">
        <v>1087</v>
      </c>
      <c r="T66" s="35">
        <v>725</v>
      </c>
      <c r="U66" s="35">
        <v>0</v>
      </c>
      <c r="V66" s="35">
        <v>0</v>
      </c>
      <c r="W66" s="35">
        <v>0</v>
      </c>
      <c r="X66" s="35" t="s">
        <v>2057</v>
      </c>
      <c r="Y66" s="35" t="s">
        <v>2058</v>
      </c>
      <c r="AA66" s="35">
        <v>0</v>
      </c>
      <c r="AB66" s="35" t="s">
        <v>2132</v>
      </c>
      <c r="AC66" s="35" t="s">
        <v>2059</v>
      </c>
      <c r="AD66" s="35" t="s">
        <v>1159</v>
      </c>
    </row>
    <row r="67" spans="1:30">
      <c r="A67" s="35" t="s">
        <v>2072</v>
      </c>
      <c r="B67" s="35" t="s">
        <v>2073</v>
      </c>
      <c r="C67" s="35" t="s">
        <v>2052</v>
      </c>
      <c r="D67" s="35" t="s">
        <v>2092</v>
      </c>
      <c r="E67" s="35" t="s">
        <v>2093</v>
      </c>
      <c r="F67" s="35" t="s">
        <v>2200</v>
      </c>
      <c r="G67" s="36" t="s">
        <v>2201</v>
      </c>
      <c r="H67" s="35" t="s">
        <v>91</v>
      </c>
      <c r="I67" s="35" t="s">
        <v>85</v>
      </c>
      <c r="J67" s="35" t="s">
        <v>88</v>
      </c>
      <c r="K67" s="35" t="s">
        <v>88</v>
      </c>
      <c r="L67" s="35">
        <v>19</v>
      </c>
      <c r="M67" s="35" t="s">
        <v>88</v>
      </c>
      <c r="N67" s="35" t="s">
        <v>87</v>
      </c>
      <c r="O67" s="35" t="s">
        <v>87</v>
      </c>
      <c r="P67" s="35">
        <v>28789</v>
      </c>
      <c r="Q67" s="35">
        <v>1152</v>
      </c>
      <c r="R67" s="35">
        <v>1439</v>
      </c>
      <c r="S67" s="35">
        <v>864</v>
      </c>
      <c r="T67" s="35">
        <v>576</v>
      </c>
      <c r="U67" s="35">
        <v>1727</v>
      </c>
      <c r="V67" s="35">
        <v>7197</v>
      </c>
      <c r="W67" s="35">
        <v>0</v>
      </c>
      <c r="X67" s="35" t="s">
        <v>2057</v>
      </c>
      <c r="Y67" s="35" t="s">
        <v>2058</v>
      </c>
      <c r="AA67" s="35">
        <v>640</v>
      </c>
      <c r="AB67" s="35" t="s">
        <v>2092</v>
      </c>
      <c r="AC67" s="35" t="s">
        <v>2059</v>
      </c>
    </row>
    <row r="68" spans="1:30">
      <c r="A68" s="35" t="s">
        <v>2060</v>
      </c>
      <c r="B68" s="35" t="s">
        <v>2061</v>
      </c>
      <c r="C68" s="35" t="s">
        <v>2052</v>
      </c>
      <c r="D68" s="35" t="s">
        <v>2053</v>
      </c>
      <c r="E68" s="35" t="s">
        <v>2054</v>
      </c>
      <c r="F68" s="35" t="s">
        <v>2202</v>
      </c>
      <c r="G68" s="36" t="s">
        <v>2203</v>
      </c>
      <c r="H68" s="35" t="s">
        <v>86</v>
      </c>
      <c r="I68" s="35" t="s">
        <v>85</v>
      </c>
      <c r="J68" s="35" t="s">
        <v>88</v>
      </c>
      <c r="K68" s="35" t="s">
        <v>88</v>
      </c>
      <c r="L68" s="35">
        <v>30</v>
      </c>
      <c r="M68" s="35" t="s">
        <v>87</v>
      </c>
      <c r="N68" s="35" t="s">
        <v>87</v>
      </c>
      <c r="O68" s="35" t="s">
        <v>88</v>
      </c>
      <c r="P68" s="35">
        <v>40936</v>
      </c>
      <c r="Q68" s="35">
        <v>1637</v>
      </c>
      <c r="R68" s="35">
        <v>0</v>
      </c>
      <c r="S68" s="35">
        <v>1228</v>
      </c>
      <c r="T68" s="35">
        <v>819</v>
      </c>
      <c r="U68" s="35">
        <v>0</v>
      </c>
      <c r="V68" s="35">
        <v>0</v>
      </c>
      <c r="W68" s="35">
        <v>0</v>
      </c>
      <c r="X68" s="35" t="s">
        <v>2057</v>
      </c>
      <c r="Y68" s="35" t="s">
        <v>2058</v>
      </c>
      <c r="AA68" s="35">
        <v>0</v>
      </c>
      <c r="AB68" s="35" t="s">
        <v>2053</v>
      </c>
      <c r="AC68" s="35" t="s">
        <v>2059</v>
      </c>
      <c r="AD68" s="35" t="s">
        <v>1340</v>
      </c>
    </row>
    <row r="69" spans="1:30">
      <c r="A69" s="35" t="s">
        <v>2060</v>
      </c>
      <c r="B69" s="35" t="s">
        <v>2061</v>
      </c>
      <c r="C69" s="35" t="s">
        <v>2052</v>
      </c>
      <c r="D69" s="35" t="s">
        <v>2053</v>
      </c>
      <c r="E69" s="35" t="s">
        <v>2054</v>
      </c>
      <c r="F69" s="35" t="s">
        <v>2204</v>
      </c>
      <c r="G69" s="36" t="s">
        <v>2205</v>
      </c>
      <c r="H69" s="35" t="s">
        <v>86</v>
      </c>
      <c r="I69" s="35" t="s">
        <v>85</v>
      </c>
      <c r="J69" s="35" t="s">
        <v>88</v>
      </c>
      <c r="K69" s="35" t="s">
        <v>88</v>
      </c>
      <c r="L69" s="35">
        <v>37</v>
      </c>
      <c r="M69" s="35" t="s">
        <v>87</v>
      </c>
      <c r="N69" s="35" t="s">
        <v>87</v>
      </c>
      <c r="O69" s="35" t="s">
        <v>88</v>
      </c>
      <c r="P69" s="35">
        <v>34397</v>
      </c>
      <c r="Q69" s="35">
        <v>1376</v>
      </c>
      <c r="R69" s="35">
        <v>0</v>
      </c>
      <c r="S69" s="35">
        <v>1032</v>
      </c>
      <c r="T69" s="35">
        <v>688</v>
      </c>
      <c r="U69" s="35">
        <v>0</v>
      </c>
      <c r="V69" s="35">
        <v>0</v>
      </c>
      <c r="W69" s="35">
        <v>0</v>
      </c>
      <c r="X69" s="35" t="s">
        <v>2057</v>
      </c>
      <c r="Y69" s="35" t="s">
        <v>2058</v>
      </c>
      <c r="AA69" s="35">
        <v>0</v>
      </c>
      <c r="AB69" s="35" t="s">
        <v>2053</v>
      </c>
      <c r="AC69" s="35" t="s">
        <v>2059</v>
      </c>
      <c r="AD69" s="35" t="s">
        <v>458</v>
      </c>
    </row>
    <row r="70" spans="1:30">
      <c r="A70" s="35" t="s">
        <v>2066</v>
      </c>
      <c r="B70" s="35" t="s">
        <v>2067</v>
      </c>
      <c r="C70" s="35" t="s">
        <v>2052</v>
      </c>
      <c r="D70" s="35" t="s">
        <v>2082</v>
      </c>
      <c r="E70" s="35" t="s">
        <v>2083</v>
      </c>
      <c r="F70" s="35" t="s">
        <v>2206</v>
      </c>
      <c r="G70" s="36" t="s">
        <v>2207</v>
      </c>
      <c r="H70" s="35" t="s">
        <v>86</v>
      </c>
      <c r="I70" s="35" t="s">
        <v>97</v>
      </c>
      <c r="J70" s="35" t="s">
        <v>88</v>
      </c>
      <c r="K70" s="35" t="s">
        <v>88</v>
      </c>
      <c r="L70" s="35">
        <v>31</v>
      </c>
      <c r="M70" s="35" t="s">
        <v>87</v>
      </c>
      <c r="N70" s="35" t="s">
        <v>87</v>
      </c>
      <c r="O70" s="35" t="s">
        <v>88</v>
      </c>
      <c r="P70" s="35">
        <v>17360</v>
      </c>
      <c r="Q70" s="35">
        <v>694</v>
      </c>
      <c r="R70" s="35">
        <v>0</v>
      </c>
      <c r="S70" s="35">
        <v>521</v>
      </c>
      <c r="T70" s="35">
        <v>347</v>
      </c>
      <c r="U70" s="35">
        <v>0</v>
      </c>
      <c r="V70" s="35">
        <v>0</v>
      </c>
      <c r="W70" s="35">
        <v>0</v>
      </c>
      <c r="X70" s="35" t="s">
        <v>2057</v>
      </c>
      <c r="Y70" s="35" t="s">
        <v>2058</v>
      </c>
      <c r="AA70" s="35">
        <v>0</v>
      </c>
      <c r="AB70" s="35" t="s">
        <v>2082</v>
      </c>
      <c r="AC70" s="35" t="s">
        <v>2059</v>
      </c>
    </row>
    <row r="71" spans="1:30">
      <c r="A71" s="35" t="s">
        <v>2066</v>
      </c>
      <c r="B71" s="35" t="s">
        <v>2067</v>
      </c>
      <c r="C71" s="35" t="s">
        <v>2052</v>
      </c>
      <c r="D71" s="35" t="s">
        <v>2062</v>
      </c>
      <c r="E71" s="35" t="s">
        <v>2063</v>
      </c>
      <c r="F71" s="35" t="s">
        <v>2208</v>
      </c>
      <c r="G71" s="36" t="s">
        <v>2209</v>
      </c>
      <c r="H71" s="35" t="s">
        <v>91</v>
      </c>
      <c r="I71" s="35" t="s">
        <v>85</v>
      </c>
      <c r="J71" s="35" t="s">
        <v>88</v>
      </c>
      <c r="K71" s="35" t="s">
        <v>88</v>
      </c>
      <c r="L71" s="35">
        <v>54</v>
      </c>
      <c r="M71" s="35" t="s">
        <v>87</v>
      </c>
      <c r="N71" s="35" t="s">
        <v>87</v>
      </c>
      <c r="O71" s="35" t="s">
        <v>88</v>
      </c>
      <c r="P71" s="35">
        <v>45332</v>
      </c>
      <c r="Q71" s="35">
        <v>1813</v>
      </c>
      <c r="R71" s="35">
        <v>0</v>
      </c>
      <c r="S71" s="35">
        <v>1360</v>
      </c>
      <c r="T71" s="35">
        <v>907</v>
      </c>
      <c r="U71" s="35">
        <v>0</v>
      </c>
      <c r="V71" s="35">
        <v>0</v>
      </c>
      <c r="W71" s="35">
        <v>0</v>
      </c>
      <c r="X71" s="35" t="s">
        <v>2057</v>
      </c>
      <c r="Y71" s="35" t="s">
        <v>2058</v>
      </c>
      <c r="AA71" s="35">
        <v>0</v>
      </c>
      <c r="AB71" s="35" t="s">
        <v>2062</v>
      </c>
      <c r="AC71" s="35" t="s">
        <v>2059</v>
      </c>
      <c r="AD71" s="35" t="s">
        <v>1958</v>
      </c>
    </row>
    <row r="72" spans="1:30">
      <c r="A72" s="35" t="s">
        <v>2086</v>
      </c>
      <c r="B72" s="35" t="s">
        <v>2087</v>
      </c>
      <c r="C72" s="35" t="s">
        <v>2052</v>
      </c>
      <c r="D72" s="35" t="s">
        <v>2107</v>
      </c>
      <c r="E72" s="35" t="s">
        <v>2108</v>
      </c>
      <c r="F72" s="35" t="s">
        <v>2210</v>
      </c>
      <c r="G72" s="36" t="s">
        <v>2211</v>
      </c>
      <c r="H72" s="35" t="s">
        <v>91</v>
      </c>
      <c r="I72" s="35" t="s">
        <v>85</v>
      </c>
      <c r="J72" s="35" t="s">
        <v>88</v>
      </c>
      <c r="K72" s="35" t="s">
        <v>88</v>
      </c>
      <c r="L72" s="35">
        <v>50</v>
      </c>
      <c r="M72" s="35" t="s">
        <v>87</v>
      </c>
      <c r="N72" s="35" t="s">
        <v>87</v>
      </c>
      <c r="O72" s="35" t="s">
        <v>88</v>
      </c>
      <c r="P72" s="35">
        <v>32507</v>
      </c>
      <c r="Q72" s="35">
        <v>1300</v>
      </c>
      <c r="R72" s="35">
        <v>0</v>
      </c>
      <c r="S72" s="35">
        <v>975</v>
      </c>
      <c r="T72" s="35">
        <v>650</v>
      </c>
      <c r="U72" s="35">
        <v>0</v>
      </c>
      <c r="V72" s="35">
        <v>0</v>
      </c>
      <c r="W72" s="35">
        <v>0</v>
      </c>
      <c r="X72" s="35" t="s">
        <v>2057</v>
      </c>
      <c r="Y72" s="35" t="s">
        <v>2058</v>
      </c>
      <c r="AA72" s="35">
        <v>0</v>
      </c>
      <c r="AB72" s="35" t="s">
        <v>2107</v>
      </c>
      <c r="AC72" s="35" t="s">
        <v>2059</v>
      </c>
      <c r="AD72" s="35" t="s">
        <v>1795</v>
      </c>
    </row>
    <row r="73" spans="1:30">
      <c r="A73" s="35" t="s">
        <v>2060</v>
      </c>
      <c r="B73" s="35" t="s">
        <v>2061</v>
      </c>
      <c r="C73" s="35" t="s">
        <v>2052</v>
      </c>
      <c r="D73" s="35" t="s">
        <v>2062</v>
      </c>
      <c r="E73" s="35" t="s">
        <v>2063</v>
      </c>
      <c r="F73" s="35" t="s">
        <v>2212</v>
      </c>
      <c r="G73" s="36" t="s">
        <v>2213</v>
      </c>
      <c r="H73" s="35" t="s">
        <v>86</v>
      </c>
      <c r="I73" s="35" t="s">
        <v>85</v>
      </c>
      <c r="J73" s="35" t="s">
        <v>88</v>
      </c>
      <c r="K73" s="35" t="s">
        <v>88</v>
      </c>
      <c r="L73" s="35">
        <v>49</v>
      </c>
      <c r="M73" s="35" t="s">
        <v>87</v>
      </c>
      <c r="N73" s="35" t="s">
        <v>87</v>
      </c>
      <c r="O73" s="35" t="s">
        <v>88</v>
      </c>
      <c r="P73" s="35">
        <v>38279</v>
      </c>
      <c r="Q73" s="35">
        <v>1531</v>
      </c>
      <c r="R73" s="35">
        <v>0</v>
      </c>
      <c r="S73" s="35">
        <v>1148</v>
      </c>
      <c r="T73" s="35">
        <v>766</v>
      </c>
      <c r="U73" s="35">
        <v>0</v>
      </c>
      <c r="V73" s="35">
        <v>0</v>
      </c>
      <c r="W73" s="35">
        <v>0</v>
      </c>
      <c r="X73" s="35" t="s">
        <v>2057</v>
      </c>
      <c r="Y73" s="35" t="s">
        <v>2058</v>
      </c>
      <c r="AA73" s="35">
        <v>0</v>
      </c>
      <c r="AB73" s="35" t="s">
        <v>2062</v>
      </c>
      <c r="AC73" s="35" t="s">
        <v>2059</v>
      </c>
      <c r="AD73" s="35" t="s">
        <v>510</v>
      </c>
    </row>
    <row r="74" spans="1:30">
      <c r="A74" s="35" t="s">
        <v>2076</v>
      </c>
      <c r="B74" s="35" t="s">
        <v>2077</v>
      </c>
      <c r="C74" s="35" t="s">
        <v>2052</v>
      </c>
      <c r="D74" s="35" t="s">
        <v>2092</v>
      </c>
      <c r="E74" s="35" t="s">
        <v>2093</v>
      </c>
      <c r="F74" s="35" t="s">
        <v>2153</v>
      </c>
      <c r="G74" s="36" t="s">
        <v>2214</v>
      </c>
      <c r="H74" s="35" t="s">
        <v>91</v>
      </c>
      <c r="I74" s="35" t="s">
        <v>85</v>
      </c>
      <c r="J74" s="35" t="s">
        <v>88</v>
      </c>
      <c r="K74" s="35" t="s">
        <v>88</v>
      </c>
      <c r="L74" s="35">
        <v>40</v>
      </c>
      <c r="M74" s="35" t="s">
        <v>87</v>
      </c>
      <c r="N74" s="35" t="s">
        <v>87</v>
      </c>
      <c r="O74" s="35" t="s">
        <v>88</v>
      </c>
      <c r="P74" s="35">
        <v>43511</v>
      </c>
      <c r="Q74" s="35">
        <v>1740</v>
      </c>
      <c r="R74" s="35">
        <v>0</v>
      </c>
      <c r="S74" s="35">
        <v>1305</v>
      </c>
      <c r="T74" s="35">
        <v>870</v>
      </c>
      <c r="U74" s="35">
        <v>0</v>
      </c>
      <c r="V74" s="35">
        <v>0</v>
      </c>
      <c r="W74" s="35">
        <v>0</v>
      </c>
      <c r="X74" s="35" t="s">
        <v>2057</v>
      </c>
      <c r="Y74" s="35" t="s">
        <v>2058</v>
      </c>
      <c r="AA74" s="35">
        <v>0</v>
      </c>
      <c r="AB74" s="35" t="s">
        <v>2092</v>
      </c>
      <c r="AC74" s="35" t="s">
        <v>2059</v>
      </c>
      <c r="AD74" s="35" t="s">
        <v>1252</v>
      </c>
    </row>
    <row r="75" spans="1:30">
      <c r="A75" s="35" t="s">
        <v>2066</v>
      </c>
      <c r="B75" s="35" t="s">
        <v>2067</v>
      </c>
      <c r="C75" s="35" t="s">
        <v>2052</v>
      </c>
      <c r="D75" s="35" t="s">
        <v>2062</v>
      </c>
      <c r="E75" s="35" t="s">
        <v>2063</v>
      </c>
      <c r="F75" s="35" t="s">
        <v>1569</v>
      </c>
      <c r="G75" s="36" t="s">
        <v>2215</v>
      </c>
      <c r="H75" s="35" t="s">
        <v>91</v>
      </c>
      <c r="I75" s="35" t="s">
        <v>85</v>
      </c>
      <c r="J75" s="35" t="s">
        <v>88</v>
      </c>
      <c r="K75" s="35" t="s">
        <v>88</v>
      </c>
      <c r="L75" s="35">
        <v>52</v>
      </c>
      <c r="M75" s="35" t="s">
        <v>87</v>
      </c>
      <c r="N75" s="35" t="s">
        <v>87</v>
      </c>
      <c r="O75" s="35" t="s">
        <v>88</v>
      </c>
      <c r="P75" s="35">
        <v>31903</v>
      </c>
      <c r="Q75" s="35">
        <v>1276</v>
      </c>
      <c r="R75" s="35">
        <v>0</v>
      </c>
      <c r="S75" s="35">
        <v>957</v>
      </c>
      <c r="T75" s="35">
        <v>638</v>
      </c>
      <c r="U75" s="35">
        <v>0</v>
      </c>
      <c r="V75" s="35">
        <v>0</v>
      </c>
      <c r="W75" s="35">
        <v>0</v>
      </c>
      <c r="X75" s="35" t="s">
        <v>2057</v>
      </c>
      <c r="Y75" s="35" t="s">
        <v>2058</v>
      </c>
      <c r="AA75" s="35">
        <v>0</v>
      </c>
      <c r="AB75" s="35" t="s">
        <v>2062</v>
      </c>
      <c r="AC75" s="35" t="s">
        <v>2059</v>
      </c>
      <c r="AD75" s="35" t="s">
        <v>1300</v>
      </c>
    </row>
    <row r="76" spans="1:30">
      <c r="A76" s="35" t="s">
        <v>2072</v>
      </c>
      <c r="B76" s="35" t="s">
        <v>2073</v>
      </c>
      <c r="C76" s="35" t="s">
        <v>2052</v>
      </c>
      <c r="D76" s="35" t="s">
        <v>2082</v>
      </c>
      <c r="E76" s="35" t="s">
        <v>2083</v>
      </c>
      <c r="F76" s="35" t="s">
        <v>2216</v>
      </c>
      <c r="G76" s="36" t="s">
        <v>2217</v>
      </c>
      <c r="H76" s="35" t="s">
        <v>91</v>
      </c>
      <c r="I76" s="35" t="s">
        <v>85</v>
      </c>
      <c r="J76" s="35" t="s">
        <v>88</v>
      </c>
      <c r="K76" s="35" t="s">
        <v>88</v>
      </c>
      <c r="L76" s="35">
        <v>25</v>
      </c>
      <c r="M76" s="35" t="s">
        <v>88</v>
      </c>
      <c r="N76" s="35" t="s">
        <v>87</v>
      </c>
      <c r="O76" s="35" t="s">
        <v>87</v>
      </c>
      <c r="P76" s="35">
        <v>27861</v>
      </c>
      <c r="Q76" s="35">
        <v>1114</v>
      </c>
      <c r="R76" s="35">
        <v>1393</v>
      </c>
      <c r="S76" s="35">
        <v>836</v>
      </c>
      <c r="T76" s="35">
        <v>557</v>
      </c>
      <c r="U76" s="35">
        <v>1672</v>
      </c>
      <c r="V76" s="35">
        <v>6965</v>
      </c>
      <c r="W76" s="35">
        <v>0</v>
      </c>
      <c r="X76" s="35" t="s">
        <v>2057</v>
      </c>
      <c r="Y76" s="35" t="s">
        <v>2058</v>
      </c>
      <c r="AA76" s="35">
        <v>320</v>
      </c>
      <c r="AB76" s="35" t="s">
        <v>2082</v>
      </c>
      <c r="AC76" s="35" t="s">
        <v>2059</v>
      </c>
    </row>
    <row r="77" spans="1:30">
      <c r="A77" s="35" t="s">
        <v>2090</v>
      </c>
      <c r="B77" s="35" t="s">
        <v>2091</v>
      </c>
      <c r="C77" s="35" t="s">
        <v>2052</v>
      </c>
      <c r="D77" s="35" t="s">
        <v>2082</v>
      </c>
      <c r="E77" s="35" t="s">
        <v>2083</v>
      </c>
      <c r="F77" s="35" t="s">
        <v>2218</v>
      </c>
      <c r="G77" s="36" t="s">
        <v>2219</v>
      </c>
      <c r="H77" s="35" t="s">
        <v>86</v>
      </c>
      <c r="I77" s="35" t="s">
        <v>85</v>
      </c>
      <c r="J77" s="35" t="s">
        <v>88</v>
      </c>
      <c r="K77" s="35" t="s">
        <v>88</v>
      </c>
      <c r="L77" s="35">
        <v>29</v>
      </c>
      <c r="M77" s="35" t="s">
        <v>87</v>
      </c>
      <c r="N77" s="35" t="s">
        <v>87</v>
      </c>
      <c r="O77" s="35" t="s">
        <v>88</v>
      </c>
      <c r="P77" s="35">
        <v>30498</v>
      </c>
      <c r="Q77" s="35">
        <v>1220</v>
      </c>
      <c r="R77" s="35">
        <v>0</v>
      </c>
      <c r="S77" s="35">
        <v>915</v>
      </c>
      <c r="T77" s="35">
        <v>610</v>
      </c>
      <c r="U77" s="35">
        <v>1830</v>
      </c>
      <c r="V77" s="35">
        <v>7624</v>
      </c>
      <c r="W77" s="35">
        <v>0</v>
      </c>
      <c r="X77" s="35" t="s">
        <v>2057</v>
      </c>
      <c r="Y77" s="35" t="s">
        <v>2058</v>
      </c>
      <c r="AA77" s="35">
        <v>320</v>
      </c>
      <c r="AB77" s="35" t="s">
        <v>2082</v>
      </c>
      <c r="AC77" s="35" t="s">
        <v>2059</v>
      </c>
      <c r="AD77" s="35" t="s">
        <v>612</v>
      </c>
    </row>
    <row r="78" spans="1:30">
      <c r="A78" s="35" t="s">
        <v>2050</v>
      </c>
      <c r="B78" s="35" t="s">
        <v>2051</v>
      </c>
      <c r="C78" s="35" t="s">
        <v>2052</v>
      </c>
      <c r="D78" s="35" t="s">
        <v>2068</v>
      </c>
      <c r="E78" s="35" t="s">
        <v>2069</v>
      </c>
      <c r="F78" s="35" t="s">
        <v>2220</v>
      </c>
      <c r="G78" s="36" t="s">
        <v>2221</v>
      </c>
      <c r="H78" s="35" t="s">
        <v>91</v>
      </c>
      <c r="I78" s="35" t="s">
        <v>85</v>
      </c>
      <c r="J78" s="35" t="s">
        <v>88</v>
      </c>
      <c r="K78" s="35" t="s">
        <v>88</v>
      </c>
      <c r="L78" s="35">
        <v>19</v>
      </c>
      <c r="M78" s="35" t="s">
        <v>88</v>
      </c>
      <c r="N78" s="35" t="s">
        <v>87</v>
      </c>
      <c r="O78" s="35" t="s">
        <v>88</v>
      </c>
      <c r="P78" s="35">
        <v>27525</v>
      </c>
      <c r="Q78" s="35">
        <v>1101</v>
      </c>
      <c r="R78" s="35">
        <v>1376</v>
      </c>
      <c r="S78" s="35">
        <v>826</v>
      </c>
      <c r="T78" s="35">
        <v>550</v>
      </c>
      <c r="U78" s="35">
        <v>1652</v>
      </c>
      <c r="V78" s="35">
        <v>6881</v>
      </c>
      <c r="W78" s="35">
        <v>0</v>
      </c>
      <c r="X78" s="35" t="s">
        <v>2057</v>
      </c>
      <c r="Y78" s="35" t="s">
        <v>2058</v>
      </c>
      <c r="AA78" s="35">
        <v>480</v>
      </c>
      <c r="AB78" s="35" t="s">
        <v>2068</v>
      </c>
      <c r="AC78" s="35" t="s">
        <v>2059</v>
      </c>
    </row>
    <row r="79" spans="1:30">
      <c r="A79" s="35" t="s">
        <v>2076</v>
      </c>
      <c r="B79" s="35" t="s">
        <v>2077</v>
      </c>
      <c r="C79" s="35" t="s">
        <v>2052</v>
      </c>
      <c r="D79" s="35" t="s">
        <v>2082</v>
      </c>
      <c r="E79" s="35" t="s">
        <v>2083</v>
      </c>
      <c r="F79" s="35" t="s">
        <v>2222</v>
      </c>
      <c r="G79" s="36" t="s">
        <v>2223</v>
      </c>
      <c r="H79" s="35" t="s">
        <v>86</v>
      </c>
      <c r="I79" s="35" t="s">
        <v>97</v>
      </c>
      <c r="J79" s="35" t="s">
        <v>88</v>
      </c>
      <c r="K79" s="35" t="s">
        <v>88</v>
      </c>
      <c r="L79" s="35">
        <v>34</v>
      </c>
      <c r="M79" s="35" t="s">
        <v>87</v>
      </c>
      <c r="N79" s="35" t="s">
        <v>87</v>
      </c>
      <c r="O79" s="35" t="s">
        <v>88</v>
      </c>
      <c r="P79" s="35">
        <v>18618</v>
      </c>
      <c r="Q79" s="35">
        <v>745</v>
      </c>
      <c r="R79" s="35">
        <v>0</v>
      </c>
      <c r="S79" s="35">
        <v>559</v>
      </c>
      <c r="T79" s="35">
        <v>372</v>
      </c>
      <c r="U79" s="35">
        <v>0</v>
      </c>
      <c r="V79" s="35">
        <v>0</v>
      </c>
      <c r="W79" s="35">
        <v>0</v>
      </c>
      <c r="X79" s="35" t="s">
        <v>2057</v>
      </c>
      <c r="Y79" s="35" t="s">
        <v>2058</v>
      </c>
      <c r="AA79" s="35">
        <v>0</v>
      </c>
      <c r="AB79" s="35" t="s">
        <v>2082</v>
      </c>
      <c r="AC79" s="35" t="s">
        <v>2059</v>
      </c>
    </row>
    <row r="80" spans="1:30">
      <c r="A80" s="35" t="s">
        <v>2086</v>
      </c>
      <c r="B80" s="35" t="s">
        <v>2087</v>
      </c>
      <c r="C80" s="35" t="s">
        <v>2052</v>
      </c>
      <c r="D80" s="35" t="s">
        <v>2107</v>
      </c>
      <c r="E80" s="35" t="s">
        <v>2108</v>
      </c>
      <c r="F80" s="35" t="s">
        <v>2224</v>
      </c>
      <c r="G80" s="36" t="s">
        <v>2225</v>
      </c>
      <c r="H80" s="35" t="s">
        <v>86</v>
      </c>
      <c r="I80" s="35" t="s">
        <v>85</v>
      </c>
      <c r="J80" s="35" t="s">
        <v>88</v>
      </c>
      <c r="K80" s="35" t="s">
        <v>88</v>
      </c>
      <c r="L80" s="35">
        <v>28</v>
      </c>
      <c r="M80" s="35" t="s">
        <v>87</v>
      </c>
      <c r="N80" s="35" t="s">
        <v>87</v>
      </c>
      <c r="O80" s="35" t="s">
        <v>88</v>
      </c>
      <c r="P80" s="35">
        <v>33901</v>
      </c>
      <c r="Q80" s="35">
        <v>1356</v>
      </c>
      <c r="R80" s="35">
        <v>0</v>
      </c>
      <c r="S80" s="35">
        <v>1017</v>
      </c>
      <c r="T80" s="35">
        <v>678</v>
      </c>
      <c r="U80" s="35">
        <v>0</v>
      </c>
      <c r="V80" s="35">
        <v>0</v>
      </c>
      <c r="W80" s="35">
        <v>0</v>
      </c>
      <c r="X80" s="35" t="s">
        <v>2057</v>
      </c>
      <c r="Y80" s="35" t="s">
        <v>2058</v>
      </c>
      <c r="AA80" s="35">
        <v>0</v>
      </c>
      <c r="AB80" s="35" t="s">
        <v>2107</v>
      </c>
      <c r="AC80" s="35" t="s">
        <v>2059</v>
      </c>
      <c r="AD80" s="35" t="s">
        <v>552</v>
      </c>
    </row>
    <row r="81" spans="1:30">
      <c r="A81" s="35" t="s">
        <v>2076</v>
      </c>
      <c r="B81" s="35" t="s">
        <v>2077</v>
      </c>
      <c r="C81" s="35" t="s">
        <v>2052</v>
      </c>
      <c r="D81" s="35" t="s">
        <v>2068</v>
      </c>
      <c r="E81" s="35" t="s">
        <v>2069</v>
      </c>
      <c r="F81" s="35" t="s">
        <v>2226</v>
      </c>
      <c r="G81" s="36" t="s">
        <v>2227</v>
      </c>
      <c r="H81" s="35" t="s">
        <v>91</v>
      </c>
      <c r="I81" s="35" t="s">
        <v>85</v>
      </c>
      <c r="J81" s="35" t="s">
        <v>88</v>
      </c>
      <c r="K81" s="35" t="s">
        <v>88</v>
      </c>
      <c r="L81" s="35">
        <v>25</v>
      </c>
      <c r="M81" s="35" t="s">
        <v>87</v>
      </c>
      <c r="N81" s="35" t="s">
        <v>87</v>
      </c>
      <c r="O81" s="35" t="s">
        <v>88</v>
      </c>
      <c r="P81" s="35">
        <v>45506</v>
      </c>
      <c r="Q81" s="35">
        <v>1820</v>
      </c>
      <c r="R81" s="35">
        <v>0</v>
      </c>
      <c r="S81" s="35">
        <v>1365</v>
      </c>
      <c r="T81" s="35">
        <v>910</v>
      </c>
      <c r="U81" s="35">
        <v>0</v>
      </c>
      <c r="V81" s="35">
        <v>0</v>
      </c>
      <c r="W81" s="35">
        <v>0</v>
      </c>
      <c r="X81" s="35" t="s">
        <v>2057</v>
      </c>
      <c r="Y81" s="35" t="s">
        <v>2058</v>
      </c>
      <c r="AA81" s="35">
        <v>0</v>
      </c>
      <c r="AB81" s="35" t="s">
        <v>2068</v>
      </c>
      <c r="AC81" s="35" t="s">
        <v>2059</v>
      </c>
      <c r="AD81" s="35" t="s">
        <v>1522</v>
      </c>
    </row>
    <row r="82" spans="1:30">
      <c r="A82" s="35" t="s">
        <v>2086</v>
      </c>
      <c r="B82" s="35" t="s">
        <v>2087</v>
      </c>
      <c r="C82" s="35" t="s">
        <v>2052</v>
      </c>
      <c r="D82" s="35" t="s">
        <v>2068</v>
      </c>
      <c r="E82" s="35" t="s">
        <v>2069</v>
      </c>
      <c r="F82" s="35" t="s">
        <v>2228</v>
      </c>
      <c r="G82" s="36" t="s">
        <v>2229</v>
      </c>
      <c r="H82" s="35" t="s">
        <v>91</v>
      </c>
      <c r="I82" s="35" t="s">
        <v>123</v>
      </c>
      <c r="J82" s="35" t="s">
        <v>88</v>
      </c>
      <c r="K82" s="35" t="s">
        <v>88</v>
      </c>
      <c r="L82" s="35">
        <v>29</v>
      </c>
      <c r="M82" s="35" t="s">
        <v>87</v>
      </c>
      <c r="N82" s="35" t="s">
        <v>87</v>
      </c>
      <c r="O82" s="35" t="s">
        <v>88</v>
      </c>
      <c r="P82" s="35">
        <v>45589</v>
      </c>
      <c r="Q82" s="35">
        <v>1824</v>
      </c>
      <c r="R82" s="35">
        <v>0</v>
      </c>
      <c r="S82" s="35">
        <v>1368</v>
      </c>
      <c r="T82" s="35">
        <v>912</v>
      </c>
      <c r="U82" s="35">
        <v>0</v>
      </c>
      <c r="V82" s="35">
        <v>0</v>
      </c>
      <c r="W82" s="35">
        <v>0</v>
      </c>
      <c r="X82" s="35" t="s">
        <v>2057</v>
      </c>
      <c r="Y82" s="35" t="s">
        <v>2058</v>
      </c>
      <c r="AA82" s="35">
        <v>0</v>
      </c>
      <c r="AB82" s="35" t="s">
        <v>2068</v>
      </c>
      <c r="AC82" s="35" t="s">
        <v>2059</v>
      </c>
      <c r="AD82" s="35" t="s">
        <v>1029</v>
      </c>
    </row>
    <row r="83" spans="1:30">
      <c r="A83" s="35" t="s">
        <v>2086</v>
      </c>
      <c r="B83" s="35" t="s">
        <v>2087</v>
      </c>
      <c r="C83" s="35" t="s">
        <v>2052</v>
      </c>
      <c r="D83" s="35" t="s">
        <v>2053</v>
      </c>
      <c r="E83" s="35" t="s">
        <v>2054</v>
      </c>
      <c r="F83" s="35" t="s">
        <v>2230</v>
      </c>
      <c r="G83" s="36" t="s">
        <v>2231</v>
      </c>
      <c r="H83" s="35" t="s">
        <v>91</v>
      </c>
      <c r="I83" s="35" t="s">
        <v>85</v>
      </c>
      <c r="J83" s="35" t="s">
        <v>88</v>
      </c>
      <c r="K83" s="35" t="s">
        <v>88</v>
      </c>
      <c r="L83" s="35">
        <v>31</v>
      </c>
      <c r="M83" s="35" t="s">
        <v>87</v>
      </c>
      <c r="N83" s="35" t="s">
        <v>87</v>
      </c>
      <c r="O83" s="35" t="s">
        <v>88</v>
      </c>
      <c r="P83" s="35">
        <v>42947</v>
      </c>
      <c r="Q83" s="35">
        <v>1718</v>
      </c>
      <c r="R83" s="35">
        <v>0</v>
      </c>
      <c r="S83" s="35">
        <v>1288</v>
      </c>
      <c r="T83" s="35">
        <v>859</v>
      </c>
      <c r="U83" s="35">
        <v>0</v>
      </c>
      <c r="V83" s="35">
        <v>0</v>
      </c>
      <c r="W83" s="35">
        <v>0</v>
      </c>
      <c r="X83" s="35" t="s">
        <v>2057</v>
      </c>
      <c r="Y83" s="35" t="s">
        <v>2058</v>
      </c>
      <c r="AA83" s="35">
        <v>0</v>
      </c>
      <c r="AB83" s="35" t="s">
        <v>2053</v>
      </c>
      <c r="AC83" s="35" t="s">
        <v>2059</v>
      </c>
      <c r="AD83" s="35" t="s">
        <v>1236</v>
      </c>
    </row>
    <row r="84" spans="1:30">
      <c r="A84" s="35" t="s">
        <v>2090</v>
      </c>
      <c r="B84" s="35" t="s">
        <v>2091</v>
      </c>
      <c r="C84" s="35" t="s">
        <v>2052</v>
      </c>
      <c r="D84" s="35" t="s">
        <v>2062</v>
      </c>
      <c r="E84" s="35" t="s">
        <v>2063</v>
      </c>
      <c r="F84" s="35" t="s">
        <v>2232</v>
      </c>
      <c r="G84" s="36" t="s">
        <v>2233</v>
      </c>
      <c r="H84" s="35" t="s">
        <v>86</v>
      </c>
      <c r="I84" s="35" t="s">
        <v>85</v>
      </c>
      <c r="J84" s="35" t="s">
        <v>88</v>
      </c>
      <c r="K84" s="35" t="s">
        <v>88</v>
      </c>
      <c r="L84" s="35">
        <v>54</v>
      </c>
      <c r="M84" s="35" t="s">
        <v>87</v>
      </c>
      <c r="N84" s="35" t="s">
        <v>87</v>
      </c>
      <c r="O84" s="35" t="s">
        <v>88</v>
      </c>
      <c r="P84" s="35">
        <v>41352</v>
      </c>
      <c r="Q84" s="35">
        <v>1654</v>
      </c>
      <c r="R84" s="35">
        <v>0</v>
      </c>
      <c r="S84" s="35">
        <v>1241</v>
      </c>
      <c r="T84" s="35">
        <v>827</v>
      </c>
      <c r="U84" s="35">
        <v>2481</v>
      </c>
      <c r="V84" s="35">
        <v>10338</v>
      </c>
      <c r="W84" s="35">
        <v>0</v>
      </c>
      <c r="X84" s="35" t="s">
        <v>2057</v>
      </c>
      <c r="Y84" s="35" t="s">
        <v>2058</v>
      </c>
      <c r="AA84" s="35">
        <v>480</v>
      </c>
      <c r="AB84" s="35" t="s">
        <v>2062</v>
      </c>
      <c r="AC84" s="35" t="s">
        <v>2059</v>
      </c>
      <c r="AD84" s="35" t="s">
        <v>1943</v>
      </c>
    </row>
    <row r="85" spans="1:30">
      <c r="A85" s="35" t="s">
        <v>2090</v>
      </c>
      <c r="B85" s="35" t="s">
        <v>2091</v>
      </c>
      <c r="C85" s="35" t="s">
        <v>2052</v>
      </c>
      <c r="D85" s="35" t="s">
        <v>2068</v>
      </c>
      <c r="E85" s="35" t="s">
        <v>2069</v>
      </c>
      <c r="F85" s="35" t="s">
        <v>2234</v>
      </c>
      <c r="G85" s="36" t="s">
        <v>2235</v>
      </c>
      <c r="H85" s="35" t="s">
        <v>86</v>
      </c>
      <c r="I85" s="35" t="s">
        <v>85</v>
      </c>
      <c r="J85" s="35" t="s">
        <v>87</v>
      </c>
      <c r="K85" s="35" t="s">
        <v>88</v>
      </c>
      <c r="L85" s="35">
        <v>40</v>
      </c>
      <c r="M85" s="35" t="s">
        <v>87</v>
      </c>
      <c r="N85" s="35" t="s">
        <v>87</v>
      </c>
      <c r="O85" s="35" t="s">
        <v>88</v>
      </c>
      <c r="P85" s="35">
        <v>33878</v>
      </c>
      <c r="Q85" s="35">
        <v>1355</v>
      </c>
      <c r="R85" s="35">
        <v>0</v>
      </c>
      <c r="S85" s="35">
        <v>1016</v>
      </c>
      <c r="T85" s="35">
        <v>678</v>
      </c>
      <c r="U85" s="35">
        <v>2033</v>
      </c>
      <c r="V85" s="35">
        <v>8470</v>
      </c>
      <c r="W85" s="35">
        <v>0</v>
      </c>
      <c r="X85" s="35" t="s">
        <v>2057</v>
      </c>
      <c r="Y85" s="35" t="s">
        <v>2058</v>
      </c>
      <c r="AA85" s="35">
        <v>320</v>
      </c>
      <c r="AB85" s="35" t="s">
        <v>2068</v>
      </c>
      <c r="AC85" s="35" t="s">
        <v>2059</v>
      </c>
      <c r="AD85" s="35" t="s">
        <v>1852</v>
      </c>
    </row>
    <row r="86" spans="1:30">
      <c r="A86" s="35" t="s">
        <v>2086</v>
      </c>
      <c r="B86" s="35" t="s">
        <v>2087</v>
      </c>
      <c r="C86" s="35" t="s">
        <v>2052</v>
      </c>
      <c r="D86" s="35" t="s">
        <v>2053</v>
      </c>
      <c r="E86" s="35" t="s">
        <v>2054</v>
      </c>
      <c r="F86" s="35" t="s">
        <v>2236</v>
      </c>
      <c r="G86" s="36" t="s">
        <v>2237</v>
      </c>
      <c r="H86" s="35" t="s">
        <v>91</v>
      </c>
      <c r="I86" s="35" t="s">
        <v>97</v>
      </c>
      <c r="J86" s="35" t="s">
        <v>88</v>
      </c>
      <c r="K86" s="35" t="s">
        <v>88</v>
      </c>
      <c r="L86" s="35">
        <v>25</v>
      </c>
      <c r="M86" s="35" t="s">
        <v>87</v>
      </c>
      <c r="N86" s="35" t="s">
        <v>87</v>
      </c>
      <c r="O86" s="35" t="s">
        <v>88</v>
      </c>
      <c r="P86" s="35">
        <v>19784</v>
      </c>
      <c r="Q86" s="35">
        <v>791</v>
      </c>
      <c r="R86" s="35">
        <v>0</v>
      </c>
      <c r="S86" s="35">
        <v>594</v>
      </c>
      <c r="T86" s="35">
        <v>396</v>
      </c>
      <c r="U86" s="35">
        <v>0</v>
      </c>
      <c r="V86" s="35">
        <v>0</v>
      </c>
      <c r="W86" s="35">
        <v>0</v>
      </c>
      <c r="X86" s="35" t="s">
        <v>2057</v>
      </c>
      <c r="Y86" s="35" t="s">
        <v>2058</v>
      </c>
      <c r="AA86" s="35">
        <v>0</v>
      </c>
      <c r="AB86" s="35" t="s">
        <v>2053</v>
      </c>
      <c r="AC86" s="35" t="s">
        <v>2059</v>
      </c>
    </row>
    <row r="87" spans="1:30">
      <c r="A87" s="35" t="s">
        <v>2072</v>
      </c>
      <c r="B87" s="35" t="s">
        <v>2073</v>
      </c>
      <c r="C87" s="35" t="s">
        <v>2052</v>
      </c>
      <c r="D87" s="35" t="s">
        <v>2107</v>
      </c>
      <c r="E87" s="35" t="s">
        <v>2108</v>
      </c>
      <c r="F87" s="35" t="s">
        <v>118</v>
      </c>
      <c r="G87" s="36" t="s">
        <v>2238</v>
      </c>
      <c r="H87" s="35" t="s">
        <v>91</v>
      </c>
      <c r="I87" s="35" t="s">
        <v>85</v>
      </c>
      <c r="J87" s="35" t="s">
        <v>88</v>
      </c>
      <c r="K87" s="35" t="s">
        <v>88</v>
      </c>
      <c r="L87" s="35">
        <v>22</v>
      </c>
      <c r="M87" s="35" t="s">
        <v>88</v>
      </c>
      <c r="N87" s="35" t="s">
        <v>87</v>
      </c>
      <c r="O87" s="35" t="s">
        <v>88</v>
      </c>
      <c r="P87" s="35">
        <v>30785</v>
      </c>
      <c r="Q87" s="35">
        <v>1231</v>
      </c>
      <c r="R87" s="35">
        <v>1539</v>
      </c>
      <c r="S87" s="35">
        <v>924</v>
      </c>
      <c r="T87" s="35">
        <v>616</v>
      </c>
      <c r="U87" s="35">
        <v>1847</v>
      </c>
      <c r="V87" s="35">
        <v>7696</v>
      </c>
      <c r="W87" s="35">
        <v>0</v>
      </c>
      <c r="X87" s="35" t="s">
        <v>2057</v>
      </c>
      <c r="Y87" s="35" t="s">
        <v>2058</v>
      </c>
      <c r="AA87" s="35">
        <v>1200</v>
      </c>
      <c r="AB87" s="35" t="s">
        <v>2107</v>
      </c>
      <c r="AC87" s="35" t="s">
        <v>2059</v>
      </c>
    </row>
    <row r="88" spans="1:30">
      <c r="A88" s="35" t="s">
        <v>2066</v>
      </c>
      <c r="B88" s="35" t="s">
        <v>2067</v>
      </c>
      <c r="C88" s="35" t="s">
        <v>2052</v>
      </c>
      <c r="D88" s="35" t="s">
        <v>2082</v>
      </c>
      <c r="E88" s="35" t="s">
        <v>2083</v>
      </c>
      <c r="F88" s="35" t="s">
        <v>633</v>
      </c>
      <c r="G88" s="36" t="s">
        <v>2239</v>
      </c>
      <c r="H88" s="35" t="s">
        <v>91</v>
      </c>
      <c r="I88" s="35" t="s">
        <v>85</v>
      </c>
      <c r="J88" s="35" t="s">
        <v>88</v>
      </c>
      <c r="K88" s="35" t="s">
        <v>88</v>
      </c>
      <c r="L88" s="35">
        <v>34</v>
      </c>
      <c r="M88" s="35" t="s">
        <v>87</v>
      </c>
      <c r="N88" s="35" t="s">
        <v>87</v>
      </c>
      <c r="O88" s="35" t="s">
        <v>88</v>
      </c>
      <c r="P88" s="35">
        <v>45483</v>
      </c>
      <c r="Q88" s="35">
        <v>1819</v>
      </c>
      <c r="R88" s="35">
        <v>0</v>
      </c>
      <c r="S88" s="35">
        <v>1364</v>
      </c>
      <c r="T88" s="35">
        <v>910</v>
      </c>
      <c r="U88" s="35">
        <v>0</v>
      </c>
      <c r="V88" s="35">
        <v>0</v>
      </c>
      <c r="W88" s="35">
        <v>0</v>
      </c>
      <c r="X88" s="35" t="s">
        <v>2057</v>
      </c>
      <c r="Y88" s="35" t="s">
        <v>2058</v>
      </c>
      <c r="AA88" s="35">
        <v>0</v>
      </c>
      <c r="AB88" s="35" t="s">
        <v>2082</v>
      </c>
      <c r="AC88" s="35" t="s">
        <v>2059</v>
      </c>
      <c r="AD88" s="35" t="s">
        <v>370</v>
      </c>
    </row>
    <row r="89" spans="1:30">
      <c r="A89" s="35" t="s">
        <v>2076</v>
      </c>
      <c r="B89" s="35" t="s">
        <v>2077</v>
      </c>
      <c r="C89" s="35" t="s">
        <v>2052</v>
      </c>
      <c r="D89" s="35" t="s">
        <v>2141</v>
      </c>
      <c r="E89" s="35" t="s">
        <v>2142</v>
      </c>
      <c r="F89" s="35" t="s">
        <v>1941</v>
      </c>
      <c r="G89" s="36" t="s">
        <v>2240</v>
      </c>
      <c r="H89" s="35" t="s">
        <v>86</v>
      </c>
      <c r="I89" s="35" t="s">
        <v>85</v>
      </c>
      <c r="J89" s="35" t="s">
        <v>88</v>
      </c>
      <c r="K89" s="35" t="s">
        <v>88</v>
      </c>
      <c r="L89" s="35">
        <v>39</v>
      </c>
      <c r="M89" s="35" t="s">
        <v>87</v>
      </c>
      <c r="N89" s="35" t="s">
        <v>87</v>
      </c>
      <c r="O89" s="35" t="s">
        <v>88</v>
      </c>
      <c r="P89" s="35">
        <v>30968</v>
      </c>
      <c r="Q89" s="35">
        <v>1239</v>
      </c>
      <c r="R89" s="35">
        <v>0</v>
      </c>
      <c r="S89" s="35">
        <v>929</v>
      </c>
      <c r="T89" s="35">
        <v>619</v>
      </c>
      <c r="U89" s="35">
        <v>0</v>
      </c>
      <c r="V89" s="35">
        <v>0</v>
      </c>
      <c r="W89" s="35">
        <v>0</v>
      </c>
      <c r="X89" s="35" t="s">
        <v>2057</v>
      </c>
      <c r="Y89" s="35" t="s">
        <v>2058</v>
      </c>
      <c r="AA89" s="35">
        <v>0</v>
      </c>
      <c r="AB89" s="35" t="s">
        <v>2141</v>
      </c>
      <c r="AC89" s="35" t="s">
        <v>2059</v>
      </c>
      <c r="AD89" s="35" t="s">
        <v>766</v>
      </c>
    </row>
    <row r="90" spans="1:30">
      <c r="A90" s="35" t="s">
        <v>2086</v>
      </c>
      <c r="B90" s="35" t="s">
        <v>2087</v>
      </c>
      <c r="C90" s="35" t="s">
        <v>2052</v>
      </c>
      <c r="D90" s="35" t="s">
        <v>2107</v>
      </c>
      <c r="E90" s="35" t="s">
        <v>2108</v>
      </c>
      <c r="F90" s="35" t="s">
        <v>2241</v>
      </c>
      <c r="G90" s="36" t="s">
        <v>2242</v>
      </c>
      <c r="H90" s="35" t="s">
        <v>86</v>
      </c>
      <c r="I90" s="35" t="s">
        <v>85</v>
      </c>
      <c r="J90" s="35" t="s">
        <v>88</v>
      </c>
      <c r="K90" s="35" t="s">
        <v>88</v>
      </c>
      <c r="L90" s="35">
        <v>52</v>
      </c>
      <c r="M90" s="35" t="s">
        <v>87</v>
      </c>
      <c r="N90" s="35" t="s">
        <v>87</v>
      </c>
      <c r="O90" s="35" t="s">
        <v>88</v>
      </c>
      <c r="P90" s="35">
        <v>31962</v>
      </c>
      <c r="Q90" s="35">
        <v>1278</v>
      </c>
      <c r="R90" s="35">
        <v>0</v>
      </c>
      <c r="S90" s="35">
        <v>959</v>
      </c>
      <c r="T90" s="35">
        <v>639</v>
      </c>
      <c r="U90" s="35">
        <v>0</v>
      </c>
      <c r="V90" s="35">
        <v>0</v>
      </c>
      <c r="W90" s="35">
        <v>0</v>
      </c>
      <c r="X90" s="35" t="s">
        <v>2057</v>
      </c>
      <c r="Y90" s="35" t="s">
        <v>2058</v>
      </c>
      <c r="AA90" s="35">
        <v>0</v>
      </c>
      <c r="AB90" s="35" t="s">
        <v>2107</v>
      </c>
      <c r="AC90" s="35" t="s">
        <v>2059</v>
      </c>
      <c r="AD90" s="35" t="s">
        <v>1444</v>
      </c>
    </row>
    <row r="91" spans="1:30">
      <c r="A91" s="35" t="s">
        <v>2086</v>
      </c>
      <c r="B91" s="35" t="s">
        <v>2087</v>
      </c>
      <c r="C91" s="35" t="s">
        <v>2052</v>
      </c>
      <c r="D91" s="35" t="s">
        <v>2082</v>
      </c>
      <c r="E91" s="35" t="s">
        <v>2083</v>
      </c>
      <c r="F91" s="35" t="s">
        <v>405</v>
      </c>
      <c r="G91" s="36" t="s">
        <v>2243</v>
      </c>
      <c r="H91" s="35" t="s">
        <v>91</v>
      </c>
      <c r="I91" s="35" t="s">
        <v>85</v>
      </c>
      <c r="J91" s="35" t="s">
        <v>88</v>
      </c>
      <c r="K91" s="35" t="s">
        <v>88</v>
      </c>
      <c r="L91" s="35">
        <v>29</v>
      </c>
      <c r="M91" s="35" t="s">
        <v>87</v>
      </c>
      <c r="N91" s="35" t="s">
        <v>87</v>
      </c>
      <c r="O91" s="35" t="s">
        <v>88</v>
      </c>
      <c r="P91" s="35">
        <v>43539</v>
      </c>
      <c r="Q91" s="35">
        <v>1742</v>
      </c>
      <c r="R91" s="35">
        <v>0</v>
      </c>
      <c r="S91" s="35">
        <v>1306</v>
      </c>
      <c r="T91" s="35">
        <v>871</v>
      </c>
      <c r="U91" s="35">
        <v>0</v>
      </c>
      <c r="V91" s="35">
        <v>0</v>
      </c>
      <c r="W91" s="35">
        <v>0</v>
      </c>
      <c r="X91" s="35" t="s">
        <v>2057</v>
      </c>
      <c r="Y91" s="35" t="s">
        <v>2058</v>
      </c>
      <c r="AA91" s="35">
        <v>0</v>
      </c>
      <c r="AB91" s="35" t="s">
        <v>2082</v>
      </c>
      <c r="AC91" s="35" t="s">
        <v>2059</v>
      </c>
      <c r="AD91" s="35" t="s">
        <v>418</v>
      </c>
    </row>
    <row r="92" spans="1:30">
      <c r="A92" s="35" t="s">
        <v>2050</v>
      </c>
      <c r="B92" s="35" t="s">
        <v>2051</v>
      </c>
      <c r="C92" s="35" t="s">
        <v>2052</v>
      </c>
      <c r="D92" s="35" t="s">
        <v>2082</v>
      </c>
      <c r="E92" s="35" t="s">
        <v>2083</v>
      </c>
      <c r="F92" s="35" t="s">
        <v>2244</v>
      </c>
      <c r="G92" s="36" t="s">
        <v>2245</v>
      </c>
      <c r="H92" s="35" t="s">
        <v>86</v>
      </c>
      <c r="I92" s="35" t="s">
        <v>85</v>
      </c>
      <c r="J92" s="35" t="s">
        <v>87</v>
      </c>
      <c r="K92" s="35" t="s">
        <v>88</v>
      </c>
      <c r="L92" s="35">
        <v>54</v>
      </c>
      <c r="M92" s="35" t="s">
        <v>87</v>
      </c>
      <c r="N92" s="35" t="s">
        <v>87</v>
      </c>
      <c r="O92" s="35" t="s">
        <v>88</v>
      </c>
      <c r="P92" s="35">
        <v>33411</v>
      </c>
      <c r="Q92" s="35">
        <v>1336</v>
      </c>
      <c r="R92" s="35">
        <v>1671</v>
      </c>
      <c r="S92" s="35">
        <v>1002</v>
      </c>
      <c r="T92" s="35">
        <v>668</v>
      </c>
      <c r="U92" s="35">
        <v>2005</v>
      </c>
      <c r="V92" s="35">
        <v>8353</v>
      </c>
      <c r="W92" s="35">
        <v>0</v>
      </c>
      <c r="X92" s="35" t="s">
        <v>2057</v>
      </c>
      <c r="Y92" s="35" t="s">
        <v>2058</v>
      </c>
      <c r="AA92" s="35">
        <v>960</v>
      </c>
      <c r="AB92" s="35" t="s">
        <v>2082</v>
      </c>
      <c r="AC92" s="35" t="s">
        <v>2059</v>
      </c>
      <c r="AD92" s="35" t="s">
        <v>2017</v>
      </c>
    </row>
    <row r="93" spans="1:30">
      <c r="A93" s="35" t="s">
        <v>2086</v>
      </c>
      <c r="B93" s="35" t="s">
        <v>2087</v>
      </c>
      <c r="C93" s="35" t="s">
        <v>2052</v>
      </c>
      <c r="D93" s="35" t="s">
        <v>2068</v>
      </c>
      <c r="E93" s="35" t="s">
        <v>2069</v>
      </c>
      <c r="F93" s="35" t="s">
        <v>2246</v>
      </c>
      <c r="G93" s="36" t="s">
        <v>2247</v>
      </c>
      <c r="H93" s="35" t="s">
        <v>91</v>
      </c>
      <c r="I93" s="35" t="s">
        <v>85</v>
      </c>
      <c r="J93" s="35" t="s">
        <v>88</v>
      </c>
      <c r="K93" s="35" t="s">
        <v>88</v>
      </c>
      <c r="L93" s="35">
        <v>45</v>
      </c>
      <c r="M93" s="35" t="s">
        <v>87</v>
      </c>
      <c r="N93" s="35" t="s">
        <v>87</v>
      </c>
      <c r="O93" s="35" t="s">
        <v>88</v>
      </c>
      <c r="P93" s="35">
        <v>31063</v>
      </c>
      <c r="Q93" s="35">
        <v>1243</v>
      </c>
      <c r="R93" s="35">
        <v>0</v>
      </c>
      <c r="S93" s="35">
        <v>932</v>
      </c>
      <c r="T93" s="35">
        <v>621</v>
      </c>
      <c r="U93" s="35">
        <v>0</v>
      </c>
      <c r="V93" s="35">
        <v>0</v>
      </c>
      <c r="W93" s="35">
        <v>0</v>
      </c>
      <c r="X93" s="35" t="s">
        <v>2057</v>
      </c>
      <c r="Y93" s="35" t="s">
        <v>2058</v>
      </c>
      <c r="AA93" s="35">
        <v>0</v>
      </c>
      <c r="AB93" s="35" t="s">
        <v>2068</v>
      </c>
      <c r="AC93" s="35" t="s">
        <v>2059</v>
      </c>
      <c r="AD93" s="35" t="s">
        <v>935</v>
      </c>
    </row>
    <row r="94" spans="1:30">
      <c r="A94" s="35" t="s">
        <v>2072</v>
      </c>
      <c r="B94" s="35" t="s">
        <v>2073</v>
      </c>
      <c r="C94" s="35" t="s">
        <v>2052</v>
      </c>
      <c r="D94" s="35" t="s">
        <v>2082</v>
      </c>
      <c r="E94" s="35" t="s">
        <v>2083</v>
      </c>
      <c r="F94" s="35" t="s">
        <v>2248</v>
      </c>
      <c r="G94" s="36" t="s">
        <v>2249</v>
      </c>
      <c r="H94" s="35" t="s">
        <v>86</v>
      </c>
      <c r="I94" s="35" t="s">
        <v>85</v>
      </c>
      <c r="J94" s="35" t="s">
        <v>88</v>
      </c>
      <c r="K94" s="35" t="s">
        <v>88</v>
      </c>
      <c r="L94" s="35">
        <v>45</v>
      </c>
      <c r="M94" s="35" t="s">
        <v>87</v>
      </c>
      <c r="N94" s="35" t="s">
        <v>87</v>
      </c>
      <c r="O94" s="35" t="s">
        <v>88</v>
      </c>
      <c r="P94" s="35">
        <v>45188</v>
      </c>
      <c r="Q94" s="35">
        <v>1808</v>
      </c>
      <c r="R94" s="35">
        <v>2259</v>
      </c>
      <c r="S94" s="35">
        <v>1356</v>
      </c>
      <c r="T94" s="35">
        <v>904</v>
      </c>
      <c r="U94" s="35">
        <v>2711</v>
      </c>
      <c r="V94" s="35">
        <v>11297</v>
      </c>
      <c r="W94" s="35">
        <v>0</v>
      </c>
      <c r="X94" s="35" t="s">
        <v>2057</v>
      </c>
      <c r="Y94" s="35" t="s">
        <v>2058</v>
      </c>
      <c r="AA94" s="35">
        <v>480</v>
      </c>
      <c r="AB94" s="35" t="s">
        <v>2082</v>
      </c>
      <c r="AC94" s="35" t="s">
        <v>2059</v>
      </c>
      <c r="AD94" s="35" t="s">
        <v>604</v>
      </c>
    </row>
    <row r="95" spans="1:30">
      <c r="A95" s="35" t="s">
        <v>2066</v>
      </c>
      <c r="B95" s="35" t="s">
        <v>2067</v>
      </c>
      <c r="C95" s="35" t="s">
        <v>2052</v>
      </c>
      <c r="D95" s="35" t="s">
        <v>2107</v>
      </c>
      <c r="E95" s="35" t="s">
        <v>2108</v>
      </c>
      <c r="F95" s="35" t="s">
        <v>2250</v>
      </c>
      <c r="G95" s="36" t="s">
        <v>2251</v>
      </c>
      <c r="H95" s="35" t="s">
        <v>91</v>
      </c>
      <c r="I95" s="35" t="s">
        <v>85</v>
      </c>
      <c r="J95" s="35" t="s">
        <v>88</v>
      </c>
      <c r="K95" s="35" t="s">
        <v>88</v>
      </c>
      <c r="L95" s="35">
        <v>45</v>
      </c>
      <c r="M95" s="35" t="s">
        <v>87</v>
      </c>
      <c r="N95" s="35" t="s">
        <v>87</v>
      </c>
      <c r="O95" s="35" t="s">
        <v>88</v>
      </c>
      <c r="P95" s="35">
        <v>35115</v>
      </c>
      <c r="Q95" s="35">
        <v>1405</v>
      </c>
      <c r="R95" s="35">
        <v>0</v>
      </c>
      <c r="S95" s="35">
        <v>1053</v>
      </c>
      <c r="T95" s="35">
        <v>702</v>
      </c>
      <c r="U95" s="35">
        <v>0</v>
      </c>
      <c r="V95" s="35">
        <v>0</v>
      </c>
      <c r="W95" s="35">
        <v>0</v>
      </c>
      <c r="X95" s="35" t="s">
        <v>2057</v>
      </c>
      <c r="Y95" s="35" t="s">
        <v>2058</v>
      </c>
      <c r="AA95" s="35">
        <v>0</v>
      </c>
      <c r="AB95" s="35" t="s">
        <v>2107</v>
      </c>
      <c r="AC95" s="35" t="s">
        <v>2059</v>
      </c>
      <c r="AD95" s="35" t="s">
        <v>212</v>
      </c>
    </row>
    <row r="96" spans="1:30">
      <c r="A96" s="35" t="s">
        <v>2076</v>
      </c>
      <c r="B96" s="35" t="s">
        <v>2077</v>
      </c>
      <c r="C96" s="35" t="s">
        <v>2052</v>
      </c>
      <c r="D96" s="35" t="s">
        <v>2132</v>
      </c>
      <c r="E96" s="35" t="s">
        <v>2133</v>
      </c>
      <c r="F96" s="35" t="s">
        <v>2252</v>
      </c>
      <c r="G96" s="36" t="s">
        <v>2253</v>
      </c>
      <c r="H96" s="35" t="s">
        <v>91</v>
      </c>
      <c r="I96" s="35" t="s">
        <v>123</v>
      </c>
      <c r="J96" s="35" t="s">
        <v>88</v>
      </c>
      <c r="K96" s="35" t="s">
        <v>88</v>
      </c>
      <c r="L96" s="35">
        <v>25</v>
      </c>
      <c r="M96" s="35" t="s">
        <v>87</v>
      </c>
      <c r="N96" s="35" t="s">
        <v>87</v>
      </c>
      <c r="O96" s="35" t="s">
        <v>88</v>
      </c>
      <c r="P96" s="35">
        <v>34856</v>
      </c>
      <c r="Q96" s="35">
        <v>1394</v>
      </c>
      <c r="R96" s="35">
        <v>0</v>
      </c>
      <c r="S96" s="35">
        <v>1046</v>
      </c>
      <c r="T96" s="35">
        <v>697</v>
      </c>
      <c r="U96" s="35">
        <v>0</v>
      </c>
      <c r="V96" s="35">
        <v>0</v>
      </c>
      <c r="W96" s="35">
        <v>0</v>
      </c>
      <c r="X96" s="35" t="s">
        <v>2057</v>
      </c>
      <c r="Y96" s="35" t="s">
        <v>2058</v>
      </c>
      <c r="AA96" s="35">
        <v>0</v>
      </c>
      <c r="AB96" s="35" t="s">
        <v>2132</v>
      </c>
      <c r="AC96" s="35" t="s">
        <v>2059</v>
      </c>
      <c r="AD96" s="35" t="s">
        <v>966</v>
      </c>
    </row>
    <row r="97" spans="1:30">
      <c r="A97" s="35" t="s">
        <v>2050</v>
      </c>
      <c r="B97" s="35" t="s">
        <v>2051</v>
      </c>
      <c r="C97" s="35" t="s">
        <v>2052</v>
      </c>
      <c r="D97" s="35" t="s">
        <v>2082</v>
      </c>
      <c r="E97" s="35" t="s">
        <v>2083</v>
      </c>
      <c r="F97" s="35" t="s">
        <v>2254</v>
      </c>
      <c r="G97" s="36" t="s">
        <v>2255</v>
      </c>
      <c r="H97" s="35" t="s">
        <v>91</v>
      </c>
      <c r="I97" s="35" t="s">
        <v>85</v>
      </c>
      <c r="J97" s="35" t="s">
        <v>87</v>
      </c>
      <c r="K97" s="35" t="s">
        <v>88</v>
      </c>
      <c r="L97" s="35">
        <v>30</v>
      </c>
      <c r="M97" s="35" t="s">
        <v>87</v>
      </c>
      <c r="N97" s="35" t="s">
        <v>87</v>
      </c>
      <c r="O97" s="35" t="s">
        <v>88</v>
      </c>
      <c r="P97" s="35">
        <v>32924</v>
      </c>
      <c r="Q97" s="35">
        <v>1317</v>
      </c>
      <c r="R97" s="35">
        <v>1646</v>
      </c>
      <c r="S97" s="35">
        <v>988</v>
      </c>
      <c r="T97" s="35">
        <v>658</v>
      </c>
      <c r="U97" s="35">
        <v>1975</v>
      </c>
      <c r="V97" s="35">
        <v>8231</v>
      </c>
      <c r="W97" s="35">
        <v>0</v>
      </c>
      <c r="X97" s="35" t="s">
        <v>2057</v>
      </c>
      <c r="Y97" s="35" t="s">
        <v>2058</v>
      </c>
      <c r="AA97" s="35">
        <v>960</v>
      </c>
      <c r="AB97" s="35" t="s">
        <v>2082</v>
      </c>
      <c r="AC97" s="35" t="s">
        <v>2059</v>
      </c>
      <c r="AD97" s="35" t="s">
        <v>1798</v>
      </c>
    </row>
    <row r="98" spans="1:30">
      <c r="A98" s="35" t="s">
        <v>2076</v>
      </c>
      <c r="B98" s="35" t="s">
        <v>2077</v>
      </c>
      <c r="C98" s="35" t="s">
        <v>2052</v>
      </c>
      <c r="D98" s="35" t="s">
        <v>2082</v>
      </c>
      <c r="E98" s="35" t="s">
        <v>2083</v>
      </c>
      <c r="F98" s="35" t="s">
        <v>348</v>
      </c>
      <c r="G98" s="36" t="s">
        <v>2256</v>
      </c>
      <c r="H98" s="35" t="s">
        <v>86</v>
      </c>
      <c r="I98" s="35" t="s">
        <v>123</v>
      </c>
      <c r="J98" s="35" t="s">
        <v>88</v>
      </c>
      <c r="K98" s="35" t="s">
        <v>88</v>
      </c>
      <c r="L98" s="35">
        <v>31</v>
      </c>
      <c r="M98" s="35" t="s">
        <v>87</v>
      </c>
      <c r="N98" s="35" t="s">
        <v>87</v>
      </c>
      <c r="O98" s="35" t="s">
        <v>88</v>
      </c>
      <c r="P98" s="35">
        <v>35803</v>
      </c>
      <c r="Q98" s="35">
        <v>1432</v>
      </c>
      <c r="R98" s="35">
        <v>0</v>
      </c>
      <c r="S98" s="35">
        <v>1074</v>
      </c>
      <c r="T98" s="35">
        <v>716</v>
      </c>
      <c r="U98" s="35">
        <v>0</v>
      </c>
      <c r="V98" s="35">
        <v>0</v>
      </c>
      <c r="W98" s="35">
        <v>0</v>
      </c>
      <c r="X98" s="35" t="s">
        <v>2057</v>
      </c>
      <c r="Y98" s="35" t="s">
        <v>2058</v>
      </c>
      <c r="AA98" s="35">
        <v>0</v>
      </c>
      <c r="AB98" s="35" t="s">
        <v>2082</v>
      </c>
      <c r="AC98" s="35" t="s">
        <v>2059</v>
      </c>
      <c r="AD98" s="35" t="s">
        <v>804</v>
      </c>
    </row>
    <row r="99" spans="1:30">
      <c r="A99" s="35" t="s">
        <v>2072</v>
      </c>
      <c r="B99" s="35" t="s">
        <v>2073</v>
      </c>
      <c r="C99" s="35" t="s">
        <v>2052</v>
      </c>
      <c r="D99" s="35" t="s">
        <v>2092</v>
      </c>
      <c r="E99" s="35" t="s">
        <v>2093</v>
      </c>
      <c r="F99" s="35" t="s">
        <v>2257</v>
      </c>
      <c r="G99" s="36" t="s">
        <v>2258</v>
      </c>
      <c r="H99" s="35" t="s">
        <v>91</v>
      </c>
      <c r="I99" s="35" t="s">
        <v>123</v>
      </c>
      <c r="J99" s="35" t="s">
        <v>88</v>
      </c>
      <c r="K99" s="35" t="s">
        <v>88</v>
      </c>
      <c r="L99" s="35">
        <v>36</v>
      </c>
      <c r="M99" s="35" t="s">
        <v>87</v>
      </c>
      <c r="N99" s="35" t="s">
        <v>87</v>
      </c>
      <c r="O99" s="35" t="s">
        <v>88</v>
      </c>
      <c r="P99" s="35">
        <v>43007</v>
      </c>
      <c r="Q99" s="35">
        <v>1720</v>
      </c>
      <c r="R99" s="35">
        <v>2150</v>
      </c>
      <c r="S99" s="35">
        <v>1290</v>
      </c>
      <c r="T99" s="35">
        <v>860</v>
      </c>
      <c r="U99" s="35">
        <v>2580</v>
      </c>
      <c r="V99" s="35">
        <v>10752</v>
      </c>
      <c r="W99" s="35">
        <v>0</v>
      </c>
      <c r="X99" s="35" t="s">
        <v>2057</v>
      </c>
      <c r="Y99" s="35" t="s">
        <v>2058</v>
      </c>
      <c r="AA99" s="35">
        <v>1200</v>
      </c>
      <c r="AB99" s="35" t="s">
        <v>2092</v>
      </c>
      <c r="AC99" s="35" t="s">
        <v>2059</v>
      </c>
      <c r="AD99" s="35" t="s">
        <v>873</v>
      </c>
    </row>
    <row r="100" spans="1:30">
      <c r="A100" s="35" t="s">
        <v>2050</v>
      </c>
      <c r="B100" s="35" t="s">
        <v>2051</v>
      </c>
      <c r="C100" s="35" t="s">
        <v>2052</v>
      </c>
      <c r="D100" s="35" t="s">
        <v>2092</v>
      </c>
      <c r="E100" s="35" t="s">
        <v>2093</v>
      </c>
      <c r="F100" s="35" t="s">
        <v>2259</v>
      </c>
      <c r="G100" s="36" t="s">
        <v>2260</v>
      </c>
      <c r="H100" s="35" t="s">
        <v>86</v>
      </c>
      <c r="I100" s="35" t="s">
        <v>85</v>
      </c>
      <c r="J100" s="35" t="s">
        <v>88</v>
      </c>
      <c r="K100" s="35" t="s">
        <v>88</v>
      </c>
      <c r="L100" s="35">
        <v>31</v>
      </c>
      <c r="M100" s="35" t="s">
        <v>88</v>
      </c>
      <c r="N100" s="35" t="s">
        <v>87</v>
      </c>
      <c r="O100" s="35" t="s">
        <v>87</v>
      </c>
      <c r="P100" s="35">
        <v>31210</v>
      </c>
      <c r="Q100" s="35">
        <v>1248</v>
      </c>
      <c r="R100" s="35">
        <v>1560</v>
      </c>
      <c r="S100" s="35">
        <v>936</v>
      </c>
      <c r="T100" s="35">
        <v>624</v>
      </c>
      <c r="U100" s="35">
        <v>1873</v>
      </c>
      <c r="V100" s="35">
        <v>7802</v>
      </c>
      <c r="W100" s="35">
        <v>0</v>
      </c>
      <c r="X100" s="35" t="s">
        <v>2057</v>
      </c>
      <c r="Y100" s="35" t="s">
        <v>2058</v>
      </c>
      <c r="AA100" s="35">
        <v>960</v>
      </c>
      <c r="AB100" s="35" t="s">
        <v>2092</v>
      </c>
      <c r="AC100" s="35" t="s">
        <v>2059</v>
      </c>
    </row>
    <row r="101" spans="1:30">
      <c r="A101" s="35" t="s">
        <v>2072</v>
      </c>
      <c r="B101" s="35" t="s">
        <v>2073</v>
      </c>
      <c r="C101" s="35" t="s">
        <v>2052</v>
      </c>
      <c r="D101" s="35" t="s">
        <v>2082</v>
      </c>
      <c r="E101" s="35" t="s">
        <v>2083</v>
      </c>
      <c r="F101" s="35" t="s">
        <v>267</v>
      </c>
      <c r="G101" s="36" t="s">
        <v>2261</v>
      </c>
      <c r="H101" s="35" t="s">
        <v>86</v>
      </c>
      <c r="I101" s="35" t="s">
        <v>85</v>
      </c>
      <c r="J101" s="35" t="s">
        <v>87</v>
      </c>
      <c r="K101" s="35" t="s">
        <v>88</v>
      </c>
      <c r="L101" s="35">
        <v>35</v>
      </c>
      <c r="M101" s="35" t="s">
        <v>87</v>
      </c>
      <c r="N101" s="35" t="s">
        <v>87</v>
      </c>
      <c r="O101" s="35" t="s">
        <v>88</v>
      </c>
      <c r="P101" s="35">
        <v>32847</v>
      </c>
      <c r="Q101" s="35">
        <v>1314</v>
      </c>
      <c r="R101" s="35">
        <v>1642</v>
      </c>
      <c r="S101" s="35">
        <v>985</v>
      </c>
      <c r="T101" s="35">
        <v>657</v>
      </c>
      <c r="U101" s="35">
        <v>1971</v>
      </c>
      <c r="V101" s="35">
        <v>8212</v>
      </c>
      <c r="W101" s="35">
        <v>0</v>
      </c>
      <c r="X101" s="35" t="s">
        <v>2057</v>
      </c>
      <c r="Y101" s="35" t="s">
        <v>2058</v>
      </c>
      <c r="AA101" s="35">
        <v>480</v>
      </c>
      <c r="AB101" s="35" t="s">
        <v>2082</v>
      </c>
      <c r="AC101" s="35" t="s">
        <v>2059</v>
      </c>
      <c r="AD101" s="35" t="s">
        <v>1330</v>
      </c>
    </row>
    <row r="102" spans="1:30">
      <c r="A102" s="35" t="s">
        <v>2060</v>
      </c>
      <c r="B102" s="35" t="s">
        <v>2061</v>
      </c>
      <c r="C102" s="35" t="s">
        <v>2052</v>
      </c>
      <c r="D102" s="35" t="s">
        <v>2068</v>
      </c>
      <c r="E102" s="35" t="s">
        <v>2069</v>
      </c>
      <c r="F102" s="35" t="s">
        <v>1952</v>
      </c>
      <c r="G102" s="36" t="s">
        <v>2262</v>
      </c>
      <c r="H102" s="35" t="s">
        <v>86</v>
      </c>
      <c r="I102" s="35" t="s">
        <v>85</v>
      </c>
      <c r="J102" s="35" t="s">
        <v>88</v>
      </c>
      <c r="K102" s="35" t="s">
        <v>88</v>
      </c>
      <c r="L102" s="35">
        <v>50</v>
      </c>
      <c r="M102" s="35" t="s">
        <v>87</v>
      </c>
      <c r="N102" s="35" t="s">
        <v>87</v>
      </c>
      <c r="O102" s="35" t="s">
        <v>88</v>
      </c>
      <c r="P102" s="35">
        <v>36323</v>
      </c>
      <c r="Q102" s="35">
        <v>1453</v>
      </c>
      <c r="R102" s="35">
        <v>0</v>
      </c>
      <c r="S102" s="35">
        <v>1090</v>
      </c>
      <c r="T102" s="35">
        <v>726</v>
      </c>
      <c r="U102" s="35">
        <v>0</v>
      </c>
      <c r="V102" s="35">
        <v>0</v>
      </c>
      <c r="W102" s="35">
        <v>0</v>
      </c>
      <c r="X102" s="35" t="s">
        <v>2057</v>
      </c>
      <c r="Y102" s="35" t="s">
        <v>2058</v>
      </c>
      <c r="AA102" s="35">
        <v>0</v>
      </c>
      <c r="AB102" s="35" t="s">
        <v>2068</v>
      </c>
      <c r="AC102" s="35" t="s">
        <v>2059</v>
      </c>
      <c r="AD102" s="35" t="s">
        <v>1001</v>
      </c>
    </row>
    <row r="103" spans="1:30">
      <c r="A103" s="35" t="s">
        <v>2066</v>
      </c>
      <c r="B103" s="35" t="s">
        <v>2067</v>
      </c>
      <c r="C103" s="35" t="s">
        <v>2052</v>
      </c>
      <c r="D103" s="35" t="s">
        <v>2068</v>
      </c>
      <c r="E103" s="35" t="s">
        <v>2069</v>
      </c>
      <c r="F103" s="35" t="s">
        <v>2263</v>
      </c>
      <c r="G103" s="36" t="s">
        <v>2264</v>
      </c>
      <c r="H103" s="35" t="s">
        <v>91</v>
      </c>
      <c r="I103" s="35" t="s">
        <v>85</v>
      </c>
      <c r="J103" s="35" t="s">
        <v>88</v>
      </c>
      <c r="K103" s="35" t="s">
        <v>88</v>
      </c>
      <c r="L103" s="35">
        <v>36</v>
      </c>
      <c r="M103" s="35" t="s">
        <v>87</v>
      </c>
      <c r="N103" s="35" t="s">
        <v>87</v>
      </c>
      <c r="O103" s="35" t="s">
        <v>88</v>
      </c>
      <c r="P103" s="35">
        <v>32759</v>
      </c>
      <c r="Q103" s="35">
        <v>1310</v>
      </c>
      <c r="R103" s="35">
        <v>0</v>
      </c>
      <c r="S103" s="35">
        <v>983</v>
      </c>
      <c r="T103" s="35">
        <v>655</v>
      </c>
      <c r="U103" s="35">
        <v>0</v>
      </c>
      <c r="V103" s="35">
        <v>0</v>
      </c>
      <c r="W103" s="35">
        <v>0</v>
      </c>
      <c r="X103" s="35" t="s">
        <v>2057</v>
      </c>
      <c r="Y103" s="35" t="s">
        <v>2058</v>
      </c>
      <c r="AA103" s="35">
        <v>0</v>
      </c>
      <c r="AB103" s="35" t="s">
        <v>2068</v>
      </c>
      <c r="AC103" s="35" t="s">
        <v>2059</v>
      </c>
      <c r="AD103" s="35" t="s">
        <v>1697</v>
      </c>
    </row>
    <row r="104" spans="1:30">
      <c r="A104" s="35" t="s">
        <v>2050</v>
      </c>
      <c r="B104" s="35" t="s">
        <v>2051</v>
      </c>
      <c r="C104" s="35" t="s">
        <v>2052</v>
      </c>
      <c r="D104" s="35" t="s">
        <v>2132</v>
      </c>
      <c r="E104" s="35" t="s">
        <v>2133</v>
      </c>
      <c r="F104" s="35" t="s">
        <v>2265</v>
      </c>
      <c r="G104" s="36" t="s">
        <v>2266</v>
      </c>
      <c r="H104" s="35" t="s">
        <v>91</v>
      </c>
      <c r="I104" s="35" t="s">
        <v>145</v>
      </c>
      <c r="J104" s="35" t="s">
        <v>88</v>
      </c>
      <c r="K104" s="35" t="s">
        <v>88</v>
      </c>
      <c r="L104" s="35">
        <v>28</v>
      </c>
      <c r="M104" s="35" t="s">
        <v>88</v>
      </c>
      <c r="N104" s="35" t="s">
        <v>87</v>
      </c>
      <c r="O104" s="35" t="s">
        <v>88</v>
      </c>
      <c r="P104" s="35">
        <v>27525</v>
      </c>
      <c r="Q104" s="35">
        <v>1101</v>
      </c>
      <c r="R104" s="35">
        <v>1376</v>
      </c>
      <c r="S104" s="35">
        <v>826</v>
      </c>
      <c r="T104" s="35">
        <v>550</v>
      </c>
      <c r="U104" s="35">
        <v>1652</v>
      </c>
      <c r="V104" s="35">
        <v>6881</v>
      </c>
      <c r="W104" s="35">
        <v>0</v>
      </c>
      <c r="X104" s="35" t="s">
        <v>2057</v>
      </c>
      <c r="Y104" s="35" t="s">
        <v>2058</v>
      </c>
      <c r="AA104" s="35">
        <v>640</v>
      </c>
      <c r="AB104" s="35" t="s">
        <v>2132</v>
      </c>
      <c r="AC104" s="35" t="s">
        <v>2059</v>
      </c>
    </row>
    <row r="105" spans="1:30">
      <c r="A105" s="35" t="s">
        <v>2060</v>
      </c>
      <c r="B105" s="35" t="s">
        <v>2061</v>
      </c>
      <c r="C105" s="35" t="s">
        <v>2052</v>
      </c>
      <c r="D105" s="35" t="s">
        <v>2141</v>
      </c>
      <c r="E105" s="35" t="s">
        <v>2142</v>
      </c>
      <c r="F105" s="35" t="s">
        <v>2148</v>
      </c>
      <c r="G105" s="36" t="s">
        <v>2267</v>
      </c>
      <c r="H105" s="35" t="s">
        <v>86</v>
      </c>
      <c r="I105" s="35" t="s">
        <v>85</v>
      </c>
      <c r="J105" s="35" t="s">
        <v>88</v>
      </c>
      <c r="K105" s="35" t="s">
        <v>88</v>
      </c>
      <c r="L105" s="35">
        <v>40</v>
      </c>
      <c r="M105" s="35" t="s">
        <v>87</v>
      </c>
      <c r="N105" s="35" t="s">
        <v>87</v>
      </c>
      <c r="O105" s="35" t="s">
        <v>88</v>
      </c>
      <c r="P105" s="35">
        <v>31185</v>
      </c>
      <c r="Q105" s="35">
        <v>1247</v>
      </c>
      <c r="R105" s="35">
        <v>0</v>
      </c>
      <c r="S105" s="35">
        <v>936</v>
      </c>
      <c r="T105" s="35">
        <v>624</v>
      </c>
      <c r="U105" s="35">
        <v>0</v>
      </c>
      <c r="V105" s="35">
        <v>0</v>
      </c>
      <c r="W105" s="35">
        <v>0</v>
      </c>
      <c r="X105" s="35" t="s">
        <v>2057</v>
      </c>
      <c r="Y105" s="35" t="s">
        <v>2058</v>
      </c>
      <c r="AA105" s="35">
        <v>0</v>
      </c>
      <c r="AB105" s="35" t="s">
        <v>2141</v>
      </c>
      <c r="AC105" s="35" t="s">
        <v>2059</v>
      </c>
      <c r="AD105" s="35" t="s">
        <v>556</v>
      </c>
    </row>
    <row r="106" spans="1:30">
      <c r="A106" s="35" t="s">
        <v>2086</v>
      </c>
      <c r="B106" s="35" t="s">
        <v>2087</v>
      </c>
      <c r="C106" s="35" t="s">
        <v>2052</v>
      </c>
      <c r="D106" s="35" t="s">
        <v>2068</v>
      </c>
      <c r="E106" s="35" t="s">
        <v>2069</v>
      </c>
      <c r="F106" s="35" t="s">
        <v>2268</v>
      </c>
      <c r="G106" s="36" t="s">
        <v>2269</v>
      </c>
      <c r="H106" s="35" t="s">
        <v>86</v>
      </c>
      <c r="I106" s="35" t="s">
        <v>123</v>
      </c>
      <c r="J106" s="35" t="s">
        <v>88</v>
      </c>
      <c r="K106" s="35" t="s">
        <v>88</v>
      </c>
      <c r="L106" s="35">
        <v>47</v>
      </c>
      <c r="M106" s="35" t="s">
        <v>87</v>
      </c>
      <c r="N106" s="35" t="s">
        <v>87</v>
      </c>
      <c r="O106" s="35" t="s">
        <v>88</v>
      </c>
      <c r="P106" s="35">
        <v>38645</v>
      </c>
      <c r="Q106" s="35">
        <v>1546</v>
      </c>
      <c r="R106" s="35">
        <v>0</v>
      </c>
      <c r="S106" s="35">
        <v>1159</v>
      </c>
      <c r="T106" s="35">
        <v>773</v>
      </c>
      <c r="U106" s="35">
        <v>0</v>
      </c>
      <c r="V106" s="35">
        <v>0</v>
      </c>
      <c r="W106" s="35">
        <v>0</v>
      </c>
      <c r="X106" s="35" t="s">
        <v>2057</v>
      </c>
      <c r="Y106" s="35" t="s">
        <v>2058</v>
      </c>
      <c r="AA106" s="35">
        <v>0</v>
      </c>
      <c r="AB106" s="35" t="s">
        <v>2068</v>
      </c>
      <c r="AC106" s="35" t="s">
        <v>2059</v>
      </c>
      <c r="AD106" s="35" t="s">
        <v>1043</v>
      </c>
    </row>
    <row r="107" spans="1:30">
      <c r="A107" s="35" t="s">
        <v>2076</v>
      </c>
      <c r="B107" s="35" t="s">
        <v>2077</v>
      </c>
      <c r="C107" s="35" t="s">
        <v>2052</v>
      </c>
      <c r="D107" s="35" t="s">
        <v>2053</v>
      </c>
      <c r="E107" s="35" t="s">
        <v>2054</v>
      </c>
      <c r="F107" s="35" t="s">
        <v>2270</v>
      </c>
      <c r="G107" s="36" t="s">
        <v>2271</v>
      </c>
      <c r="H107" s="35" t="s">
        <v>86</v>
      </c>
      <c r="I107" s="35" t="s">
        <v>145</v>
      </c>
      <c r="J107" s="35" t="s">
        <v>88</v>
      </c>
      <c r="K107" s="35" t="s">
        <v>88</v>
      </c>
      <c r="L107" s="35">
        <v>54</v>
      </c>
      <c r="M107" s="35" t="s">
        <v>87</v>
      </c>
      <c r="N107" s="35" t="s">
        <v>87</v>
      </c>
      <c r="O107" s="35" t="s">
        <v>88</v>
      </c>
      <c r="P107" s="35">
        <v>44371</v>
      </c>
      <c r="Q107" s="35">
        <v>1775</v>
      </c>
      <c r="R107" s="35">
        <v>0</v>
      </c>
      <c r="S107" s="35">
        <v>1331</v>
      </c>
      <c r="T107" s="35">
        <v>887</v>
      </c>
      <c r="U107" s="35">
        <v>0</v>
      </c>
      <c r="V107" s="35">
        <v>0</v>
      </c>
      <c r="W107" s="35">
        <v>0</v>
      </c>
      <c r="X107" s="35" t="s">
        <v>2057</v>
      </c>
      <c r="Y107" s="35" t="s">
        <v>2058</v>
      </c>
      <c r="AA107" s="35">
        <v>0</v>
      </c>
      <c r="AB107" s="35" t="s">
        <v>2053</v>
      </c>
      <c r="AC107" s="35" t="s">
        <v>2059</v>
      </c>
      <c r="AD107" s="35" t="s">
        <v>323</v>
      </c>
    </row>
    <row r="108" spans="1:30">
      <c r="A108" s="35" t="s">
        <v>2076</v>
      </c>
      <c r="B108" s="35" t="s">
        <v>2077</v>
      </c>
      <c r="C108" s="35" t="s">
        <v>2052</v>
      </c>
      <c r="D108" s="35" t="s">
        <v>2082</v>
      </c>
      <c r="E108" s="35" t="s">
        <v>2083</v>
      </c>
      <c r="F108" s="35" t="s">
        <v>2272</v>
      </c>
      <c r="G108" s="36" t="s">
        <v>2273</v>
      </c>
      <c r="H108" s="35" t="s">
        <v>86</v>
      </c>
      <c r="I108" s="35" t="s">
        <v>85</v>
      </c>
      <c r="J108" s="35" t="s">
        <v>88</v>
      </c>
      <c r="K108" s="35" t="s">
        <v>88</v>
      </c>
      <c r="L108" s="35">
        <v>39</v>
      </c>
      <c r="M108" s="35" t="s">
        <v>87</v>
      </c>
      <c r="N108" s="35" t="s">
        <v>87</v>
      </c>
      <c r="O108" s="35" t="s">
        <v>88</v>
      </c>
      <c r="P108" s="35">
        <v>32503</v>
      </c>
      <c r="Q108" s="35">
        <v>1300</v>
      </c>
      <c r="R108" s="35">
        <v>0</v>
      </c>
      <c r="S108" s="35">
        <v>975</v>
      </c>
      <c r="T108" s="35">
        <v>650</v>
      </c>
      <c r="U108" s="35">
        <v>0</v>
      </c>
      <c r="V108" s="35">
        <v>0</v>
      </c>
      <c r="W108" s="35">
        <v>0</v>
      </c>
      <c r="X108" s="35" t="s">
        <v>2057</v>
      </c>
      <c r="Y108" s="35" t="s">
        <v>2058</v>
      </c>
      <c r="AA108" s="35">
        <v>0</v>
      </c>
      <c r="AB108" s="35" t="s">
        <v>2082</v>
      </c>
      <c r="AC108" s="35" t="s">
        <v>2059</v>
      </c>
      <c r="AD108" s="35" t="s">
        <v>528</v>
      </c>
    </row>
    <row r="109" spans="1:30">
      <c r="A109" s="35" t="s">
        <v>2060</v>
      </c>
      <c r="B109" s="35" t="s">
        <v>2061</v>
      </c>
      <c r="C109" s="35" t="s">
        <v>2052</v>
      </c>
      <c r="D109" s="35" t="s">
        <v>2141</v>
      </c>
      <c r="E109" s="35" t="s">
        <v>2142</v>
      </c>
      <c r="F109" s="35" t="s">
        <v>2274</v>
      </c>
      <c r="G109" s="36" t="s">
        <v>2275</v>
      </c>
      <c r="H109" s="35" t="s">
        <v>86</v>
      </c>
      <c r="I109" s="35" t="s">
        <v>123</v>
      </c>
      <c r="J109" s="35" t="s">
        <v>88</v>
      </c>
      <c r="K109" s="35" t="s">
        <v>88</v>
      </c>
      <c r="L109" s="35">
        <v>26</v>
      </c>
      <c r="M109" s="35" t="s">
        <v>87</v>
      </c>
      <c r="N109" s="35" t="s">
        <v>87</v>
      </c>
      <c r="O109" s="35" t="s">
        <v>88</v>
      </c>
      <c r="P109" s="35">
        <v>36099</v>
      </c>
      <c r="Q109" s="35">
        <v>1444</v>
      </c>
      <c r="R109" s="35">
        <v>0</v>
      </c>
      <c r="S109" s="35">
        <v>1083</v>
      </c>
      <c r="T109" s="35">
        <v>722</v>
      </c>
      <c r="U109" s="35">
        <v>0</v>
      </c>
      <c r="V109" s="35">
        <v>0</v>
      </c>
      <c r="W109" s="35">
        <v>0</v>
      </c>
      <c r="X109" s="35" t="s">
        <v>2057</v>
      </c>
      <c r="Y109" s="35" t="s">
        <v>2058</v>
      </c>
      <c r="AA109" s="35">
        <v>0</v>
      </c>
      <c r="AB109" s="35" t="s">
        <v>2141</v>
      </c>
      <c r="AC109" s="35" t="s">
        <v>2059</v>
      </c>
      <c r="AD109" s="35" t="s">
        <v>204</v>
      </c>
    </row>
    <row r="110" spans="1:30">
      <c r="A110" s="35" t="s">
        <v>2076</v>
      </c>
      <c r="B110" s="35" t="s">
        <v>2077</v>
      </c>
      <c r="C110" s="35" t="s">
        <v>2052</v>
      </c>
      <c r="D110" s="35" t="s">
        <v>2141</v>
      </c>
      <c r="E110" s="35" t="s">
        <v>2142</v>
      </c>
      <c r="F110" s="35" t="s">
        <v>2276</v>
      </c>
      <c r="G110" s="36" t="s">
        <v>2277</v>
      </c>
      <c r="H110" s="35" t="s">
        <v>86</v>
      </c>
      <c r="I110" s="35" t="s">
        <v>97</v>
      </c>
      <c r="J110" s="35" t="s">
        <v>88</v>
      </c>
      <c r="K110" s="35" t="s">
        <v>88</v>
      </c>
      <c r="L110" s="35">
        <v>40</v>
      </c>
      <c r="M110" s="35" t="s">
        <v>87</v>
      </c>
      <c r="N110" s="35" t="s">
        <v>87</v>
      </c>
      <c r="O110" s="35" t="s">
        <v>88</v>
      </c>
      <c r="P110" s="35">
        <v>17028</v>
      </c>
      <c r="Q110" s="35">
        <v>681</v>
      </c>
      <c r="R110" s="35">
        <v>0</v>
      </c>
      <c r="S110" s="35">
        <v>511</v>
      </c>
      <c r="T110" s="35">
        <v>341</v>
      </c>
      <c r="U110" s="35">
        <v>0</v>
      </c>
      <c r="V110" s="35">
        <v>0</v>
      </c>
      <c r="W110" s="35">
        <v>0</v>
      </c>
      <c r="X110" s="35" t="s">
        <v>2057</v>
      </c>
      <c r="Y110" s="35" t="s">
        <v>2058</v>
      </c>
      <c r="AA110" s="35">
        <v>0</v>
      </c>
      <c r="AB110" s="35" t="s">
        <v>2141</v>
      </c>
      <c r="AC110" s="35" t="s">
        <v>2059</v>
      </c>
    </row>
    <row r="111" spans="1:30">
      <c r="A111" s="35" t="s">
        <v>2050</v>
      </c>
      <c r="B111" s="35" t="s">
        <v>2051</v>
      </c>
      <c r="C111" s="35" t="s">
        <v>2052</v>
      </c>
      <c r="D111" s="35" t="s">
        <v>2141</v>
      </c>
      <c r="E111" s="35" t="s">
        <v>2142</v>
      </c>
      <c r="F111" s="35" t="s">
        <v>2278</v>
      </c>
      <c r="G111" s="36" t="s">
        <v>2279</v>
      </c>
      <c r="H111" s="35" t="s">
        <v>86</v>
      </c>
      <c r="I111" s="35" t="s">
        <v>145</v>
      </c>
      <c r="J111" s="35" t="s">
        <v>88</v>
      </c>
      <c r="K111" s="35" t="s">
        <v>88</v>
      </c>
      <c r="L111" s="35">
        <v>24</v>
      </c>
      <c r="M111" s="35" t="s">
        <v>88</v>
      </c>
      <c r="N111" s="35" t="s">
        <v>87</v>
      </c>
      <c r="O111" s="35" t="s">
        <v>87</v>
      </c>
      <c r="P111" s="35">
        <v>27344</v>
      </c>
      <c r="Q111" s="35">
        <v>1094</v>
      </c>
      <c r="R111" s="35">
        <v>1367</v>
      </c>
      <c r="S111" s="35">
        <v>820</v>
      </c>
      <c r="T111" s="35">
        <v>547</v>
      </c>
      <c r="U111" s="35">
        <v>1641</v>
      </c>
      <c r="V111" s="35">
        <v>6836</v>
      </c>
      <c r="W111" s="35">
        <v>0</v>
      </c>
      <c r="X111" s="35" t="s">
        <v>2057</v>
      </c>
      <c r="Y111" s="35" t="s">
        <v>2058</v>
      </c>
      <c r="AA111" s="35">
        <v>960</v>
      </c>
      <c r="AB111" s="35" t="s">
        <v>2141</v>
      </c>
      <c r="AC111" s="35" t="s">
        <v>2059</v>
      </c>
    </row>
    <row r="112" spans="1:30">
      <c r="A112" s="35" t="s">
        <v>2060</v>
      </c>
      <c r="B112" s="35" t="s">
        <v>2061</v>
      </c>
      <c r="C112" s="35" t="s">
        <v>2052</v>
      </c>
      <c r="D112" s="35" t="s">
        <v>2107</v>
      </c>
      <c r="E112" s="35" t="s">
        <v>2108</v>
      </c>
      <c r="F112" s="35" t="s">
        <v>2280</v>
      </c>
      <c r="G112" s="36" t="s">
        <v>2281</v>
      </c>
      <c r="H112" s="35" t="s">
        <v>91</v>
      </c>
      <c r="I112" s="35" t="s">
        <v>85</v>
      </c>
      <c r="J112" s="35" t="s">
        <v>88</v>
      </c>
      <c r="K112" s="35" t="s">
        <v>88</v>
      </c>
      <c r="L112" s="35">
        <v>52</v>
      </c>
      <c r="M112" s="35" t="s">
        <v>87</v>
      </c>
      <c r="N112" s="35" t="s">
        <v>87</v>
      </c>
      <c r="O112" s="35" t="s">
        <v>88</v>
      </c>
      <c r="P112" s="35">
        <v>35922</v>
      </c>
      <c r="Q112" s="35">
        <v>1437</v>
      </c>
      <c r="R112" s="35">
        <v>0</v>
      </c>
      <c r="S112" s="35">
        <v>1078</v>
      </c>
      <c r="T112" s="35">
        <v>718</v>
      </c>
      <c r="U112" s="35">
        <v>0</v>
      </c>
      <c r="V112" s="35">
        <v>0</v>
      </c>
      <c r="W112" s="35">
        <v>0</v>
      </c>
      <c r="X112" s="35" t="s">
        <v>2057</v>
      </c>
      <c r="Y112" s="35" t="s">
        <v>2058</v>
      </c>
      <c r="AA112" s="35">
        <v>0</v>
      </c>
      <c r="AB112" s="35" t="s">
        <v>2107</v>
      </c>
      <c r="AC112" s="35" t="s">
        <v>2059</v>
      </c>
      <c r="AD112" s="35" t="s">
        <v>1783</v>
      </c>
    </row>
    <row r="113" spans="1:30">
      <c r="A113" s="35" t="s">
        <v>2050</v>
      </c>
      <c r="B113" s="35" t="s">
        <v>2051</v>
      </c>
      <c r="C113" s="35" t="s">
        <v>2052</v>
      </c>
      <c r="D113" s="35" t="s">
        <v>2078</v>
      </c>
      <c r="E113" s="35" t="s">
        <v>2079</v>
      </c>
      <c r="F113" s="35" t="s">
        <v>210</v>
      </c>
      <c r="G113" s="36" t="s">
        <v>2282</v>
      </c>
      <c r="H113" s="35" t="s">
        <v>86</v>
      </c>
      <c r="I113" s="35" t="s">
        <v>85</v>
      </c>
      <c r="J113" s="35" t="s">
        <v>88</v>
      </c>
      <c r="K113" s="35" t="s">
        <v>88</v>
      </c>
      <c r="L113" s="35">
        <v>38</v>
      </c>
      <c r="M113" s="35" t="s">
        <v>87</v>
      </c>
      <c r="N113" s="35" t="s">
        <v>87</v>
      </c>
      <c r="O113" s="35" t="s">
        <v>88</v>
      </c>
      <c r="P113" s="35">
        <v>38058</v>
      </c>
      <c r="Q113" s="35">
        <v>1522</v>
      </c>
      <c r="R113" s="35">
        <v>1903</v>
      </c>
      <c r="S113" s="35">
        <v>1142</v>
      </c>
      <c r="T113" s="35">
        <v>761</v>
      </c>
      <c r="U113" s="35">
        <v>2283</v>
      </c>
      <c r="V113" s="35">
        <v>9514</v>
      </c>
      <c r="W113" s="35">
        <v>0</v>
      </c>
      <c r="X113" s="35" t="s">
        <v>2057</v>
      </c>
      <c r="Y113" s="35" t="s">
        <v>2058</v>
      </c>
      <c r="AA113" s="35">
        <v>960</v>
      </c>
      <c r="AB113" s="35" t="s">
        <v>2078</v>
      </c>
      <c r="AC113" s="35" t="s">
        <v>2059</v>
      </c>
      <c r="AD113" s="35" t="s">
        <v>876</v>
      </c>
    </row>
    <row r="114" spans="1:30">
      <c r="A114" s="35" t="s">
        <v>2050</v>
      </c>
      <c r="B114" s="35" t="s">
        <v>2051</v>
      </c>
      <c r="C114" s="35" t="s">
        <v>2052</v>
      </c>
      <c r="D114" s="35" t="s">
        <v>2082</v>
      </c>
      <c r="E114" s="35" t="s">
        <v>2083</v>
      </c>
      <c r="F114" s="35" t="s">
        <v>2283</v>
      </c>
      <c r="G114" s="36" t="s">
        <v>2284</v>
      </c>
      <c r="H114" s="35" t="s">
        <v>86</v>
      </c>
      <c r="I114" s="35" t="s">
        <v>85</v>
      </c>
      <c r="J114" s="35" t="s">
        <v>88</v>
      </c>
      <c r="K114" s="35" t="s">
        <v>88</v>
      </c>
      <c r="L114" s="35">
        <v>46</v>
      </c>
      <c r="M114" s="35" t="s">
        <v>87</v>
      </c>
      <c r="N114" s="35" t="s">
        <v>87</v>
      </c>
      <c r="O114" s="35" t="s">
        <v>88</v>
      </c>
      <c r="P114" s="35">
        <v>43323</v>
      </c>
      <c r="Q114" s="35">
        <v>1733</v>
      </c>
      <c r="R114" s="35">
        <v>2166</v>
      </c>
      <c r="S114" s="35">
        <v>1300</v>
      </c>
      <c r="T114" s="35">
        <v>866</v>
      </c>
      <c r="U114" s="35">
        <v>2599</v>
      </c>
      <c r="V114" s="35">
        <v>10831</v>
      </c>
      <c r="W114" s="35">
        <v>0</v>
      </c>
      <c r="X114" s="35" t="s">
        <v>2057</v>
      </c>
      <c r="Y114" s="35" t="s">
        <v>2058</v>
      </c>
      <c r="AA114" s="35">
        <v>1200</v>
      </c>
      <c r="AB114" s="35" t="s">
        <v>2082</v>
      </c>
      <c r="AC114" s="35" t="s">
        <v>2059</v>
      </c>
      <c r="AD114" s="35" t="s">
        <v>1987</v>
      </c>
    </row>
    <row r="115" spans="1:30">
      <c r="A115" s="35" t="s">
        <v>2050</v>
      </c>
      <c r="B115" s="35" t="s">
        <v>2051</v>
      </c>
      <c r="C115" s="35" t="s">
        <v>2052</v>
      </c>
      <c r="D115" s="35" t="s">
        <v>2068</v>
      </c>
      <c r="E115" s="35" t="s">
        <v>2069</v>
      </c>
      <c r="F115" s="35" t="s">
        <v>2285</v>
      </c>
      <c r="G115" s="36" t="s">
        <v>2286</v>
      </c>
      <c r="H115" s="35" t="s">
        <v>91</v>
      </c>
      <c r="I115" s="35" t="s">
        <v>85</v>
      </c>
      <c r="J115" s="35" t="s">
        <v>88</v>
      </c>
      <c r="K115" s="35" t="s">
        <v>88</v>
      </c>
      <c r="L115" s="35">
        <v>44</v>
      </c>
      <c r="M115" s="35" t="s">
        <v>87</v>
      </c>
      <c r="N115" s="35" t="s">
        <v>87</v>
      </c>
      <c r="O115" s="35" t="s">
        <v>88</v>
      </c>
      <c r="P115" s="35">
        <v>44827</v>
      </c>
      <c r="Q115" s="35">
        <v>1793</v>
      </c>
      <c r="R115" s="35">
        <v>2241</v>
      </c>
      <c r="S115" s="35">
        <v>1345</v>
      </c>
      <c r="T115" s="35">
        <v>897</v>
      </c>
      <c r="U115" s="35">
        <v>2690</v>
      </c>
      <c r="V115" s="35">
        <v>11207</v>
      </c>
      <c r="W115" s="35">
        <v>0</v>
      </c>
      <c r="X115" s="35" t="s">
        <v>2057</v>
      </c>
      <c r="Y115" s="35" t="s">
        <v>2058</v>
      </c>
      <c r="AA115" s="35">
        <v>960</v>
      </c>
      <c r="AB115" s="35" t="s">
        <v>2068</v>
      </c>
      <c r="AC115" s="35" t="s">
        <v>2059</v>
      </c>
      <c r="AD115" s="35" t="s">
        <v>1534</v>
      </c>
    </row>
    <row r="116" spans="1:30">
      <c r="A116" s="35" t="s">
        <v>2072</v>
      </c>
      <c r="B116" s="35" t="s">
        <v>2073</v>
      </c>
      <c r="C116" s="35" t="s">
        <v>2052</v>
      </c>
      <c r="D116" s="35" t="s">
        <v>2062</v>
      </c>
      <c r="E116" s="35" t="s">
        <v>2063</v>
      </c>
      <c r="F116" s="35" t="s">
        <v>2287</v>
      </c>
      <c r="G116" s="36" t="s">
        <v>2288</v>
      </c>
      <c r="H116" s="35" t="s">
        <v>91</v>
      </c>
      <c r="I116" s="35" t="s">
        <v>85</v>
      </c>
      <c r="J116" s="35" t="s">
        <v>88</v>
      </c>
      <c r="K116" s="35" t="s">
        <v>88</v>
      </c>
      <c r="L116" s="35">
        <v>40</v>
      </c>
      <c r="M116" s="35" t="s">
        <v>87</v>
      </c>
      <c r="N116" s="35" t="s">
        <v>87</v>
      </c>
      <c r="O116" s="35" t="s">
        <v>88</v>
      </c>
      <c r="P116" s="35">
        <v>43594</v>
      </c>
      <c r="Q116" s="35">
        <v>1744</v>
      </c>
      <c r="R116" s="35">
        <v>2180</v>
      </c>
      <c r="S116" s="35">
        <v>1308</v>
      </c>
      <c r="T116" s="35">
        <v>872</v>
      </c>
      <c r="U116" s="35">
        <v>2616</v>
      </c>
      <c r="V116" s="35">
        <v>10898</v>
      </c>
      <c r="W116" s="35">
        <v>0</v>
      </c>
      <c r="X116" s="35" t="s">
        <v>2057</v>
      </c>
      <c r="Y116" s="35" t="s">
        <v>2058</v>
      </c>
      <c r="AA116" s="35">
        <v>960</v>
      </c>
      <c r="AB116" s="35" t="s">
        <v>2062</v>
      </c>
      <c r="AC116" s="35" t="s">
        <v>2059</v>
      </c>
      <c r="AD116" s="35" t="s">
        <v>418</v>
      </c>
    </row>
    <row r="117" spans="1:30">
      <c r="A117" s="35" t="s">
        <v>2060</v>
      </c>
      <c r="B117" s="35" t="s">
        <v>2061</v>
      </c>
      <c r="C117" s="35" t="s">
        <v>2052</v>
      </c>
      <c r="D117" s="35" t="s">
        <v>2078</v>
      </c>
      <c r="E117" s="35" t="s">
        <v>2079</v>
      </c>
      <c r="F117" s="35" t="s">
        <v>144</v>
      </c>
      <c r="G117" s="36" t="s">
        <v>2289</v>
      </c>
      <c r="H117" s="35" t="s">
        <v>91</v>
      </c>
      <c r="I117" s="35" t="s">
        <v>145</v>
      </c>
      <c r="J117" s="35" t="s">
        <v>88</v>
      </c>
      <c r="K117" s="35" t="s">
        <v>88</v>
      </c>
      <c r="L117" s="35">
        <v>49</v>
      </c>
      <c r="M117" s="35" t="s">
        <v>87</v>
      </c>
      <c r="N117" s="35" t="s">
        <v>87</v>
      </c>
      <c r="O117" s="35" t="s">
        <v>88</v>
      </c>
      <c r="P117" s="35">
        <v>38841</v>
      </c>
      <c r="Q117" s="35">
        <v>1554</v>
      </c>
      <c r="R117" s="35">
        <v>0</v>
      </c>
      <c r="S117" s="35">
        <v>1165</v>
      </c>
      <c r="T117" s="35">
        <v>777</v>
      </c>
      <c r="U117" s="35">
        <v>0</v>
      </c>
      <c r="V117" s="35">
        <v>0</v>
      </c>
      <c r="W117" s="35">
        <v>0</v>
      </c>
      <c r="X117" s="35" t="s">
        <v>2057</v>
      </c>
      <c r="Y117" s="35" t="s">
        <v>2058</v>
      </c>
      <c r="AA117" s="35">
        <v>0</v>
      </c>
      <c r="AB117" s="35" t="s">
        <v>2078</v>
      </c>
      <c r="AC117" s="35" t="s">
        <v>2059</v>
      </c>
      <c r="AD117" s="35" t="s">
        <v>1479</v>
      </c>
    </row>
    <row r="118" spans="1:30">
      <c r="A118" s="35" t="s">
        <v>2050</v>
      </c>
      <c r="B118" s="35" t="s">
        <v>2051</v>
      </c>
      <c r="C118" s="35" t="s">
        <v>2052</v>
      </c>
      <c r="D118" s="35" t="s">
        <v>2068</v>
      </c>
      <c r="E118" s="35" t="s">
        <v>2069</v>
      </c>
      <c r="F118" s="35" t="s">
        <v>2290</v>
      </c>
      <c r="G118" s="36" t="s">
        <v>2291</v>
      </c>
      <c r="H118" s="35" t="s">
        <v>91</v>
      </c>
      <c r="I118" s="35" t="s">
        <v>85</v>
      </c>
      <c r="J118" s="35" t="s">
        <v>87</v>
      </c>
      <c r="K118" s="35" t="s">
        <v>88</v>
      </c>
      <c r="L118" s="35">
        <v>42</v>
      </c>
      <c r="M118" s="35" t="s">
        <v>87</v>
      </c>
      <c r="N118" s="35" t="s">
        <v>87</v>
      </c>
      <c r="O118" s="35" t="s">
        <v>88</v>
      </c>
      <c r="P118" s="35">
        <v>30246</v>
      </c>
      <c r="Q118" s="35">
        <v>1210</v>
      </c>
      <c r="R118" s="35">
        <v>1512</v>
      </c>
      <c r="S118" s="35">
        <v>907</v>
      </c>
      <c r="T118" s="35">
        <v>605</v>
      </c>
      <c r="U118" s="35">
        <v>1815</v>
      </c>
      <c r="V118" s="35">
        <v>7562</v>
      </c>
      <c r="W118" s="35">
        <v>0</v>
      </c>
      <c r="X118" s="35" t="s">
        <v>2057</v>
      </c>
      <c r="Y118" s="35" t="s">
        <v>2058</v>
      </c>
      <c r="AA118" s="35">
        <v>1200</v>
      </c>
      <c r="AB118" s="35" t="s">
        <v>2068</v>
      </c>
      <c r="AC118" s="35" t="s">
        <v>2059</v>
      </c>
      <c r="AD118" s="35" t="s">
        <v>1479</v>
      </c>
    </row>
    <row r="119" spans="1:30">
      <c r="A119" s="35" t="s">
        <v>2066</v>
      </c>
      <c r="B119" s="35" t="s">
        <v>2067</v>
      </c>
      <c r="C119" s="35" t="s">
        <v>2052</v>
      </c>
      <c r="D119" s="35" t="s">
        <v>2107</v>
      </c>
      <c r="E119" s="35" t="s">
        <v>2108</v>
      </c>
      <c r="F119" s="35" t="s">
        <v>2292</v>
      </c>
      <c r="G119" s="36" t="s">
        <v>2293</v>
      </c>
      <c r="H119" s="35" t="s">
        <v>86</v>
      </c>
      <c r="I119" s="35" t="s">
        <v>85</v>
      </c>
      <c r="J119" s="35" t="s">
        <v>88</v>
      </c>
      <c r="K119" s="35" t="s">
        <v>88</v>
      </c>
      <c r="L119" s="35">
        <v>34</v>
      </c>
      <c r="M119" s="35" t="s">
        <v>87</v>
      </c>
      <c r="N119" s="35" t="s">
        <v>87</v>
      </c>
      <c r="O119" s="35" t="s">
        <v>88</v>
      </c>
      <c r="P119" s="35">
        <v>43302</v>
      </c>
      <c r="Q119" s="35">
        <v>1732</v>
      </c>
      <c r="R119" s="35">
        <v>0</v>
      </c>
      <c r="S119" s="35">
        <v>1299</v>
      </c>
      <c r="T119" s="35">
        <v>866</v>
      </c>
      <c r="U119" s="35">
        <v>0</v>
      </c>
      <c r="V119" s="35">
        <v>0</v>
      </c>
      <c r="W119" s="35">
        <v>0</v>
      </c>
      <c r="X119" s="35" t="s">
        <v>2057</v>
      </c>
      <c r="Y119" s="35" t="s">
        <v>2058</v>
      </c>
      <c r="AA119" s="35">
        <v>0</v>
      </c>
      <c r="AB119" s="35" t="s">
        <v>2107</v>
      </c>
      <c r="AC119" s="35" t="s">
        <v>2059</v>
      </c>
      <c r="AD119" s="35" t="s">
        <v>1987</v>
      </c>
    </row>
    <row r="120" spans="1:30">
      <c r="A120" s="35" t="s">
        <v>2090</v>
      </c>
      <c r="B120" s="35" t="s">
        <v>2091</v>
      </c>
      <c r="C120" s="35" t="s">
        <v>2052</v>
      </c>
      <c r="D120" s="35" t="s">
        <v>2092</v>
      </c>
      <c r="E120" s="35" t="s">
        <v>2093</v>
      </c>
      <c r="F120" s="35" t="s">
        <v>405</v>
      </c>
      <c r="G120" s="36" t="s">
        <v>2294</v>
      </c>
      <c r="H120" s="35" t="s">
        <v>91</v>
      </c>
      <c r="I120" s="35" t="s">
        <v>85</v>
      </c>
      <c r="J120" s="35" t="s">
        <v>88</v>
      </c>
      <c r="K120" s="35" t="s">
        <v>88</v>
      </c>
      <c r="L120" s="35">
        <v>28</v>
      </c>
      <c r="M120" s="35" t="s">
        <v>87</v>
      </c>
      <c r="N120" s="35" t="s">
        <v>87</v>
      </c>
      <c r="O120" s="35" t="s">
        <v>88</v>
      </c>
      <c r="P120" s="35">
        <v>33554</v>
      </c>
      <c r="Q120" s="35">
        <v>1342</v>
      </c>
      <c r="R120" s="35">
        <v>0</v>
      </c>
      <c r="S120" s="35">
        <v>1007</v>
      </c>
      <c r="T120" s="35">
        <v>671</v>
      </c>
      <c r="U120" s="35">
        <v>2013</v>
      </c>
      <c r="V120" s="35">
        <v>8388</v>
      </c>
      <c r="W120" s="35">
        <v>0</v>
      </c>
      <c r="X120" s="35" t="s">
        <v>2057</v>
      </c>
      <c r="Y120" s="35" t="s">
        <v>2058</v>
      </c>
      <c r="AA120" s="35">
        <v>960</v>
      </c>
      <c r="AB120" s="35" t="s">
        <v>2092</v>
      </c>
      <c r="AC120" s="35" t="s">
        <v>2059</v>
      </c>
      <c r="AD120" s="35" t="s">
        <v>410</v>
      </c>
    </row>
    <row r="121" spans="1:30">
      <c r="A121" s="35" t="s">
        <v>2090</v>
      </c>
      <c r="B121" s="35" t="s">
        <v>2091</v>
      </c>
      <c r="C121" s="35" t="s">
        <v>2052</v>
      </c>
      <c r="D121" s="35" t="s">
        <v>2062</v>
      </c>
      <c r="E121" s="35" t="s">
        <v>2063</v>
      </c>
      <c r="F121" s="35" t="s">
        <v>2295</v>
      </c>
      <c r="G121" s="36" t="s">
        <v>2296</v>
      </c>
      <c r="H121" s="35" t="s">
        <v>91</v>
      </c>
      <c r="I121" s="35" t="s">
        <v>145</v>
      </c>
      <c r="J121" s="35" t="s">
        <v>88</v>
      </c>
      <c r="K121" s="35" t="s">
        <v>88</v>
      </c>
      <c r="L121" s="35">
        <v>47</v>
      </c>
      <c r="M121" s="35" t="s">
        <v>87</v>
      </c>
      <c r="N121" s="35" t="s">
        <v>87</v>
      </c>
      <c r="O121" s="35" t="s">
        <v>88</v>
      </c>
      <c r="P121" s="35">
        <v>39483</v>
      </c>
      <c r="Q121" s="35">
        <v>1579</v>
      </c>
      <c r="R121" s="35">
        <v>0</v>
      </c>
      <c r="S121" s="35">
        <v>1184</v>
      </c>
      <c r="T121" s="35">
        <v>790</v>
      </c>
      <c r="U121" s="35">
        <v>2369</v>
      </c>
      <c r="V121" s="35">
        <v>9871</v>
      </c>
      <c r="W121" s="35">
        <v>0</v>
      </c>
      <c r="X121" s="35" t="s">
        <v>2057</v>
      </c>
      <c r="Y121" s="35" t="s">
        <v>2058</v>
      </c>
      <c r="AA121" s="35">
        <v>1200</v>
      </c>
      <c r="AB121" s="35" t="s">
        <v>2062</v>
      </c>
      <c r="AC121" s="35" t="s">
        <v>2059</v>
      </c>
      <c r="AD121" s="35" t="s">
        <v>698</v>
      </c>
    </row>
    <row r="122" spans="1:30">
      <c r="A122" s="35" t="s">
        <v>2086</v>
      </c>
      <c r="B122" s="35" t="s">
        <v>2087</v>
      </c>
      <c r="C122" s="35" t="s">
        <v>2052</v>
      </c>
      <c r="D122" s="35" t="s">
        <v>2132</v>
      </c>
      <c r="E122" s="35" t="s">
        <v>2133</v>
      </c>
      <c r="F122" s="35" t="s">
        <v>2297</v>
      </c>
      <c r="G122" s="36" t="s">
        <v>2298</v>
      </c>
      <c r="H122" s="35" t="s">
        <v>86</v>
      </c>
      <c r="I122" s="35" t="s">
        <v>85</v>
      </c>
      <c r="J122" s="35" t="s">
        <v>88</v>
      </c>
      <c r="K122" s="35" t="s">
        <v>88</v>
      </c>
      <c r="L122" s="35">
        <v>50</v>
      </c>
      <c r="M122" s="35" t="s">
        <v>87</v>
      </c>
      <c r="N122" s="35" t="s">
        <v>87</v>
      </c>
      <c r="O122" s="35" t="s">
        <v>88</v>
      </c>
      <c r="P122" s="35">
        <v>38279</v>
      </c>
      <c r="Q122" s="35">
        <v>1531</v>
      </c>
      <c r="R122" s="35">
        <v>0</v>
      </c>
      <c r="S122" s="35">
        <v>1148</v>
      </c>
      <c r="T122" s="35">
        <v>766</v>
      </c>
      <c r="U122" s="35">
        <v>0</v>
      </c>
      <c r="V122" s="35">
        <v>0</v>
      </c>
      <c r="W122" s="35">
        <v>0</v>
      </c>
      <c r="X122" s="35" t="s">
        <v>2057</v>
      </c>
      <c r="Y122" s="35" t="s">
        <v>2058</v>
      </c>
      <c r="AA122" s="35">
        <v>0</v>
      </c>
      <c r="AB122" s="35" t="s">
        <v>2132</v>
      </c>
      <c r="AC122" s="35" t="s">
        <v>2059</v>
      </c>
      <c r="AD122" s="35" t="s">
        <v>962</v>
      </c>
    </row>
    <row r="123" spans="1:30">
      <c r="A123" s="35" t="s">
        <v>2076</v>
      </c>
      <c r="B123" s="35" t="s">
        <v>2077</v>
      </c>
      <c r="C123" s="35" t="s">
        <v>2052</v>
      </c>
      <c r="D123" s="35" t="s">
        <v>2132</v>
      </c>
      <c r="E123" s="35" t="s">
        <v>2133</v>
      </c>
      <c r="F123" s="35" t="s">
        <v>2299</v>
      </c>
      <c r="G123" s="36" t="s">
        <v>2300</v>
      </c>
      <c r="H123" s="35" t="s">
        <v>86</v>
      </c>
      <c r="I123" s="35" t="s">
        <v>97</v>
      </c>
      <c r="J123" s="35" t="s">
        <v>88</v>
      </c>
      <c r="K123" s="35" t="s">
        <v>88</v>
      </c>
      <c r="L123" s="35">
        <v>47</v>
      </c>
      <c r="M123" s="35" t="s">
        <v>87</v>
      </c>
      <c r="N123" s="35" t="s">
        <v>87</v>
      </c>
      <c r="O123" s="35" t="s">
        <v>88</v>
      </c>
      <c r="P123" s="35">
        <v>18421</v>
      </c>
      <c r="Q123" s="35">
        <v>737</v>
      </c>
      <c r="R123" s="35">
        <v>0</v>
      </c>
      <c r="S123" s="35">
        <v>553</v>
      </c>
      <c r="T123" s="35">
        <v>368</v>
      </c>
      <c r="U123" s="35">
        <v>0</v>
      </c>
      <c r="V123" s="35">
        <v>0</v>
      </c>
      <c r="W123" s="35">
        <v>0</v>
      </c>
      <c r="X123" s="35" t="s">
        <v>2057</v>
      </c>
      <c r="Y123" s="35" t="s">
        <v>2058</v>
      </c>
      <c r="AA123" s="35">
        <v>0</v>
      </c>
      <c r="AB123" s="35" t="s">
        <v>2132</v>
      </c>
      <c r="AC123" s="35" t="s">
        <v>2059</v>
      </c>
    </row>
    <row r="124" spans="1:30">
      <c r="A124" s="35" t="s">
        <v>2066</v>
      </c>
      <c r="B124" s="35" t="s">
        <v>2067</v>
      </c>
      <c r="C124" s="35" t="s">
        <v>2052</v>
      </c>
      <c r="D124" s="35" t="s">
        <v>2078</v>
      </c>
      <c r="E124" s="35" t="s">
        <v>2079</v>
      </c>
      <c r="F124" s="35" t="s">
        <v>2301</v>
      </c>
      <c r="G124" s="36" t="s">
        <v>2302</v>
      </c>
      <c r="H124" s="35" t="s">
        <v>86</v>
      </c>
      <c r="I124" s="35" t="s">
        <v>85</v>
      </c>
      <c r="J124" s="35" t="s">
        <v>88</v>
      </c>
      <c r="K124" s="35" t="s">
        <v>88</v>
      </c>
      <c r="L124" s="35">
        <v>27</v>
      </c>
      <c r="M124" s="35" t="s">
        <v>87</v>
      </c>
      <c r="N124" s="35" t="s">
        <v>87</v>
      </c>
      <c r="O124" s="35" t="s">
        <v>88</v>
      </c>
      <c r="P124" s="35">
        <v>36977</v>
      </c>
      <c r="Q124" s="35">
        <v>1479</v>
      </c>
      <c r="R124" s="35">
        <v>0</v>
      </c>
      <c r="S124" s="35">
        <v>1109</v>
      </c>
      <c r="T124" s="35">
        <v>740</v>
      </c>
      <c r="U124" s="35">
        <v>0</v>
      </c>
      <c r="V124" s="35">
        <v>0</v>
      </c>
      <c r="W124" s="35">
        <v>0</v>
      </c>
      <c r="X124" s="35" t="s">
        <v>2057</v>
      </c>
      <c r="Y124" s="35" t="s">
        <v>2058</v>
      </c>
      <c r="AA124" s="35">
        <v>0</v>
      </c>
      <c r="AB124" s="35" t="s">
        <v>2078</v>
      </c>
      <c r="AC124" s="35" t="s">
        <v>2059</v>
      </c>
      <c r="AD124" s="35" t="s">
        <v>900</v>
      </c>
    </row>
    <row r="125" spans="1:30">
      <c r="A125" s="35" t="s">
        <v>2076</v>
      </c>
      <c r="B125" s="35" t="s">
        <v>2077</v>
      </c>
      <c r="C125" s="35" t="s">
        <v>2052</v>
      </c>
      <c r="D125" s="35" t="s">
        <v>2107</v>
      </c>
      <c r="E125" s="35" t="s">
        <v>2108</v>
      </c>
      <c r="F125" s="35" t="s">
        <v>2303</v>
      </c>
      <c r="G125" s="36" t="s">
        <v>2304</v>
      </c>
      <c r="H125" s="35" t="s">
        <v>91</v>
      </c>
      <c r="I125" s="35" t="s">
        <v>85</v>
      </c>
      <c r="J125" s="35" t="s">
        <v>88</v>
      </c>
      <c r="K125" s="35" t="s">
        <v>88</v>
      </c>
      <c r="L125" s="35">
        <v>40</v>
      </c>
      <c r="M125" s="35" t="s">
        <v>87</v>
      </c>
      <c r="N125" s="35" t="s">
        <v>87</v>
      </c>
      <c r="O125" s="35" t="s">
        <v>88</v>
      </c>
      <c r="P125" s="35">
        <v>31659</v>
      </c>
      <c r="Q125" s="35">
        <v>1266</v>
      </c>
      <c r="R125" s="35">
        <v>0</v>
      </c>
      <c r="S125" s="35">
        <v>950</v>
      </c>
      <c r="T125" s="35">
        <v>633</v>
      </c>
      <c r="U125" s="35">
        <v>0</v>
      </c>
      <c r="V125" s="35">
        <v>0</v>
      </c>
      <c r="W125" s="35">
        <v>0</v>
      </c>
      <c r="X125" s="35" t="s">
        <v>2057</v>
      </c>
      <c r="Y125" s="35" t="s">
        <v>2058</v>
      </c>
      <c r="AA125" s="35">
        <v>0</v>
      </c>
      <c r="AB125" s="35" t="s">
        <v>2107</v>
      </c>
      <c r="AC125" s="35" t="s">
        <v>2059</v>
      </c>
      <c r="AD125" s="35" t="s">
        <v>710</v>
      </c>
    </row>
    <row r="126" spans="1:30">
      <c r="A126" s="35" t="s">
        <v>2066</v>
      </c>
      <c r="B126" s="35" t="s">
        <v>2067</v>
      </c>
      <c r="C126" s="35" t="s">
        <v>2052</v>
      </c>
      <c r="D126" s="35" t="s">
        <v>2078</v>
      </c>
      <c r="E126" s="35" t="s">
        <v>2079</v>
      </c>
      <c r="F126" s="35" t="s">
        <v>2305</v>
      </c>
      <c r="G126" s="36" t="s">
        <v>2306</v>
      </c>
      <c r="H126" s="35" t="s">
        <v>91</v>
      </c>
      <c r="I126" s="35" t="s">
        <v>85</v>
      </c>
      <c r="J126" s="35" t="s">
        <v>88</v>
      </c>
      <c r="K126" s="35" t="s">
        <v>88</v>
      </c>
      <c r="L126" s="35">
        <v>33</v>
      </c>
      <c r="M126" s="35" t="s">
        <v>87</v>
      </c>
      <c r="N126" s="35" t="s">
        <v>87</v>
      </c>
      <c r="O126" s="35" t="s">
        <v>88</v>
      </c>
      <c r="P126" s="35">
        <v>39265</v>
      </c>
      <c r="Q126" s="35">
        <v>1571</v>
      </c>
      <c r="R126" s="35">
        <v>0</v>
      </c>
      <c r="S126" s="35">
        <v>1178</v>
      </c>
      <c r="T126" s="35">
        <v>785</v>
      </c>
      <c r="U126" s="35">
        <v>0</v>
      </c>
      <c r="V126" s="35">
        <v>0</v>
      </c>
      <c r="W126" s="35">
        <v>0</v>
      </c>
      <c r="X126" s="35" t="s">
        <v>2057</v>
      </c>
      <c r="Y126" s="35" t="s">
        <v>2058</v>
      </c>
      <c r="AA126" s="35">
        <v>0</v>
      </c>
      <c r="AB126" s="35" t="s">
        <v>2078</v>
      </c>
      <c r="AC126" s="35" t="s">
        <v>2059</v>
      </c>
      <c r="AD126" s="35" t="s">
        <v>212</v>
      </c>
    </row>
    <row r="127" spans="1:30">
      <c r="A127" s="35" t="s">
        <v>2066</v>
      </c>
      <c r="B127" s="35" t="s">
        <v>2067</v>
      </c>
      <c r="C127" s="35" t="s">
        <v>2052</v>
      </c>
      <c r="D127" s="35" t="s">
        <v>2107</v>
      </c>
      <c r="E127" s="35" t="s">
        <v>2108</v>
      </c>
      <c r="F127" s="35" t="s">
        <v>2307</v>
      </c>
      <c r="G127" s="36" t="s">
        <v>2308</v>
      </c>
      <c r="H127" s="35" t="s">
        <v>91</v>
      </c>
      <c r="I127" s="35" t="s">
        <v>145</v>
      </c>
      <c r="J127" s="35" t="s">
        <v>88</v>
      </c>
      <c r="K127" s="35" t="s">
        <v>88</v>
      </c>
      <c r="L127" s="35">
        <v>48</v>
      </c>
      <c r="M127" s="35" t="s">
        <v>87</v>
      </c>
      <c r="N127" s="35" t="s">
        <v>87</v>
      </c>
      <c r="O127" s="35" t="s">
        <v>88</v>
      </c>
      <c r="P127" s="35">
        <v>41386</v>
      </c>
      <c r="Q127" s="35">
        <v>1655</v>
      </c>
      <c r="R127" s="35">
        <v>0</v>
      </c>
      <c r="S127" s="35">
        <v>1242</v>
      </c>
      <c r="T127" s="35">
        <v>828</v>
      </c>
      <c r="U127" s="35">
        <v>0</v>
      </c>
      <c r="V127" s="35">
        <v>0</v>
      </c>
      <c r="W127" s="35">
        <v>0</v>
      </c>
      <c r="X127" s="35" t="s">
        <v>2057</v>
      </c>
      <c r="Y127" s="35" t="s">
        <v>2058</v>
      </c>
      <c r="AA127" s="35">
        <v>0</v>
      </c>
      <c r="AB127" s="35" t="s">
        <v>2107</v>
      </c>
      <c r="AC127" s="35" t="s">
        <v>2059</v>
      </c>
      <c r="AD127" s="35" t="s">
        <v>1755</v>
      </c>
    </row>
    <row r="128" spans="1:30">
      <c r="A128" s="35" t="s">
        <v>2072</v>
      </c>
      <c r="B128" s="35" t="s">
        <v>2073</v>
      </c>
      <c r="C128" s="35" t="s">
        <v>2052</v>
      </c>
      <c r="D128" s="35" t="s">
        <v>2107</v>
      </c>
      <c r="E128" s="35" t="s">
        <v>2108</v>
      </c>
      <c r="F128" s="35" t="s">
        <v>2309</v>
      </c>
      <c r="G128" s="36" t="s">
        <v>2310</v>
      </c>
      <c r="H128" s="35" t="s">
        <v>91</v>
      </c>
      <c r="I128" s="35" t="s">
        <v>85</v>
      </c>
      <c r="J128" s="35" t="s">
        <v>88</v>
      </c>
      <c r="K128" s="35" t="s">
        <v>88</v>
      </c>
      <c r="L128" s="35">
        <v>47</v>
      </c>
      <c r="M128" s="35" t="s">
        <v>87</v>
      </c>
      <c r="N128" s="35" t="s">
        <v>87</v>
      </c>
      <c r="O128" s="35" t="s">
        <v>88</v>
      </c>
      <c r="P128" s="35">
        <v>45915</v>
      </c>
      <c r="Q128" s="35">
        <v>1837</v>
      </c>
      <c r="R128" s="35">
        <v>2296</v>
      </c>
      <c r="S128" s="35">
        <v>1377</v>
      </c>
      <c r="T128" s="35">
        <v>918</v>
      </c>
      <c r="U128" s="35">
        <v>2755</v>
      </c>
      <c r="V128" s="35">
        <v>11479</v>
      </c>
      <c r="W128" s="35">
        <v>0</v>
      </c>
      <c r="X128" s="35" t="s">
        <v>2057</v>
      </c>
      <c r="Y128" s="35" t="s">
        <v>2058</v>
      </c>
      <c r="AA128" s="35">
        <v>640</v>
      </c>
      <c r="AB128" s="35" t="s">
        <v>2107</v>
      </c>
      <c r="AC128" s="35" t="s">
        <v>2059</v>
      </c>
      <c r="AD128" s="35" t="s">
        <v>1464</v>
      </c>
    </row>
    <row r="129" spans="1:30">
      <c r="A129" s="35" t="s">
        <v>2066</v>
      </c>
      <c r="B129" s="35" t="s">
        <v>2067</v>
      </c>
      <c r="C129" s="35" t="s">
        <v>2052</v>
      </c>
      <c r="D129" s="35" t="s">
        <v>2082</v>
      </c>
      <c r="E129" s="35" t="s">
        <v>2083</v>
      </c>
      <c r="F129" s="35" t="s">
        <v>2311</v>
      </c>
      <c r="G129" s="36" t="s">
        <v>2312</v>
      </c>
      <c r="H129" s="35" t="s">
        <v>91</v>
      </c>
      <c r="I129" s="35" t="s">
        <v>123</v>
      </c>
      <c r="J129" s="35" t="s">
        <v>88</v>
      </c>
      <c r="K129" s="35" t="s">
        <v>88</v>
      </c>
      <c r="L129" s="35">
        <v>56</v>
      </c>
      <c r="M129" s="35" t="s">
        <v>87</v>
      </c>
      <c r="N129" s="35" t="s">
        <v>87</v>
      </c>
      <c r="O129" s="35" t="s">
        <v>88</v>
      </c>
      <c r="P129" s="35">
        <v>45209</v>
      </c>
      <c r="Q129" s="35">
        <v>1808</v>
      </c>
      <c r="R129" s="35">
        <v>0</v>
      </c>
      <c r="S129" s="35">
        <v>1356</v>
      </c>
      <c r="T129" s="35">
        <v>904</v>
      </c>
      <c r="U129" s="35">
        <v>0</v>
      </c>
      <c r="V129" s="35">
        <v>0</v>
      </c>
      <c r="W129" s="35">
        <v>0</v>
      </c>
      <c r="X129" s="35" t="s">
        <v>2057</v>
      </c>
      <c r="Y129" s="35" t="s">
        <v>2058</v>
      </c>
      <c r="AA129" s="35">
        <v>0</v>
      </c>
      <c r="AB129" s="35" t="s">
        <v>2082</v>
      </c>
      <c r="AC129" s="35" t="s">
        <v>2059</v>
      </c>
      <c r="AD129" s="35" t="s">
        <v>624</v>
      </c>
    </row>
    <row r="130" spans="1:30">
      <c r="A130" s="35" t="s">
        <v>2072</v>
      </c>
      <c r="B130" s="35" t="s">
        <v>2073</v>
      </c>
      <c r="C130" s="35" t="s">
        <v>2052</v>
      </c>
      <c r="D130" s="35" t="s">
        <v>2053</v>
      </c>
      <c r="E130" s="35" t="s">
        <v>2054</v>
      </c>
      <c r="F130" s="35" t="s">
        <v>432</v>
      </c>
      <c r="G130" s="36" t="s">
        <v>2313</v>
      </c>
      <c r="H130" s="35" t="s">
        <v>86</v>
      </c>
      <c r="I130" s="35" t="s">
        <v>85</v>
      </c>
      <c r="J130" s="35" t="s">
        <v>88</v>
      </c>
      <c r="K130" s="35" t="s">
        <v>88</v>
      </c>
      <c r="L130" s="35">
        <v>19</v>
      </c>
      <c r="M130" s="35" t="s">
        <v>88</v>
      </c>
      <c r="N130" s="35" t="s">
        <v>87</v>
      </c>
      <c r="O130" s="35" t="s">
        <v>87</v>
      </c>
      <c r="P130" s="35">
        <v>26870</v>
      </c>
      <c r="Q130" s="35">
        <v>1075</v>
      </c>
      <c r="R130" s="35">
        <v>1344</v>
      </c>
      <c r="S130" s="35">
        <v>806</v>
      </c>
      <c r="T130" s="35">
        <v>537</v>
      </c>
      <c r="U130" s="35">
        <v>1612</v>
      </c>
      <c r="V130" s="35">
        <v>6718</v>
      </c>
      <c r="W130" s="35">
        <v>0</v>
      </c>
      <c r="X130" s="35" t="s">
        <v>2057</v>
      </c>
      <c r="Y130" s="35" t="s">
        <v>2058</v>
      </c>
      <c r="AA130" s="35">
        <v>480</v>
      </c>
      <c r="AB130" s="35" t="s">
        <v>2053</v>
      </c>
      <c r="AC130" s="35" t="s">
        <v>2059</v>
      </c>
    </row>
    <row r="131" spans="1:30">
      <c r="A131" s="35" t="s">
        <v>2050</v>
      </c>
      <c r="B131" s="35" t="s">
        <v>2051</v>
      </c>
      <c r="C131" s="35" t="s">
        <v>2052</v>
      </c>
      <c r="D131" s="35" t="s">
        <v>2068</v>
      </c>
      <c r="E131" s="35" t="s">
        <v>2069</v>
      </c>
      <c r="F131" s="35" t="s">
        <v>2314</v>
      </c>
      <c r="G131" s="36" t="s">
        <v>2315</v>
      </c>
      <c r="H131" s="35" t="s">
        <v>91</v>
      </c>
      <c r="I131" s="35" t="s">
        <v>145</v>
      </c>
      <c r="J131" s="35" t="s">
        <v>88</v>
      </c>
      <c r="K131" s="35" t="s">
        <v>88</v>
      </c>
      <c r="L131" s="35">
        <v>37</v>
      </c>
      <c r="M131" s="35" t="s">
        <v>87</v>
      </c>
      <c r="N131" s="35" t="s">
        <v>87</v>
      </c>
      <c r="O131" s="35" t="s">
        <v>88</v>
      </c>
      <c r="P131" s="35">
        <v>37970</v>
      </c>
      <c r="Q131" s="35">
        <v>1519</v>
      </c>
      <c r="R131" s="35">
        <v>1898</v>
      </c>
      <c r="S131" s="35">
        <v>1139</v>
      </c>
      <c r="T131" s="35">
        <v>759</v>
      </c>
      <c r="U131" s="35">
        <v>2278</v>
      </c>
      <c r="V131" s="35">
        <v>9492</v>
      </c>
      <c r="W131" s="35">
        <v>0</v>
      </c>
      <c r="X131" s="35" t="s">
        <v>2057</v>
      </c>
      <c r="Y131" s="35" t="s">
        <v>2058</v>
      </c>
      <c r="AA131" s="35">
        <v>480</v>
      </c>
      <c r="AB131" s="35" t="s">
        <v>2068</v>
      </c>
      <c r="AC131" s="35" t="s">
        <v>2059</v>
      </c>
      <c r="AD131" s="35" t="s">
        <v>1444</v>
      </c>
    </row>
    <row r="132" spans="1:30">
      <c r="A132" s="35" t="s">
        <v>2066</v>
      </c>
      <c r="B132" s="35" t="s">
        <v>2067</v>
      </c>
      <c r="C132" s="35" t="s">
        <v>2052</v>
      </c>
      <c r="D132" s="35" t="s">
        <v>2082</v>
      </c>
      <c r="E132" s="35" t="s">
        <v>2083</v>
      </c>
      <c r="F132" s="35" t="s">
        <v>2316</v>
      </c>
      <c r="G132" s="36" t="s">
        <v>2317</v>
      </c>
      <c r="H132" s="35" t="s">
        <v>86</v>
      </c>
      <c r="I132" s="35" t="s">
        <v>85</v>
      </c>
      <c r="J132" s="35" t="s">
        <v>88</v>
      </c>
      <c r="K132" s="35" t="s">
        <v>88</v>
      </c>
      <c r="L132" s="35">
        <v>34</v>
      </c>
      <c r="M132" s="35" t="s">
        <v>87</v>
      </c>
      <c r="N132" s="35" t="s">
        <v>87</v>
      </c>
      <c r="O132" s="35" t="s">
        <v>88</v>
      </c>
      <c r="P132" s="35">
        <v>45670</v>
      </c>
      <c r="Q132" s="35">
        <v>1827</v>
      </c>
      <c r="R132" s="35">
        <v>0</v>
      </c>
      <c r="S132" s="35">
        <v>1370</v>
      </c>
      <c r="T132" s="35">
        <v>913</v>
      </c>
      <c r="U132" s="35">
        <v>0</v>
      </c>
      <c r="V132" s="35">
        <v>0</v>
      </c>
      <c r="W132" s="35">
        <v>0</v>
      </c>
      <c r="X132" s="35" t="s">
        <v>2057</v>
      </c>
      <c r="Y132" s="35" t="s">
        <v>2058</v>
      </c>
      <c r="AA132" s="35">
        <v>0</v>
      </c>
      <c r="AB132" s="35" t="s">
        <v>2082</v>
      </c>
      <c r="AC132" s="35" t="s">
        <v>2059</v>
      </c>
      <c r="AD132" s="35" t="s">
        <v>1767</v>
      </c>
    </row>
    <row r="133" spans="1:30">
      <c r="A133" s="35" t="s">
        <v>2050</v>
      </c>
      <c r="B133" s="35" t="s">
        <v>2051</v>
      </c>
      <c r="C133" s="35" t="s">
        <v>2052</v>
      </c>
      <c r="D133" s="35" t="s">
        <v>2107</v>
      </c>
      <c r="E133" s="35" t="s">
        <v>2108</v>
      </c>
      <c r="F133" s="35" t="s">
        <v>2318</v>
      </c>
      <c r="G133" s="36" t="s">
        <v>2319</v>
      </c>
      <c r="H133" s="35" t="s">
        <v>86</v>
      </c>
      <c r="I133" s="35" t="s">
        <v>85</v>
      </c>
      <c r="J133" s="35" t="s">
        <v>87</v>
      </c>
      <c r="K133" s="35" t="s">
        <v>88</v>
      </c>
      <c r="L133" s="35">
        <v>29</v>
      </c>
      <c r="M133" s="35" t="s">
        <v>87</v>
      </c>
      <c r="N133" s="35" t="s">
        <v>87</v>
      </c>
      <c r="O133" s="35" t="s">
        <v>88</v>
      </c>
      <c r="P133" s="35">
        <v>31081</v>
      </c>
      <c r="Q133" s="35">
        <v>1243</v>
      </c>
      <c r="R133" s="35">
        <v>1554</v>
      </c>
      <c r="S133" s="35">
        <v>932</v>
      </c>
      <c r="T133" s="35">
        <v>622</v>
      </c>
      <c r="U133" s="35">
        <v>1865</v>
      </c>
      <c r="V133" s="35">
        <v>7770</v>
      </c>
      <c r="W133" s="35">
        <v>0</v>
      </c>
      <c r="X133" s="35" t="s">
        <v>2057</v>
      </c>
      <c r="Y133" s="35" t="s">
        <v>2058</v>
      </c>
      <c r="AA133" s="35">
        <v>320</v>
      </c>
      <c r="AB133" s="35" t="s">
        <v>2107</v>
      </c>
      <c r="AC133" s="35" t="s">
        <v>2059</v>
      </c>
      <c r="AD133" s="35" t="s">
        <v>1025</v>
      </c>
    </row>
    <row r="134" spans="1:30">
      <c r="A134" s="35" t="s">
        <v>2072</v>
      </c>
      <c r="B134" s="35" t="s">
        <v>2073</v>
      </c>
      <c r="C134" s="35" t="s">
        <v>2052</v>
      </c>
      <c r="D134" s="35" t="s">
        <v>2078</v>
      </c>
      <c r="E134" s="35" t="s">
        <v>2079</v>
      </c>
      <c r="F134" s="35" t="s">
        <v>2320</v>
      </c>
      <c r="G134" s="36" t="s">
        <v>2321</v>
      </c>
      <c r="H134" s="35" t="s">
        <v>91</v>
      </c>
      <c r="I134" s="35" t="s">
        <v>85</v>
      </c>
      <c r="J134" s="35" t="s">
        <v>88</v>
      </c>
      <c r="K134" s="35" t="s">
        <v>88</v>
      </c>
      <c r="L134" s="35">
        <v>31</v>
      </c>
      <c r="M134" s="35" t="s">
        <v>88</v>
      </c>
      <c r="N134" s="35" t="s">
        <v>87</v>
      </c>
      <c r="O134" s="35" t="s">
        <v>87</v>
      </c>
      <c r="P134" s="35">
        <v>27723</v>
      </c>
      <c r="Q134" s="35">
        <v>1109</v>
      </c>
      <c r="R134" s="35">
        <v>1386</v>
      </c>
      <c r="S134" s="35">
        <v>832</v>
      </c>
      <c r="T134" s="35">
        <v>554</v>
      </c>
      <c r="U134" s="35">
        <v>1663</v>
      </c>
      <c r="V134" s="35">
        <v>6931</v>
      </c>
      <c r="W134" s="35">
        <v>0</v>
      </c>
      <c r="X134" s="35" t="s">
        <v>2057</v>
      </c>
      <c r="Y134" s="35" t="s">
        <v>2058</v>
      </c>
      <c r="AA134" s="35">
        <v>960</v>
      </c>
      <c r="AB134" s="35" t="s">
        <v>2078</v>
      </c>
      <c r="AC134" s="35" t="s">
        <v>2059</v>
      </c>
    </row>
    <row r="135" spans="1:30">
      <c r="A135" s="35" t="s">
        <v>2072</v>
      </c>
      <c r="B135" s="35" t="s">
        <v>2073</v>
      </c>
      <c r="C135" s="35" t="s">
        <v>2052</v>
      </c>
      <c r="D135" s="35" t="s">
        <v>2132</v>
      </c>
      <c r="E135" s="35" t="s">
        <v>2133</v>
      </c>
      <c r="F135" s="35" t="s">
        <v>2322</v>
      </c>
      <c r="G135" s="36" t="s">
        <v>2323</v>
      </c>
      <c r="H135" s="35" t="s">
        <v>91</v>
      </c>
      <c r="I135" s="35" t="s">
        <v>85</v>
      </c>
      <c r="J135" s="35" t="s">
        <v>88</v>
      </c>
      <c r="K135" s="35" t="s">
        <v>88</v>
      </c>
      <c r="L135" s="35">
        <v>19</v>
      </c>
      <c r="M135" s="35" t="s">
        <v>88</v>
      </c>
      <c r="N135" s="35" t="s">
        <v>87</v>
      </c>
      <c r="O135" s="35" t="s">
        <v>88</v>
      </c>
      <c r="P135" s="35">
        <v>30146</v>
      </c>
      <c r="Q135" s="35">
        <v>1206</v>
      </c>
      <c r="R135" s="35">
        <v>1507</v>
      </c>
      <c r="S135" s="35">
        <v>904</v>
      </c>
      <c r="T135" s="35">
        <v>603</v>
      </c>
      <c r="U135" s="35">
        <v>1809</v>
      </c>
      <c r="V135" s="35">
        <v>7536</v>
      </c>
      <c r="W135" s="35">
        <v>0</v>
      </c>
      <c r="X135" s="35" t="s">
        <v>2057</v>
      </c>
      <c r="Y135" s="35" t="s">
        <v>2058</v>
      </c>
      <c r="AA135" s="35">
        <v>1200</v>
      </c>
      <c r="AB135" s="35" t="s">
        <v>2132</v>
      </c>
      <c r="AC135" s="35" t="s">
        <v>2059</v>
      </c>
    </row>
    <row r="136" spans="1:30">
      <c r="A136" s="35" t="s">
        <v>2066</v>
      </c>
      <c r="B136" s="35" t="s">
        <v>2067</v>
      </c>
      <c r="C136" s="35" t="s">
        <v>2052</v>
      </c>
      <c r="D136" s="35" t="s">
        <v>2078</v>
      </c>
      <c r="E136" s="35" t="s">
        <v>2079</v>
      </c>
      <c r="F136" s="35" t="s">
        <v>2324</v>
      </c>
      <c r="G136" s="36" t="s">
        <v>2325</v>
      </c>
      <c r="H136" s="35" t="s">
        <v>86</v>
      </c>
      <c r="I136" s="35" t="s">
        <v>85</v>
      </c>
      <c r="J136" s="35" t="s">
        <v>88</v>
      </c>
      <c r="K136" s="35" t="s">
        <v>88</v>
      </c>
      <c r="L136" s="35">
        <v>39</v>
      </c>
      <c r="M136" s="35" t="s">
        <v>87</v>
      </c>
      <c r="N136" s="35" t="s">
        <v>87</v>
      </c>
      <c r="O136" s="35" t="s">
        <v>88</v>
      </c>
      <c r="P136" s="35">
        <v>30628</v>
      </c>
      <c r="Q136" s="35">
        <v>1225</v>
      </c>
      <c r="R136" s="35">
        <v>0</v>
      </c>
      <c r="S136" s="35">
        <v>919</v>
      </c>
      <c r="T136" s="35">
        <v>613</v>
      </c>
      <c r="U136" s="35">
        <v>0</v>
      </c>
      <c r="V136" s="35">
        <v>0</v>
      </c>
      <c r="W136" s="35">
        <v>0</v>
      </c>
      <c r="X136" s="35" t="s">
        <v>2057</v>
      </c>
      <c r="Y136" s="35" t="s">
        <v>2058</v>
      </c>
      <c r="AA136" s="35">
        <v>0</v>
      </c>
      <c r="AB136" s="35" t="s">
        <v>2078</v>
      </c>
      <c r="AC136" s="35" t="s">
        <v>2059</v>
      </c>
      <c r="AD136" s="35" t="s">
        <v>793</v>
      </c>
    </row>
    <row r="137" spans="1:30">
      <c r="A137" s="35" t="s">
        <v>2086</v>
      </c>
      <c r="B137" s="35" t="s">
        <v>2087</v>
      </c>
      <c r="C137" s="35" t="s">
        <v>2052</v>
      </c>
      <c r="D137" s="35" t="s">
        <v>2141</v>
      </c>
      <c r="E137" s="35" t="s">
        <v>2142</v>
      </c>
      <c r="F137" s="35" t="s">
        <v>1402</v>
      </c>
      <c r="G137" s="36" t="s">
        <v>2326</v>
      </c>
      <c r="H137" s="35" t="s">
        <v>91</v>
      </c>
      <c r="I137" s="35" t="s">
        <v>85</v>
      </c>
      <c r="J137" s="35" t="s">
        <v>88</v>
      </c>
      <c r="K137" s="35" t="s">
        <v>88</v>
      </c>
      <c r="L137" s="35">
        <v>29</v>
      </c>
      <c r="M137" s="35" t="s">
        <v>87</v>
      </c>
      <c r="N137" s="35" t="s">
        <v>87</v>
      </c>
      <c r="O137" s="35" t="s">
        <v>88</v>
      </c>
      <c r="P137" s="35">
        <v>33374</v>
      </c>
      <c r="Q137" s="35">
        <v>1335</v>
      </c>
      <c r="R137" s="35">
        <v>0</v>
      </c>
      <c r="S137" s="35">
        <v>1001</v>
      </c>
      <c r="T137" s="35">
        <v>667</v>
      </c>
      <c r="U137" s="35">
        <v>0</v>
      </c>
      <c r="V137" s="35">
        <v>0</v>
      </c>
      <c r="W137" s="35">
        <v>0</v>
      </c>
      <c r="X137" s="35" t="s">
        <v>2057</v>
      </c>
      <c r="Y137" s="35" t="s">
        <v>2058</v>
      </c>
      <c r="AA137" s="35">
        <v>0</v>
      </c>
      <c r="AB137" s="35" t="s">
        <v>2141</v>
      </c>
      <c r="AC137" s="35" t="s">
        <v>2059</v>
      </c>
      <c r="AD137" s="35" t="s">
        <v>426</v>
      </c>
    </row>
    <row r="138" spans="1:30">
      <c r="A138" s="35" t="s">
        <v>2050</v>
      </c>
      <c r="B138" s="35" t="s">
        <v>2051</v>
      </c>
      <c r="C138" s="35" t="s">
        <v>2052</v>
      </c>
      <c r="D138" s="35" t="s">
        <v>2092</v>
      </c>
      <c r="E138" s="35" t="s">
        <v>2093</v>
      </c>
      <c r="F138" s="35" t="s">
        <v>2327</v>
      </c>
      <c r="G138" s="36" t="s">
        <v>2328</v>
      </c>
      <c r="H138" s="35" t="s">
        <v>86</v>
      </c>
      <c r="I138" s="35" t="s">
        <v>85</v>
      </c>
      <c r="J138" s="35" t="s">
        <v>88</v>
      </c>
      <c r="K138" s="35" t="s">
        <v>88</v>
      </c>
      <c r="L138" s="35">
        <v>41</v>
      </c>
      <c r="M138" s="35" t="s">
        <v>87</v>
      </c>
      <c r="N138" s="35" t="s">
        <v>87</v>
      </c>
      <c r="O138" s="35" t="s">
        <v>88</v>
      </c>
      <c r="P138" s="35">
        <v>31446</v>
      </c>
      <c r="Q138" s="35">
        <v>1258</v>
      </c>
      <c r="R138" s="35">
        <v>1572</v>
      </c>
      <c r="S138" s="35">
        <v>943</v>
      </c>
      <c r="T138" s="35">
        <v>629</v>
      </c>
      <c r="U138" s="35">
        <v>1887</v>
      </c>
      <c r="V138" s="35">
        <v>7862</v>
      </c>
      <c r="W138" s="35">
        <v>0</v>
      </c>
      <c r="X138" s="35" t="s">
        <v>2057</v>
      </c>
      <c r="Y138" s="35" t="s">
        <v>2058</v>
      </c>
      <c r="AA138" s="35">
        <v>640</v>
      </c>
      <c r="AB138" s="35" t="s">
        <v>2092</v>
      </c>
      <c r="AC138" s="35" t="s">
        <v>2059</v>
      </c>
      <c r="AD138" s="35" t="s">
        <v>1767</v>
      </c>
    </row>
    <row r="139" spans="1:30">
      <c r="A139" s="35" t="s">
        <v>2066</v>
      </c>
      <c r="B139" s="35" t="s">
        <v>2067</v>
      </c>
      <c r="C139" s="35" t="s">
        <v>2052</v>
      </c>
      <c r="D139" s="35" t="s">
        <v>2141</v>
      </c>
      <c r="E139" s="35" t="s">
        <v>2142</v>
      </c>
      <c r="F139" s="35" t="s">
        <v>2329</v>
      </c>
      <c r="G139" s="36" t="s">
        <v>2330</v>
      </c>
      <c r="H139" s="35" t="s">
        <v>86</v>
      </c>
      <c r="I139" s="35" t="s">
        <v>123</v>
      </c>
      <c r="J139" s="35" t="s">
        <v>88</v>
      </c>
      <c r="K139" s="35" t="s">
        <v>88</v>
      </c>
      <c r="L139" s="35">
        <v>29</v>
      </c>
      <c r="M139" s="35" t="s">
        <v>87</v>
      </c>
      <c r="N139" s="35" t="s">
        <v>87</v>
      </c>
      <c r="O139" s="35" t="s">
        <v>88</v>
      </c>
      <c r="P139" s="35">
        <v>45529</v>
      </c>
      <c r="Q139" s="35">
        <v>1821</v>
      </c>
      <c r="R139" s="35">
        <v>0</v>
      </c>
      <c r="S139" s="35">
        <v>1366</v>
      </c>
      <c r="T139" s="35">
        <v>911</v>
      </c>
      <c r="U139" s="35">
        <v>0</v>
      </c>
      <c r="V139" s="35">
        <v>0</v>
      </c>
      <c r="W139" s="35">
        <v>0</v>
      </c>
      <c r="X139" s="35" t="s">
        <v>2057</v>
      </c>
      <c r="Y139" s="35" t="s">
        <v>2058</v>
      </c>
      <c r="AA139" s="35">
        <v>0</v>
      </c>
      <c r="AB139" s="35" t="s">
        <v>2141</v>
      </c>
      <c r="AC139" s="35" t="s">
        <v>2059</v>
      </c>
      <c r="AD139" s="35" t="s">
        <v>494</v>
      </c>
    </row>
    <row r="140" spans="1:30">
      <c r="A140" s="35" t="s">
        <v>2076</v>
      </c>
      <c r="B140" s="35" t="s">
        <v>2077</v>
      </c>
      <c r="C140" s="35" t="s">
        <v>2052</v>
      </c>
      <c r="D140" s="35" t="s">
        <v>2132</v>
      </c>
      <c r="E140" s="35" t="s">
        <v>2133</v>
      </c>
      <c r="F140" s="35" t="s">
        <v>566</v>
      </c>
      <c r="G140" s="36" t="s">
        <v>2331</v>
      </c>
      <c r="H140" s="35" t="s">
        <v>86</v>
      </c>
      <c r="I140" s="35" t="s">
        <v>97</v>
      </c>
      <c r="J140" s="35" t="s">
        <v>88</v>
      </c>
      <c r="K140" s="35" t="s">
        <v>88</v>
      </c>
      <c r="L140" s="35">
        <v>30</v>
      </c>
      <c r="M140" s="35" t="s">
        <v>87</v>
      </c>
      <c r="N140" s="35" t="s">
        <v>87</v>
      </c>
      <c r="O140" s="35" t="s">
        <v>88</v>
      </c>
      <c r="P140" s="35">
        <v>15520</v>
      </c>
      <c r="Q140" s="35">
        <v>621</v>
      </c>
      <c r="R140" s="35">
        <v>0</v>
      </c>
      <c r="S140" s="35">
        <v>466</v>
      </c>
      <c r="T140" s="35">
        <v>310</v>
      </c>
      <c r="U140" s="35">
        <v>0</v>
      </c>
      <c r="V140" s="35">
        <v>0</v>
      </c>
      <c r="W140" s="35">
        <v>0</v>
      </c>
      <c r="X140" s="35" t="s">
        <v>2057</v>
      </c>
      <c r="Y140" s="35" t="s">
        <v>2058</v>
      </c>
      <c r="AA140" s="35">
        <v>0</v>
      </c>
      <c r="AB140" s="35" t="s">
        <v>2132</v>
      </c>
      <c r="AC140" s="35" t="s">
        <v>2059</v>
      </c>
    </row>
    <row r="141" spans="1:30">
      <c r="A141" s="35" t="s">
        <v>2072</v>
      </c>
      <c r="B141" s="35" t="s">
        <v>2073</v>
      </c>
      <c r="C141" s="35" t="s">
        <v>2052</v>
      </c>
      <c r="D141" s="35" t="s">
        <v>2062</v>
      </c>
      <c r="E141" s="35" t="s">
        <v>2063</v>
      </c>
      <c r="F141" s="35" t="s">
        <v>2137</v>
      </c>
      <c r="G141" s="36" t="s">
        <v>2332</v>
      </c>
      <c r="H141" s="35" t="s">
        <v>91</v>
      </c>
      <c r="I141" s="35" t="s">
        <v>85</v>
      </c>
      <c r="J141" s="35" t="s">
        <v>87</v>
      </c>
      <c r="K141" s="35" t="s">
        <v>88</v>
      </c>
      <c r="L141" s="35">
        <v>55</v>
      </c>
      <c r="M141" s="35" t="s">
        <v>87</v>
      </c>
      <c r="N141" s="35" t="s">
        <v>87</v>
      </c>
      <c r="O141" s="35" t="s">
        <v>88</v>
      </c>
      <c r="P141" s="35">
        <v>32160</v>
      </c>
      <c r="Q141" s="35">
        <v>1286</v>
      </c>
      <c r="R141" s="35">
        <v>1608</v>
      </c>
      <c r="S141" s="35">
        <v>965</v>
      </c>
      <c r="T141" s="35">
        <v>643</v>
      </c>
      <c r="U141" s="35">
        <v>1930</v>
      </c>
      <c r="V141" s="35">
        <v>8040</v>
      </c>
      <c r="W141" s="35">
        <v>0</v>
      </c>
      <c r="X141" s="35" t="s">
        <v>2057</v>
      </c>
      <c r="Y141" s="35" t="s">
        <v>2058</v>
      </c>
      <c r="AA141" s="35">
        <v>960</v>
      </c>
      <c r="AB141" s="35" t="s">
        <v>2062</v>
      </c>
      <c r="AC141" s="35" t="s">
        <v>2059</v>
      </c>
      <c r="AD141" s="35" t="s">
        <v>430</v>
      </c>
    </row>
    <row r="142" spans="1:30">
      <c r="A142" s="35" t="s">
        <v>2066</v>
      </c>
      <c r="B142" s="35" t="s">
        <v>2067</v>
      </c>
      <c r="C142" s="35" t="s">
        <v>2052</v>
      </c>
      <c r="D142" s="35" t="s">
        <v>2053</v>
      </c>
      <c r="E142" s="35" t="s">
        <v>2054</v>
      </c>
      <c r="F142" s="35" t="s">
        <v>1354</v>
      </c>
      <c r="G142" s="36" t="s">
        <v>2333</v>
      </c>
      <c r="H142" s="35" t="s">
        <v>86</v>
      </c>
      <c r="I142" s="35" t="s">
        <v>85</v>
      </c>
      <c r="J142" s="35" t="s">
        <v>88</v>
      </c>
      <c r="K142" s="35" t="s">
        <v>88</v>
      </c>
      <c r="L142" s="35">
        <v>54</v>
      </c>
      <c r="M142" s="35" t="s">
        <v>87</v>
      </c>
      <c r="N142" s="35" t="s">
        <v>87</v>
      </c>
      <c r="O142" s="35" t="s">
        <v>88</v>
      </c>
      <c r="P142" s="35">
        <v>36618</v>
      </c>
      <c r="Q142" s="35">
        <v>1465</v>
      </c>
      <c r="R142" s="35">
        <v>0</v>
      </c>
      <c r="S142" s="35">
        <v>1099</v>
      </c>
      <c r="T142" s="35">
        <v>732</v>
      </c>
      <c r="U142" s="35">
        <v>0</v>
      </c>
      <c r="V142" s="35">
        <v>0</v>
      </c>
      <c r="W142" s="35">
        <v>0</v>
      </c>
      <c r="X142" s="35" t="s">
        <v>2057</v>
      </c>
      <c r="Y142" s="35" t="s">
        <v>2058</v>
      </c>
      <c r="AA142" s="35">
        <v>0</v>
      </c>
      <c r="AB142" s="35" t="s">
        <v>2053</v>
      </c>
      <c r="AC142" s="35" t="s">
        <v>2059</v>
      </c>
      <c r="AD142" s="35" t="s">
        <v>327</v>
      </c>
    </row>
    <row r="143" spans="1:30">
      <c r="A143" s="35" t="s">
        <v>2060</v>
      </c>
      <c r="B143" s="35" t="s">
        <v>2061</v>
      </c>
      <c r="C143" s="35" t="s">
        <v>2052</v>
      </c>
      <c r="D143" s="35" t="s">
        <v>2107</v>
      </c>
      <c r="E143" s="35" t="s">
        <v>2108</v>
      </c>
      <c r="F143" s="35" t="s">
        <v>692</v>
      </c>
      <c r="G143" s="36" t="s">
        <v>2334</v>
      </c>
      <c r="H143" s="35" t="s">
        <v>86</v>
      </c>
      <c r="I143" s="35" t="s">
        <v>85</v>
      </c>
      <c r="J143" s="35" t="s">
        <v>88</v>
      </c>
      <c r="K143" s="35" t="s">
        <v>88</v>
      </c>
      <c r="L143" s="35">
        <v>50</v>
      </c>
      <c r="M143" s="35" t="s">
        <v>87</v>
      </c>
      <c r="N143" s="35" t="s">
        <v>87</v>
      </c>
      <c r="O143" s="35" t="s">
        <v>88</v>
      </c>
      <c r="P143" s="35">
        <v>32897</v>
      </c>
      <c r="Q143" s="35">
        <v>1316</v>
      </c>
      <c r="R143" s="35">
        <v>0</v>
      </c>
      <c r="S143" s="35">
        <v>987</v>
      </c>
      <c r="T143" s="35">
        <v>658</v>
      </c>
      <c r="U143" s="35">
        <v>0</v>
      </c>
      <c r="V143" s="35">
        <v>0</v>
      </c>
      <c r="W143" s="35">
        <v>0</v>
      </c>
      <c r="X143" s="35" t="s">
        <v>2057</v>
      </c>
      <c r="Y143" s="35" t="s">
        <v>2058</v>
      </c>
      <c r="AA143" s="35">
        <v>0</v>
      </c>
      <c r="AB143" s="35" t="s">
        <v>2107</v>
      </c>
      <c r="AC143" s="35" t="s">
        <v>2059</v>
      </c>
      <c r="AD143" s="35" t="s">
        <v>164</v>
      </c>
    </row>
    <row r="144" spans="1:30">
      <c r="A144" s="35" t="s">
        <v>2072</v>
      </c>
      <c r="B144" s="35" t="s">
        <v>2073</v>
      </c>
      <c r="C144" s="35" t="s">
        <v>2052</v>
      </c>
      <c r="D144" s="35" t="s">
        <v>2082</v>
      </c>
      <c r="E144" s="35" t="s">
        <v>2083</v>
      </c>
      <c r="F144" s="35" t="s">
        <v>2228</v>
      </c>
      <c r="G144" s="36" t="s">
        <v>2335</v>
      </c>
      <c r="H144" s="35" t="s">
        <v>91</v>
      </c>
      <c r="I144" s="35" t="s">
        <v>123</v>
      </c>
      <c r="J144" s="35" t="s">
        <v>88</v>
      </c>
      <c r="K144" s="35" t="s">
        <v>88</v>
      </c>
      <c r="L144" s="35">
        <v>35</v>
      </c>
      <c r="M144" s="35" t="s">
        <v>87</v>
      </c>
      <c r="N144" s="35" t="s">
        <v>87</v>
      </c>
      <c r="O144" s="35" t="s">
        <v>88</v>
      </c>
      <c r="P144" s="35">
        <v>36677</v>
      </c>
      <c r="Q144" s="35">
        <v>1467</v>
      </c>
      <c r="R144" s="35">
        <v>1834</v>
      </c>
      <c r="S144" s="35">
        <v>1100</v>
      </c>
      <c r="T144" s="35">
        <v>734</v>
      </c>
      <c r="U144" s="35">
        <v>2201</v>
      </c>
      <c r="V144" s="35">
        <v>9169</v>
      </c>
      <c r="W144" s="35">
        <v>0</v>
      </c>
      <c r="X144" s="35" t="s">
        <v>2057</v>
      </c>
      <c r="Y144" s="35" t="s">
        <v>2058</v>
      </c>
      <c r="AA144" s="35">
        <v>320</v>
      </c>
      <c r="AB144" s="35" t="s">
        <v>2082</v>
      </c>
      <c r="AC144" s="35" t="s">
        <v>2059</v>
      </c>
      <c r="AD144" s="35" t="s">
        <v>1433</v>
      </c>
    </row>
    <row r="145" spans="1:30">
      <c r="A145" s="35" t="s">
        <v>2076</v>
      </c>
      <c r="B145" s="35" t="s">
        <v>2077</v>
      </c>
      <c r="C145" s="35" t="s">
        <v>2052</v>
      </c>
      <c r="D145" s="35" t="s">
        <v>2082</v>
      </c>
      <c r="E145" s="35" t="s">
        <v>2083</v>
      </c>
      <c r="F145" s="35" t="s">
        <v>2336</v>
      </c>
      <c r="G145" s="36" t="s">
        <v>2337</v>
      </c>
      <c r="H145" s="35" t="s">
        <v>91</v>
      </c>
      <c r="I145" s="35" t="s">
        <v>85</v>
      </c>
      <c r="J145" s="35" t="s">
        <v>88</v>
      </c>
      <c r="K145" s="35" t="s">
        <v>88</v>
      </c>
      <c r="L145" s="35">
        <v>58</v>
      </c>
      <c r="M145" s="35" t="s">
        <v>87</v>
      </c>
      <c r="N145" s="35" t="s">
        <v>87</v>
      </c>
      <c r="O145" s="35" t="s">
        <v>88</v>
      </c>
      <c r="P145" s="35">
        <v>32737</v>
      </c>
      <c r="Q145" s="35">
        <v>1309</v>
      </c>
      <c r="R145" s="35">
        <v>0</v>
      </c>
      <c r="S145" s="35">
        <v>982</v>
      </c>
      <c r="T145" s="35">
        <v>655</v>
      </c>
      <c r="U145" s="35">
        <v>0</v>
      </c>
      <c r="V145" s="35">
        <v>0</v>
      </c>
      <c r="W145" s="35">
        <v>0</v>
      </c>
      <c r="X145" s="35" t="s">
        <v>2057</v>
      </c>
      <c r="Y145" s="35" t="s">
        <v>2058</v>
      </c>
      <c r="AA145" s="35">
        <v>0</v>
      </c>
      <c r="AB145" s="35" t="s">
        <v>2082</v>
      </c>
      <c r="AC145" s="35" t="s">
        <v>2059</v>
      </c>
      <c r="AD145" s="35" t="s">
        <v>1127</v>
      </c>
    </row>
    <row r="146" spans="1:30">
      <c r="A146" s="35" t="s">
        <v>2066</v>
      </c>
      <c r="B146" s="35" t="s">
        <v>2067</v>
      </c>
      <c r="C146" s="35" t="s">
        <v>2052</v>
      </c>
      <c r="D146" s="35" t="s">
        <v>2068</v>
      </c>
      <c r="E146" s="35" t="s">
        <v>2069</v>
      </c>
      <c r="F146" s="35" t="s">
        <v>2338</v>
      </c>
      <c r="G146" s="36" t="s">
        <v>2339</v>
      </c>
      <c r="H146" s="35" t="s">
        <v>91</v>
      </c>
      <c r="I146" s="35" t="s">
        <v>85</v>
      </c>
      <c r="J146" s="35" t="s">
        <v>88</v>
      </c>
      <c r="K146" s="35" t="s">
        <v>88</v>
      </c>
      <c r="L146" s="35">
        <v>29</v>
      </c>
      <c r="M146" s="35" t="s">
        <v>87</v>
      </c>
      <c r="N146" s="35" t="s">
        <v>87</v>
      </c>
      <c r="O146" s="35" t="s">
        <v>88</v>
      </c>
      <c r="P146" s="35">
        <v>39362</v>
      </c>
      <c r="Q146" s="35">
        <v>1574</v>
      </c>
      <c r="R146" s="35">
        <v>0</v>
      </c>
      <c r="S146" s="35">
        <v>1181</v>
      </c>
      <c r="T146" s="35">
        <v>787</v>
      </c>
      <c r="U146" s="35">
        <v>0</v>
      </c>
      <c r="V146" s="35">
        <v>0</v>
      </c>
      <c r="W146" s="35">
        <v>0</v>
      </c>
      <c r="X146" s="35" t="s">
        <v>2057</v>
      </c>
      <c r="Y146" s="35" t="s">
        <v>2058</v>
      </c>
      <c r="AA146" s="35">
        <v>0</v>
      </c>
      <c r="AB146" s="35" t="s">
        <v>2068</v>
      </c>
      <c r="AC146" s="35" t="s">
        <v>2059</v>
      </c>
      <c r="AD146" s="35" t="s">
        <v>1390</v>
      </c>
    </row>
    <row r="147" spans="1:30">
      <c r="A147" s="35" t="s">
        <v>2086</v>
      </c>
      <c r="B147" s="35" t="s">
        <v>2087</v>
      </c>
      <c r="C147" s="35" t="s">
        <v>2052</v>
      </c>
      <c r="D147" s="35" t="s">
        <v>2141</v>
      </c>
      <c r="E147" s="35" t="s">
        <v>2142</v>
      </c>
      <c r="F147" s="35" t="s">
        <v>1346</v>
      </c>
      <c r="G147" s="36" t="s">
        <v>2340</v>
      </c>
      <c r="H147" s="35" t="s">
        <v>86</v>
      </c>
      <c r="I147" s="35" t="s">
        <v>85</v>
      </c>
      <c r="J147" s="35" t="s">
        <v>88</v>
      </c>
      <c r="K147" s="35" t="s">
        <v>88</v>
      </c>
      <c r="L147" s="35">
        <v>38</v>
      </c>
      <c r="M147" s="35" t="s">
        <v>87</v>
      </c>
      <c r="N147" s="35" t="s">
        <v>87</v>
      </c>
      <c r="O147" s="35" t="s">
        <v>88</v>
      </c>
      <c r="P147" s="35">
        <v>40164</v>
      </c>
      <c r="Q147" s="35">
        <v>1607</v>
      </c>
      <c r="R147" s="35">
        <v>0</v>
      </c>
      <c r="S147" s="35">
        <v>1205</v>
      </c>
      <c r="T147" s="35">
        <v>803</v>
      </c>
      <c r="U147" s="35">
        <v>0</v>
      </c>
      <c r="V147" s="35">
        <v>0</v>
      </c>
      <c r="W147" s="35">
        <v>0</v>
      </c>
      <c r="X147" s="35" t="s">
        <v>2057</v>
      </c>
      <c r="Y147" s="35" t="s">
        <v>2058</v>
      </c>
      <c r="AA147" s="35">
        <v>0</v>
      </c>
      <c r="AB147" s="35" t="s">
        <v>2141</v>
      </c>
      <c r="AC147" s="35" t="s">
        <v>2059</v>
      </c>
      <c r="AD147" s="35" t="s">
        <v>510</v>
      </c>
    </row>
    <row r="148" spans="1:30">
      <c r="A148" s="35" t="s">
        <v>2076</v>
      </c>
      <c r="B148" s="35" t="s">
        <v>2077</v>
      </c>
      <c r="C148" s="35" t="s">
        <v>2052</v>
      </c>
      <c r="D148" s="35" t="s">
        <v>2062</v>
      </c>
      <c r="E148" s="35" t="s">
        <v>2063</v>
      </c>
      <c r="F148" s="35" t="s">
        <v>2341</v>
      </c>
      <c r="G148" s="36" t="s">
        <v>2342</v>
      </c>
      <c r="H148" s="35" t="s">
        <v>91</v>
      </c>
      <c r="I148" s="35" t="s">
        <v>85</v>
      </c>
      <c r="J148" s="35" t="s">
        <v>88</v>
      </c>
      <c r="K148" s="35" t="s">
        <v>88</v>
      </c>
      <c r="L148" s="35">
        <v>29</v>
      </c>
      <c r="M148" s="35" t="s">
        <v>87</v>
      </c>
      <c r="N148" s="35" t="s">
        <v>87</v>
      </c>
      <c r="O148" s="35" t="s">
        <v>88</v>
      </c>
      <c r="P148" s="35">
        <v>30788</v>
      </c>
      <c r="Q148" s="35">
        <v>1232</v>
      </c>
      <c r="R148" s="35">
        <v>0</v>
      </c>
      <c r="S148" s="35">
        <v>924</v>
      </c>
      <c r="T148" s="35">
        <v>616</v>
      </c>
      <c r="U148" s="35">
        <v>0</v>
      </c>
      <c r="V148" s="35">
        <v>0</v>
      </c>
      <c r="W148" s="35">
        <v>0</v>
      </c>
      <c r="X148" s="35" t="s">
        <v>2057</v>
      </c>
      <c r="Y148" s="35" t="s">
        <v>2058</v>
      </c>
      <c r="AA148" s="35">
        <v>0</v>
      </c>
      <c r="AB148" s="35" t="s">
        <v>2062</v>
      </c>
      <c r="AC148" s="35" t="s">
        <v>2059</v>
      </c>
      <c r="AD148" s="35" t="s">
        <v>596</v>
      </c>
    </row>
    <row r="149" spans="1:30">
      <c r="A149" s="35" t="s">
        <v>2060</v>
      </c>
      <c r="B149" s="35" t="s">
        <v>2061</v>
      </c>
      <c r="C149" s="35" t="s">
        <v>2052</v>
      </c>
      <c r="D149" s="35" t="s">
        <v>2062</v>
      </c>
      <c r="E149" s="35" t="s">
        <v>2063</v>
      </c>
      <c r="F149" s="35" t="s">
        <v>2343</v>
      </c>
      <c r="G149" s="36" t="s">
        <v>2344</v>
      </c>
      <c r="H149" s="35" t="s">
        <v>86</v>
      </c>
      <c r="I149" s="35" t="s">
        <v>85</v>
      </c>
      <c r="J149" s="35" t="s">
        <v>88</v>
      </c>
      <c r="K149" s="35" t="s">
        <v>88</v>
      </c>
      <c r="L149" s="35">
        <v>56</v>
      </c>
      <c r="M149" s="35" t="s">
        <v>87</v>
      </c>
      <c r="N149" s="35" t="s">
        <v>87</v>
      </c>
      <c r="O149" s="35" t="s">
        <v>88</v>
      </c>
      <c r="P149" s="35">
        <v>31893</v>
      </c>
      <c r="Q149" s="35">
        <v>1276</v>
      </c>
      <c r="R149" s="35">
        <v>0</v>
      </c>
      <c r="S149" s="35">
        <v>957</v>
      </c>
      <c r="T149" s="35">
        <v>638</v>
      </c>
      <c r="U149" s="35">
        <v>0</v>
      </c>
      <c r="V149" s="35">
        <v>0</v>
      </c>
      <c r="W149" s="35">
        <v>0</v>
      </c>
      <c r="X149" s="35" t="s">
        <v>2057</v>
      </c>
      <c r="Y149" s="35" t="s">
        <v>2058</v>
      </c>
      <c r="AA149" s="35">
        <v>0</v>
      </c>
      <c r="AB149" s="35" t="s">
        <v>2062</v>
      </c>
      <c r="AC149" s="35" t="s">
        <v>2059</v>
      </c>
      <c r="AD149" s="35" t="s">
        <v>1025</v>
      </c>
    </row>
    <row r="150" spans="1:30">
      <c r="A150" s="35" t="s">
        <v>2076</v>
      </c>
      <c r="B150" s="35" t="s">
        <v>2077</v>
      </c>
      <c r="C150" s="35" t="s">
        <v>2052</v>
      </c>
      <c r="D150" s="35" t="s">
        <v>2082</v>
      </c>
      <c r="E150" s="35" t="s">
        <v>2083</v>
      </c>
      <c r="F150" s="35" t="s">
        <v>968</v>
      </c>
      <c r="G150" s="36" t="s">
        <v>2345</v>
      </c>
      <c r="H150" s="35" t="s">
        <v>86</v>
      </c>
      <c r="I150" s="35" t="s">
        <v>85</v>
      </c>
      <c r="J150" s="35" t="s">
        <v>88</v>
      </c>
      <c r="K150" s="35" t="s">
        <v>88</v>
      </c>
      <c r="L150" s="35">
        <v>27</v>
      </c>
      <c r="M150" s="35" t="s">
        <v>87</v>
      </c>
      <c r="N150" s="35" t="s">
        <v>87</v>
      </c>
      <c r="O150" s="35" t="s">
        <v>88</v>
      </c>
      <c r="P150" s="35">
        <v>37168</v>
      </c>
      <c r="Q150" s="35">
        <v>1487</v>
      </c>
      <c r="R150" s="35">
        <v>0</v>
      </c>
      <c r="S150" s="35">
        <v>1115</v>
      </c>
      <c r="T150" s="35">
        <v>743</v>
      </c>
      <c r="U150" s="35">
        <v>0</v>
      </c>
      <c r="V150" s="35">
        <v>0</v>
      </c>
      <c r="W150" s="35">
        <v>0</v>
      </c>
      <c r="X150" s="35" t="s">
        <v>2057</v>
      </c>
      <c r="Y150" s="35" t="s">
        <v>2058</v>
      </c>
      <c r="AA150" s="35">
        <v>0</v>
      </c>
      <c r="AB150" s="35" t="s">
        <v>2082</v>
      </c>
      <c r="AC150" s="35" t="s">
        <v>2059</v>
      </c>
      <c r="AD150" s="35" t="s">
        <v>552</v>
      </c>
    </row>
    <row r="151" spans="1:30">
      <c r="A151" s="35" t="s">
        <v>2086</v>
      </c>
      <c r="B151" s="35" t="s">
        <v>2087</v>
      </c>
      <c r="C151" s="35" t="s">
        <v>2052</v>
      </c>
      <c r="D151" s="35" t="s">
        <v>2062</v>
      </c>
      <c r="E151" s="35" t="s">
        <v>2063</v>
      </c>
      <c r="F151" s="35" t="s">
        <v>2346</v>
      </c>
      <c r="G151" s="36" t="s">
        <v>2347</v>
      </c>
      <c r="H151" s="35" t="s">
        <v>86</v>
      </c>
      <c r="I151" s="35" t="s">
        <v>85</v>
      </c>
      <c r="J151" s="35" t="s">
        <v>88</v>
      </c>
      <c r="K151" s="35" t="s">
        <v>88</v>
      </c>
      <c r="L151" s="35">
        <v>37</v>
      </c>
      <c r="M151" s="35" t="s">
        <v>87</v>
      </c>
      <c r="N151" s="35" t="s">
        <v>87</v>
      </c>
      <c r="O151" s="35" t="s">
        <v>88</v>
      </c>
      <c r="P151" s="35">
        <v>33440</v>
      </c>
      <c r="Q151" s="35">
        <v>1338</v>
      </c>
      <c r="R151" s="35">
        <v>0</v>
      </c>
      <c r="S151" s="35">
        <v>1003</v>
      </c>
      <c r="T151" s="35">
        <v>669</v>
      </c>
      <c r="U151" s="35">
        <v>0</v>
      </c>
      <c r="V151" s="35">
        <v>0</v>
      </c>
      <c r="W151" s="35">
        <v>0</v>
      </c>
      <c r="X151" s="35" t="s">
        <v>2057</v>
      </c>
      <c r="Y151" s="35" t="s">
        <v>2058</v>
      </c>
      <c r="AA151" s="35">
        <v>0</v>
      </c>
      <c r="AB151" s="35" t="s">
        <v>2062</v>
      </c>
      <c r="AC151" s="35" t="s">
        <v>2059</v>
      </c>
      <c r="AD151" s="35" t="s">
        <v>494</v>
      </c>
    </row>
    <row r="152" spans="1:30">
      <c r="A152" s="35" t="s">
        <v>2072</v>
      </c>
      <c r="B152" s="35" t="s">
        <v>2073</v>
      </c>
      <c r="C152" s="35" t="s">
        <v>2052</v>
      </c>
      <c r="D152" s="35" t="s">
        <v>2132</v>
      </c>
      <c r="E152" s="35" t="s">
        <v>2133</v>
      </c>
      <c r="F152" s="35" t="s">
        <v>2348</v>
      </c>
      <c r="G152" s="36" t="s">
        <v>2349</v>
      </c>
      <c r="H152" s="35" t="s">
        <v>91</v>
      </c>
      <c r="I152" s="35" t="s">
        <v>85</v>
      </c>
      <c r="J152" s="35" t="s">
        <v>87</v>
      </c>
      <c r="K152" s="35" t="s">
        <v>88</v>
      </c>
      <c r="L152" s="35">
        <v>55</v>
      </c>
      <c r="M152" s="35" t="s">
        <v>87</v>
      </c>
      <c r="N152" s="35" t="s">
        <v>87</v>
      </c>
      <c r="O152" s="35" t="s">
        <v>88</v>
      </c>
      <c r="P152" s="35">
        <v>33085</v>
      </c>
      <c r="Q152" s="35">
        <v>1323</v>
      </c>
      <c r="R152" s="35">
        <v>1654</v>
      </c>
      <c r="S152" s="35">
        <v>993</v>
      </c>
      <c r="T152" s="35">
        <v>662</v>
      </c>
      <c r="U152" s="35">
        <v>1985</v>
      </c>
      <c r="V152" s="35">
        <v>8271</v>
      </c>
      <c r="W152" s="35">
        <v>0</v>
      </c>
      <c r="X152" s="35" t="s">
        <v>2057</v>
      </c>
      <c r="Y152" s="35" t="s">
        <v>2058</v>
      </c>
      <c r="AA152" s="35">
        <v>640</v>
      </c>
      <c r="AB152" s="35" t="s">
        <v>2132</v>
      </c>
      <c r="AC152" s="35" t="s">
        <v>2059</v>
      </c>
      <c r="AD152" s="35" t="s">
        <v>986</v>
      </c>
    </row>
    <row r="153" spans="1:30">
      <c r="A153" s="35" t="s">
        <v>2050</v>
      </c>
      <c r="B153" s="35" t="s">
        <v>2051</v>
      </c>
      <c r="C153" s="35" t="s">
        <v>2052</v>
      </c>
      <c r="D153" s="35" t="s">
        <v>2078</v>
      </c>
      <c r="E153" s="35" t="s">
        <v>2079</v>
      </c>
      <c r="F153" s="35" t="s">
        <v>1670</v>
      </c>
      <c r="G153" s="36" t="s">
        <v>2350</v>
      </c>
      <c r="H153" s="35" t="s">
        <v>91</v>
      </c>
      <c r="I153" s="35" t="s">
        <v>85</v>
      </c>
      <c r="J153" s="35" t="s">
        <v>88</v>
      </c>
      <c r="K153" s="35" t="s">
        <v>88</v>
      </c>
      <c r="L153" s="35">
        <v>29</v>
      </c>
      <c r="M153" s="35" t="s">
        <v>88</v>
      </c>
      <c r="N153" s="35" t="s">
        <v>87</v>
      </c>
      <c r="O153" s="35" t="s">
        <v>87</v>
      </c>
      <c r="P153" s="35">
        <v>27382</v>
      </c>
      <c r="Q153" s="35">
        <v>1095</v>
      </c>
      <c r="R153" s="35">
        <v>1369</v>
      </c>
      <c r="S153" s="35">
        <v>821</v>
      </c>
      <c r="T153" s="35">
        <v>548</v>
      </c>
      <c r="U153" s="35">
        <v>1643</v>
      </c>
      <c r="V153" s="35">
        <v>6846</v>
      </c>
      <c r="W153" s="35">
        <v>0</v>
      </c>
      <c r="X153" s="35" t="s">
        <v>2057</v>
      </c>
      <c r="Y153" s="35" t="s">
        <v>2058</v>
      </c>
      <c r="AA153" s="35">
        <v>480</v>
      </c>
      <c r="AB153" s="35" t="s">
        <v>2078</v>
      </c>
      <c r="AC153" s="35" t="s">
        <v>2059</v>
      </c>
    </row>
    <row r="154" spans="1:30">
      <c r="A154" s="35" t="s">
        <v>2060</v>
      </c>
      <c r="B154" s="35" t="s">
        <v>2061</v>
      </c>
      <c r="C154" s="35" t="s">
        <v>2052</v>
      </c>
      <c r="D154" s="35" t="s">
        <v>2132</v>
      </c>
      <c r="E154" s="35" t="s">
        <v>2133</v>
      </c>
      <c r="F154" s="35" t="s">
        <v>2351</v>
      </c>
      <c r="G154" s="36" t="s">
        <v>2352</v>
      </c>
      <c r="H154" s="35" t="s">
        <v>91</v>
      </c>
      <c r="I154" s="35" t="s">
        <v>85</v>
      </c>
      <c r="J154" s="35" t="s">
        <v>88</v>
      </c>
      <c r="K154" s="35" t="s">
        <v>88</v>
      </c>
      <c r="L154" s="35">
        <v>58</v>
      </c>
      <c r="M154" s="35" t="s">
        <v>87</v>
      </c>
      <c r="N154" s="35" t="s">
        <v>87</v>
      </c>
      <c r="O154" s="35" t="s">
        <v>88</v>
      </c>
      <c r="P154" s="35">
        <v>43081</v>
      </c>
      <c r="Q154" s="35">
        <v>1723</v>
      </c>
      <c r="R154" s="35">
        <v>0</v>
      </c>
      <c r="S154" s="35">
        <v>1292</v>
      </c>
      <c r="T154" s="35">
        <v>862</v>
      </c>
      <c r="U154" s="35">
        <v>0</v>
      </c>
      <c r="V154" s="35">
        <v>0</v>
      </c>
      <c r="W154" s="35">
        <v>0</v>
      </c>
      <c r="X154" s="35" t="s">
        <v>2057</v>
      </c>
      <c r="Y154" s="35" t="s">
        <v>2058</v>
      </c>
      <c r="AA154" s="35">
        <v>0</v>
      </c>
      <c r="AB154" s="35" t="s">
        <v>2132</v>
      </c>
      <c r="AC154" s="35" t="s">
        <v>2059</v>
      </c>
      <c r="AD154" s="35" t="s">
        <v>1994</v>
      </c>
    </row>
    <row r="155" spans="1:30">
      <c r="A155" s="35" t="s">
        <v>2072</v>
      </c>
      <c r="B155" s="35" t="s">
        <v>2073</v>
      </c>
      <c r="C155" s="35" t="s">
        <v>2052</v>
      </c>
      <c r="D155" s="35" t="s">
        <v>2068</v>
      </c>
      <c r="E155" s="35" t="s">
        <v>2069</v>
      </c>
      <c r="F155" s="35" t="s">
        <v>2353</v>
      </c>
      <c r="G155" s="36" t="s">
        <v>2354</v>
      </c>
      <c r="H155" s="35" t="s">
        <v>91</v>
      </c>
      <c r="I155" s="35" t="s">
        <v>85</v>
      </c>
      <c r="J155" s="35" t="s">
        <v>88</v>
      </c>
      <c r="K155" s="35" t="s">
        <v>88</v>
      </c>
      <c r="L155" s="35">
        <v>47</v>
      </c>
      <c r="M155" s="35" t="s">
        <v>87</v>
      </c>
      <c r="N155" s="35" t="s">
        <v>87</v>
      </c>
      <c r="O155" s="35" t="s">
        <v>88</v>
      </c>
      <c r="P155" s="35">
        <v>35824</v>
      </c>
      <c r="Q155" s="35">
        <v>1433</v>
      </c>
      <c r="R155" s="35">
        <v>1791</v>
      </c>
      <c r="S155" s="35">
        <v>1075</v>
      </c>
      <c r="T155" s="35">
        <v>716</v>
      </c>
      <c r="U155" s="35">
        <v>2149</v>
      </c>
      <c r="V155" s="35">
        <v>8956</v>
      </c>
      <c r="W155" s="35">
        <v>0</v>
      </c>
      <c r="X155" s="35" t="s">
        <v>2057</v>
      </c>
      <c r="Y155" s="35" t="s">
        <v>2058</v>
      </c>
      <c r="AA155" s="35">
        <v>1200</v>
      </c>
      <c r="AB155" s="35" t="s">
        <v>2068</v>
      </c>
      <c r="AC155" s="35" t="s">
        <v>2059</v>
      </c>
      <c r="AD155" s="35" t="s">
        <v>982</v>
      </c>
    </row>
    <row r="156" spans="1:30">
      <c r="A156" s="35" t="s">
        <v>2086</v>
      </c>
      <c r="B156" s="35" t="s">
        <v>2087</v>
      </c>
      <c r="C156" s="35" t="s">
        <v>2052</v>
      </c>
      <c r="D156" s="35" t="s">
        <v>2141</v>
      </c>
      <c r="E156" s="35" t="s">
        <v>2142</v>
      </c>
      <c r="F156" s="35" t="s">
        <v>2355</v>
      </c>
      <c r="G156" s="36" t="s">
        <v>2356</v>
      </c>
      <c r="H156" s="35" t="s">
        <v>86</v>
      </c>
      <c r="I156" s="35" t="s">
        <v>85</v>
      </c>
      <c r="J156" s="35" t="s">
        <v>88</v>
      </c>
      <c r="K156" s="35" t="s">
        <v>88</v>
      </c>
      <c r="L156" s="35">
        <v>57</v>
      </c>
      <c r="M156" s="35" t="s">
        <v>87</v>
      </c>
      <c r="N156" s="35" t="s">
        <v>87</v>
      </c>
      <c r="O156" s="35" t="s">
        <v>88</v>
      </c>
      <c r="P156" s="35">
        <v>38636</v>
      </c>
      <c r="Q156" s="35">
        <v>1545</v>
      </c>
      <c r="R156" s="35">
        <v>0</v>
      </c>
      <c r="S156" s="35">
        <v>1159</v>
      </c>
      <c r="T156" s="35">
        <v>773</v>
      </c>
      <c r="U156" s="35">
        <v>0</v>
      </c>
      <c r="V156" s="35">
        <v>0</v>
      </c>
      <c r="W156" s="35">
        <v>0</v>
      </c>
      <c r="X156" s="35" t="s">
        <v>2057</v>
      </c>
      <c r="Y156" s="35" t="s">
        <v>2058</v>
      </c>
      <c r="AA156" s="35">
        <v>0</v>
      </c>
      <c r="AB156" s="35" t="s">
        <v>2141</v>
      </c>
      <c r="AC156" s="35" t="s">
        <v>2059</v>
      </c>
      <c r="AD156" s="35" t="s">
        <v>458</v>
      </c>
    </row>
    <row r="157" spans="1:30">
      <c r="A157" s="35" t="s">
        <v>2050</v>
      </c>
      <c r="B157" s="35" t="s">
        <v>2051</v>
      </c>
      <c r="C157" s="35" t="s">
        <v>2052</v>
      </c>
      <c r="D157" s="35" t="s">
        <v>2107</v>
      </c>
      <c r="E157" s="35" t="s">
        <v>2108</v>
      </c>
      <c r="F157" s="35" t="s">
        <v>830</v>
      </c>
      <c r="G157" s="36" t="s">
        <v>2357</v>
      </c>
      <c r="H157" s="35" t="s">
        <v>91</v>
      </c>
      <c r="I157" s="35" t="s">
        <v>123</v>
      </c>
      <c r="J157" s="35" t="s">
        <v>88</v>
      </c>
      <c r="K157" s="35" t="s">
        <v>88</v>
      </c>
      <c r="L157" s="35">
        <v>25</v>
      </c>
      <c r="M157" s="35" t="s">
        <v>88</v>
      </c>
      <c r="N157" s="35" t="s">
        <v>87</v>
      </c>
      <c r="O157" s="35" t="s">
        <v>87</v>
      </c>
      <c r="P157" s="35">
        <v>26894</v>
      </c>
      <c r="Q157" s="35">
        <v>1076</v>
      </c>
      <c r="R157" s="35">
        <v>1345</v>
      </c>
      <c r="S157" s="35">
        <v>807</v>
      </c>
      <c r="T157" s="35">
        <v>538</v>
      </c>
      <c r="U157" s="35">
        <v>1614</v>
      </c>
      <c r="V157" s="35">
        <v>6724</v>
      </c>
      <c r="W157" s="35">
        <v>0</v>
      </c>
      <c r="X157" s="35" t="s">
        <v>2057</v>
      </c>
      <c r="Y157" s="35" t="s">
        <v>2058</v>
      </c>
      <c r="AA157" s="35">
        <v>320</v>
      </c>
      <c r="AB157" s="35" t="s">
        <v>2107</v>
      </c>
      <c r="AC157" s="35" t="s">
        <v>2059</v>
      </c>
    </row>
    <row r="158" spans="1:30">
      <c r="A158" s="35" t="s">
        <v>2050</v>
      </c>
      <c r="B158" s="35" t="s">
        <v>2051</v>
      </c>
      <c r="C158" s="35" t="s">
        <v>2052</v>
      </c>
      <c r="D158" s="35" t="s">
        <v>2107</v>
      </c>
      <c r="E158" s="35" t="s">
        <v>2108</v>
      </c>
      <c r="F158" s="35" t="s">
        <v>1394</v>
      </c>
      <c r="G158" s="36" t="s">
        <v>2358</v>
      </c>
      <c r="H158" s="35" t="s">
        <v>91</v>
      </c>
      <c r="I158" s="35" t="s">
        <v>85</v>
      </c>
      <c r="J158" s="35" t="s">
        <v>88</v>
      </c>
      <c r="K158" s="35" t="s">
        <v>88</v>
      </c>
      <c r="L158" s="35">
        <v>36</v>
      </c>
      <c r="M158" s="35" t="s">
        <v>87</v>
      </c>
      <c r="N158" s="35" t="s">
        <v>87</v>
      </c>
      <c r="O158" s="35" t="s">
        <v>88</v>
      </c>
      <c r="P158" s="35">
        <v>30949</v>
      </c>
      <c r="Q158" s="35">
        <v>1238</v>
      </c>
      <c r="R158" s="35">
        <v>1547</v>
      </c>
      <c r="S158" s="35">
        <v>928</v>
      </c>
      <c r="T158" s="35">
        <v>619</v>
      </c>
      <c r="U158" s="35">
        <v>1857</v>
      </c>
      <c r="V158" s="35">
        <v>7737</v>
      </c>
      <c r="W158" s="35">
        <v>0</v>
      </c>
      <c r="X158" s="35" t="s">
        <v>2057</v>
      </c>
      <c r="Y158" s="35" t="s">
        <v>2058</v>
      </c>
      <c r="AA158" s="35">
        <v>480</v>
      </c>
      <c r="AB158" s="35" t="s">
        <v>2107</v>
      </c>
      <c r="AC158" s="35" t="s">
        <v>2059</v>
      </c>
      <c r="AD158" s="35" t="s">
        <v>1950</v>
      </c>
    </row>
    <row r="159" spans="1:30">
      <c r="A159" s="35" t="s">
        <v>2090</v>
      </c>
      <c r="B159" s="35" t="s">
        <v>2091</v>
      </c>
      <c r="C159" s="35" t="s">
        <v>2052</v>
      </c>
      <c r="D159" s="35" t="s">
        <v>2132</v>
      </c>
      <c r="E159" s="35" t="s">
        <v>2133</v>
      </c>
      <c r="F159" s="35" t="s">
        <v>2359</v>
      </c>
      <c r="G159" s="36" t="s">
        <v>2360</v>
      </c>
      <c r="H159" s="35" t="s">
        <v>86</v>
      </c>
      <c r="I159" s="35" t="s">
        <v>85</v>
      </c>
      <c r="J159" s="35" t="s">
        <v>88</v>
      </c>
      <c r="K159" s="35" t="s">
        <v>88</v>
      </c>
      <c r="L159" s="35">
        <v>30</v>
      </c>
      <c r="M159" s="35" t="s">
        <v>87</v>
      </c>
      <c r="N159" s="35" t="s">
        <v>87</v>
      </c>
      <c r="O159" s="35" t="s">
        <v>88</v>
      </c>
      <c r="P159" s="35">
        <v>30954</v>
      </c>
      <c r="Q159" s="35">
        <v>1238</v>
      </c>
      <c r="R159" s="35">
        <v>0</v>
      </c>
      <c r="S159" s="35">
        <v>929</v>
      </c>
      <c r="T159" s="35">
        <v>619</v>
      </c>
      <c r="U159" s="35">
        <v>1857</v>
      </c>
      <c r="V159" s="35">
        <v>7738</v>
      </c>
      <c r="W159" s="35">
        <v>0</v>
      </c>
      <c r="X159" s="35" t="s">
        <v>2057</v>
      </c>
      <c r="Y159" s="35" t="s">
        <v>2058</v>
      </c>
      <c r="AA159" s="35">
        <v>480</v>
      </c>
      <c r="AB159" s="35" t="s">
        <v>2132</v>
      </c>
      <c r="AC159" s="35" t="s">
        <v>2059</v>
      </c>
      <c r="AD159" s="35" t="s">
        <v>225</v>
      </c>
    </row>
    <row r="160" spans="1:30">
      <c r="A160" s="35" t="s">
        <v>2050</v>
      </c>
      <c r="B160" s="35" t="s">
        <v>2051</v>
      </c>
      <c r="C160" s="35" t="s">
        <v>2052</v>
      </c>
      <c r="D160" s="35" t="s">
        <v>2132</v>
      </c>
      <c r="E160" s="35" t="s">
        <v>2133</v>
      </c>
      <c r="F160" s="35" t="s">
        <v>2361</v>
      </c>
      <c r="G160" s="36" t="s">
        <v>2362</v>
      </c>
      <c r="H160" s="35" t="s">
        <v>91</v>
      </c>
      <c r="I160" s="35" t="s">
        <v>85</v>
      </c>
      <c r="J160" s="35" t="s">
        <v>88</v>
      </c>
      <c r="K160" s="35" t="s">
        <v>88</v>
      </c>
      <c r="L160" s="35">
        <v>33</v>
      </c>
      <c r="M160" s="35" t="s">
        <v>88</v>
      </c>
      <c r="N160" s="35" t="s">
        <v>87</v>
      </c>
      <c r="O160" s="35" t="s">
        <v>88</v>
      </c>
      <c r="P160" s="35">
        <v>30422</v>
      </c>
      <c r="Q160" s="35">
        <v>1217</v>
      </c>
      <c r="R160" s="35">
        <v>1521</v>
      </c>
      <c r="S160" s="35">
        <v>913</v>
      </c>
      <c r="T160" s="35">
        <v>608</v>
      </c>
      <c r="U160" s="35">
        <v>1825</v>
      </c>
      <c r="V160" s="35">
        <v>7606</v>
      </c>
      <c r="W160" s="35">
        <v>0</v>
      </c>
      <c r="X160" s="35" t="s">
        <v>2057</v>
      </c>
      <c r="Y160" s="35" t="s">
        <v>2058</v>
      </c>
      <c r="AA160" s="35">
        <v>960</v>
      </c>
      <c r="AB160" s="35" t="s">
        <v>2132</v>
      </c>
      <c r="AC160" s="35" t="s">
        <v>2059</v>
      </c>
    </row>
    <row r="161" spans="1:30">
      <c r="A161" s="35" t="s">
        <v>2066</v>
      </c>
      <c r="B161" s="35" t="s">
        <v>2067</v>
      </c>
      <c r="C161" s="35" t="s">
        <v>2052</v>
      </c>
      <c r="D161" s="35" t="s">
        <v>2068</v>
      </c>
      <c r="E161" s="35" t="s">
        <v>2069</v>
      </c>
      <c r="F161" s="35" t="s">
        <v>2363</v>
      </c>
      <c r="G161" s="36" t="s">
        <v>2364</v>
      </c>
      <c r="H161" s="35" t="s">
        <v>91</v>
      </c>
      <c r="I161" s="35" t="s">
        <v>85</v>
      </c>
      <c r="J161" s="35" t="s">
        <v>88</v>
      </c>
      <c r="K161" s="35" t="s">
        <v>88</v>
      </c>
      <c r="L161" s="35">
        <v>27</v>
      </c>
      <c r="M161" s="35" t="s">
        <v>87</v>
      </c>
      <c r="N161" s="35" t="s">
        <v>87</v>
      </c>
      <c r="O161" s="35" t="s">
        <v>88</v>
      </c>
      <c r="P161" s="35">
        <v>41647</v>
      </c>
      <c r="Q161" s="35">
        <v>1666</v>
      </c>
      <c r="R161" s="35">
        <v>0</v>
      </c>
      <c r="S161" s="35">
        <v>1249</v>
      </c>
      <c r="T161" s="35">
        <v>833</v>
      </c>
      <c r="U161" s="35">
        <v>0</v>
      </c>
      <c r="V161" s="35">
        <v>0</v>
      </c>
      <c r="W161" s="35">
        <v>0</v>
      </c>
      <c r="X161" s="35" t="s">
        <v>2057</v>
      </c>
      <c r="Y161" s="35" t="s">
        <v>2058</v>
      </c>
      <c r="AA161" s="35">
        <v>0</v>
      </c>
      <c r="AB161" s="35" t="s">
        <v>2068</v>
      </c>
      <c r="AC161" s="35" t="s">
        <v>2059</v>
      </c>
      <c r="AD161" s="35" t="s">
        <v>506</v>
      </c>
    </row>
    <row r="162" spans="1:30">
      <c r="A162" s="35" t="s">
        <v>2060</v>
      </c>
      <c r="B162" s="35" t="s">
        <v>2061</v>
      </c>
      <c r="C162" s="35" t="s">
        <v>2052</v>
      </c>
      <c r="D162" s="35" t="s">
        <v>2078</v>
      </c>
      <c r="E162" s="35" t="s">
        <v>2079</v>
      </c>
      <c r="F162" s="35" t="s">
        <v>2365</v>
      </c>
      <c r="G162" s="36" t="s">
        <v>2366</v>
      </c>
      <c r="H162" s="35" t="s">
        <v>91</v>
      </c>
      <c r="I162" s="35" t="s">
        <v>123</v>
      </c>
      <c r="J162" s="35" t="s">
        <v>88</v>
      </c>
      <c r="K162" s="35" t="s">
        <v>88</v>
      </c>
      <c r="L162" s="35">
        <v>56</v>
      </c>
      <c r="M162" s="35" t="s">
        <v>87</v>
      </c>
      <c r="N162" s="35" t="s">
        <v>87</v>
      </c>
      <c r="O162" s="35" t="s">
        <v>88</v>
      </c>
      <c r="P162" s="35">
        <v>37917</v>
      </c>
      <c r="Q162" s="35">
        <v>1517</v>
      </c>
      <c r="R162" s="35">
        <v>0</v>
      </c>
      <c r="S162" s="35">
        <v>1138</v>
      </c>
      <c r="T162" s="35">
        <v>758</v>
      </c>
      <c r="U162" s="35">
        <v>0</v>
      </c>
      <c r="V162" s="35">
        <v>0</v>
      </c>
      <c r="W162" s="35">
        <v>0</v>
      </c>
      <c r="X162" s="35" t="s">
        <v>2057</v>
      </c>
      <c r="Y162" s="35" t="s">
        <v>2058</v>
      </c>
      <c r="AA162" s="35">
        <v>0</v>
      </c>
      <c r="AB162" s="35" t="s">
        <v>2078</v>
      </c>
      <c r="AC162" s="35" t="s">
        <v>2059</v>
      </c>
      <c r="AD162" s="35" t="s">
        <v>951</v>
      </c>
    </row>
    <row r="163" spans="1:30">
      <c r="A163" s="35" t="s">
        <v>2050</v>
      </c>
      <c r="B163" s="35" t="s">
        <v>2051</v>
      </c>
      <c r="C163" s="35" t="s">
        <v>2052</v>
      </c>
      <c r="D163" s="35" t="s">
        <v>2132</v>
      </c>
      <c r="E163" s="35" t="s">
        <v>2133</v>
      </c>
      <c r="F163" s="35" t="s">
        <v>2367</v>
      </c>
      <c r="G163" s="36" t="s">
        <v>2368</v>
      </c>
      <c r="H163" s="35" t="s">
        <v>91</v>
      </c>
      <c r="I163" s="35" t="s">
        <v>123</v>
      </c>
      <c r="J163" s="35" t="s">
        <v>88</v>
      </c>
      <c r="K163" s="35" t="s">
        <v>88</v>
      </c>
      <c r="L163" s="35">
        <v>32</v>
      </c>
      <c r="M163" s="35" t="s">
        <v>88</v>
      </c>
      <c r="N163" s="35" t="s">
        <v>87</v>
      </c>
      <c r="O163" s="35" t="s">
        <v>87</v>
      </c>
      <c r="P163" s="35">
        <v>31722</v>
      </c>
      <c r="Q163" s="35">
        <v>1269</v>
      </c>
      <c r="R163" s="35">
        <v>1586</v>
      </c>
      <c r="S163" s="35">
        <v>952</v>
      </c>
      <c r="T163" s="35">
        <v>634</v>
      </c>
      <c r="U163" s="35">
        <v>1903</v>
      </c>
      <c r="V163" s="35">
        <v>7930</v>
      </c>
      <c r="W163" s="35">
        <v>0</v>
      </c>
      <c r="X163" s="35" t="s">
        <v>2057</v>
      </c>
      <c r="Y163" s="35" t="s">
        <v>2058</v>
      </c>
      <c r="AA163" s="35">
        <v>320</v>
      </c>
      <c r="AB163" s="35" t="s">
        <v>2132</v>
      </c>
      <c r="AC163" s="35" t="s">
        <v>2059</v>
      </c>
    </row>
    <row r="164" spans="1:30">
      <c r="A164" s="35" t="s">
        <v>2050</v>
      </c>
      <c r="B164" s="35" t="s">
        <v>2051</v>
      </c>
      <c r="C164" s="35" t="s">
        <v>2052</v>
      </c>
      <c r="D164" s="35" t="s">
        <v>2082</v>
      </c>
      <c r="E164" s="35" t="s">
        <v>2083</v>
      </c>
      <c r="F164" s="35" t="s">
        <v>949</v>
      </c>
      <c r="G164" s="36" t="s">
        <v>2369</v>
      </c>
      <c r="H164" s="35" t="s">
        <v>86</v>
      </c>
      <c r="I164" s="35" t="s">
        <v>123</v>
      </c>
      <c r="J164" s="35" t="s">
        <v>88</v>
      </c>
      <c r="K164" s="35" t="s">
        <v>88</v>
      </c>
      <c r="L164" s="35">
        <v>30</v>
      </c>
      <c r="M164" s="35" t="s">
        <v>88</v>
      </c>
      <c r="N164" s="35" t="s">
        <v>87</v>
      </c>
      <c r="O164" s="35" t="s">
        <v>87</v>
      </c>
      <c r="P164" s="35">
        <v>31331</v>
      </c>
      <c r="Q164" s="35">
        <v>1253</v>
      </c>
      <c r="R164" s="35">
        <v>1567</v>
      </c>
      <c r="S164" s="35">
        <v>940</v>
      </c>
      <c r="T164" s="35">
        <v>627</v>
      </c>
      <c r="U164" s="35">
        <v>1880</v>
      </c>
      <c r="V164" s="35">
        <v>7833</v>
      </c>
      <c r="W164" s="35">
        <v>0</v>
      </c>
      <c r="X164" s="35" t="s">
        <v>2057</v>
      </c>
      <c r="Y164" s="35" t="s">
        <v>2058</v>
      </c>
      <c r="AA164" s="35">
        <v>960</v>
      </c>
      <c r="AB164" s="35" t="s">
        <v>2082</v>
      </c>
      <c r="AC164" s="35" t="s">
        <v>2059</v>
      </c>
    </row>
    <row r="165" spans="1:30">
      <c r="A165" s="35" t="s">
        <v>2086</v>
      </c>
      <c r="B165" s="35" t="s">
        <v>2087</v>
      </c>
      <c r="C165" s="35" t="s">
        <v>2052</v>
      </c>
      <c r="D165" s="35" t="s">
        <v>2132</v>
      </c>
      <c r="E165" s="35" t="s">
        <v>2133</v>
      </c>
      <c r="F165" s="35" t="s">
        <v>2370</v>
      </c>
      <c r="G165" s="36" t="s">
        <v>2371</v>
      </c>
      <c r="H165" s="35" t="s">
        <v>91</v>
      </c>
      <c r="I165" s="35" t="s">
        <v>123</v>
      </c>
      <c r="J165" s="35" t="s">
        <v>88</v>
      </c>
      <c r="K165" s="35" t="s">
        <v>88</v>
      </c>
      <c r="L165" s="35">
        <v>23</v>
      </c>
      <c r="M165" s="35" t="s">
        <v>87</v>
      </c>
      <c r="N165" s="35" t="s">
        <v>87</v>
      </c>
      <c r="O165" s="35" t="s">
        <v>88</v>
      </c>
      <c r="P165" s="35">
        <v>44435</v>
      </c>
      <c r="Q165" s="35">
        <v>1777</v>
      </c>
      <c r="R165" s="35">
        <v>0</v>
      </c>
      <c r="S165" s="35">
        <v>1333</v>
      </c>
      <c r="T165" s="35">
        <v>889</v>
      </c>
      <c r="U165" s="35">
        <v>0</v>
      </c>
      <c r="V165" s="35">
        <v>0</v>
      </c>
      <c r="W165" s="35">
        <v>0</v>
      </c>
      <c r="X165" s="35" t="s">
        <v>2057</v>
      </c>
      <c r="Y165" s="35" t="s">
        <v>2058</v>
      </c>
      <c r="AA165" s="35">
        <v>0</v>
      </c>
      <c r="AB165" s="35" t="s">
        <v>2132</v>
      </c>
      <c r="AC165" s="35" t="s">
        <v>2059</v>
      </c>
      <c r="AD165" s="35" t="s">
        <v>1534</v>
      </c>
    </row>
    <row r="166" spans="1:30">
      <c r="A166" s="35" t="s">
        <v>2086</v>
      </c>
      <c r="B166" s="35" t="s">
        <v>2087</v>
      </c>
      <c r="C166" s="35" t="s">
        <v>2052</v>
      </c>
      <c r="D166" s="35" t="s">
        <v>2062</v>
      </c>
      <c r="E166" s="35" t="s">
        <v>2063</v>
      </c>
      <c r="F166" s="35" t="s">
        <v>2372</v>
      </c>
      <c r="G166" s="36" t="s">
        <v>2373</v>
      </c>
      <c r="H166" s="35" t="s">
        <v>86</v>
      </c>
      <c r="I166" s="35" t="s">
        <v>85</v>
      </c>
      <c r="J166" s="35" t="s">
        <v>88</v>
      </c>
      <c r="K166" s="35" t="s">
        <v>88</v>
      </c>
      <c r="L166" s="35">
        <v>49</v>
      </c>
      <c r="M166" s="35" t="s">
        <v>87</v>
      </c>
      <c r="N166" s="35" t="s">
        <v>87</v>
      </c>
      <c r="O166" s="35" t="s">
        <v>88</v>
      </c>
      <c r="P166" s="35">
        <v>41836</v>
      </c>
      <c r="Q166" s="35">
        <v>1673</v>
      </c>
      <c r="R166" s="35">
        <v>0</v>
      </c>
      <c r="S166" s="35">
        <v>1255</v>
      </c>
      <c r="T166" s="35">
        <v>837</v>
      </c>
      <c r="U166" s="35">
        <v>0</v>
      </c>
      <c r="V166" s="35">
        <v>0</v>
      </c>
      <c r="W166" s="35">
        <v>0</v>
      </c>
      <c r="X166" s="35" t="s">
        <v>2057</v>
      </c>
      <c r="Y166" s="35" t="s">
        <v>2058</v>
      </c>
      <c r="AA166" s="35">
        <v>0</v>
      </c>
      <c r="AB166" s="35" t="s">
        <v>2062</v>
      </c>
      <c r="AC166" s="35" t="s">
        <v>2059</v>
      </c>
      <c r="AD166" s="35" t="s">
        <v>245</v>
      </c>
    </row>
    <row r="167" spans="1:30">
      <c r="A167" s="35" t="s">
        <v>2050</v>
      </c>
      <c r="B167" s="35" t="s">
        <v>2051</v>
      </c>
      <c r="C167" s="35" t="s">
        <v>2052</v>
      </c>
      <c r="D167" s="35" t="s">
        <v>2141</v>
      </c>
      <c r="E167" s="35" t="s">
        <v>2142</v>
      </c>
      <c r="F167" s="35" t="s">
        <v>534</v>
      </c>
      <c r="G167" s="36" t="s">
        <v>2374</v>
      </c>
      <c r="H167" s="35" t="s">
        <v>86</v>
      </c>
      <c r="I167" s="35" t="s">
        <v>85</v>
      </c>
      <c r="J167" s="35" t="s">
        <v>88</v>
      </c>
      <c r="K167" s="35" t="s">
        <v>88</v>
      </c>
      <c r="L167" s="35">
        <v>29</v>
      </c>
      <c r="M167" s="35" t="s">
        <v>88</v>
      </c>
      <c r="N167" s="35" t="s">
        <v>87</v>
      </c>
      <c r="O167" s="35" t="s">
        <v>87</v>
      </c>
      <c r="P167" s="35">
        <v>28252</v>
      </c>
      <c r="Q167" s="35">
        <v>1130</v>
      </c>
      <c r="R167" s="35">
        <v>1413</v>
      </c>
      <c r="S167" s="35">
        <v>848</v>
      </c>
      <c r="T167" s="35">
        <v>565</v>
      </c>
      <c r="U167" s="35">
        <v>1695</v>
      </c>
      <c r="V167" s="35">
        <v>7063</v>
      </c>
      <c r="W167" s="35">
        <v>0</v>
      </c>
      <c r="X167" s="35" t="s">
        <v>2057</v>
      </c>
      <c r="Y167" s="35" t="s">
        <v>2058</v>
      </c>
      <c r="AA167" s="35">
        <v>960</v>
      </c>
      <c r="AB167" s="35" t="s">
        <v>2141</v>
      </c>
      <c r="AC167" s="35" t="s">
        <v>2059</v>
      </c>
    </row>
    <row r="168" spans="1:30">
      <c r="A168" s="35" t="s">
        <v>2066</v>
      </c>
      <c r="B168" s="35" t="s">
        <v>2067</v>
      </c>
      <c r="C168" s="35" t="s">
        <v>2052</v>
      </c>
      <c r="D168" s="35" t="s">
        <v>2107</v>
      </c>
      <c r="E168" s="35" t="s">
        <v>2108</v>
      </c>
      <c r="F168" s="35" t="s">
        <v>2011</v>
      </c>
      <c r="G168" s="36" t="s">
        <v>2375</v>
      </c>
      <c r="H168" s="35" t="s">
        <v>91</v>
      </c>
      <c r="I168" s="35" t="s">
        <v>85</v>
      </c>
      <c r="J168" s="35" t="s">
        <v>88</v>
      </c>
      <c r="K168" s="35" t="s">
        <v>88</v>
      </c>
      <c r="L168" s="35">
        <v>39</v>
      </c>
      <c r="M168" s="35" t="s">
        <v>87</v>
      </c>
      <c r="N168" s="35" t="s">
        <v>87</v>
      </c>
      <c r="O168" s="35" t="s">
        <v>88</v>
      </c>
      <c r="P168" s="35">
        <v>38117</v>
      </c>
      <c r="Q168" s="35">
        <v>1525</v>
      </c>
      <c r="R168" s="35">
        <v>0</v>
      </c>
      <c r="S168" s="35">
        <v>1144</v>
      </c>
      <c r="T168" s="35">
        <v>762</v>
      </c>
      <c r="U168" s="35">
        <v>0</v>
      </c>
      <c r="V168" s="35">
        <v>0</v>
      </c>
      <c r="W168" s="35">
        <v>0</v>
      </c>
      <c r="X168" s="35" t="s">
        <v>2057</v>
      </c>
      <c r="Y168" s="35" t="s">
        <v>2058</v>
      </c>
      <c r="AA168" s="35">
        <v>0</v>
      </c>
      <c r="AB168" s="35" t="s">
        <v>2107</v>
      </c>
      <c r="AC168" s="35" t="s">
        <v>2059</v>
      </c>
      <c r="AD168" s="35" t="s">
        <v>556</v>
      </c>
    </row>
    <row r="169" spans="1:30">
      <c r="A169" s="35" t="s">
        <v>2060</v>
      </c>
      <c r="B169" s="35" t="s">
        <v>2061</v>
      </c>
      <c r="C169" s="35" t="s">
        <v>2052</v>
      </c>
      <c r="D169" s="35" t="s">
        <v>2141</v>
      </c>
      <c r="E169" s="35" t="s">
        <v>2142</v>
      </c>
      <c r="F169" s="35" t="s">
        <v>2376</v>
      </c>
      <c r="G169" s="36" t="s">
        <v>2377</v>
      </c>
      <c r="H169" s="35" t="s">
        <v>86</v>
      </c>
      <c r="I169" s="35" t="s">
        <v>85</v>
      </c>
      <c r="J169" s="35" t="s">
        <v>88</v>
      </c>
      <c r="K169" s="35" t="s">
        <v>88</v>
      </c>
      <c r="L169" s="35">
        <v>47</v>
      </c>
      <c r="M169" s="35" t="s">
        <v>87</v>
      </c>
      <c r="N169" s="35" t="s">
        <v>87</v>
      </c>
      <c r="O169" s="35" t="s">
        <v>88</v>
      </c>
      <c r="P169" s="35">
        <v>34733</v>
      </c>
      <c r="Q169" s="35">
        <v>1389</v>
      </c>
      <c r="R169" s="35">
        <v>0</v>
      </c>
      <c r="S169" s="35">
        <v>1042</v>
      </c>
      <c r="T169" s="35">
        <v>695</v>
      </c>
      <c r="U169" s="35">
        <v>0</v>
      </c>
      <c r="V169" s="35">
        <v>0</v>
      </c>
      <c r="W169" s="35">
        <v>0</v>
      </c>
      <c r="X169" s="35" t="s">
        <v>2057</v>
      </c>
      <c r="Y169" s="35" t="s">
        <v>2058</v>
      </c>
      <c r="AA169" s="35">
        <v>0</v>
      </c>
      <c r="AB169" s="35" t="s">
        <v>2141</v>
      </c>
      <c r="AC169" s="35" t="s">
        <v>2059</v>
      </c>
      <c r="AD169" s="35" t="s">
        <v>1013</v>
      </c>
    </row>
    <row r="170" spans="1:30">
      <c r="A170" s="35" t="s">
        <v>2050</v>
      </c>
      <c r="B170" s="35" t="s">
        <v>2051</v>
      </c>
      <c r="C170" s="35" t="s">
        <v>2052</v>
      </c>
      <c r="D170" s="35" t="s">
        <v>2062</v>
      </c>
      <c r="E170" s="35" t="s">
        <v>2063</v>
      </c>
      <c r="F170" s="35" t="s">
        <v>1569</v>
      </c>
      <c r="G170" s="36" t="s">
        <v>2378</v>
      </c>
      <c r="H170" s="35" t="s">
        <v>91</v>
      </c>
      <c r="I170" s="35" t="s">
        <v>85</v>
      </c>
      <c r="J170" s="35" t="s">
        <v>88</v>
      </c>
      <c r="K170" s="35" t="s">
        <v>88</v>
      </c>
      <c r="L170" s="35">
        <v>27</v>
      </c>
      <c r="M170" s="35" t="s">
        <v>87</v>
      </c>
      <c r="N170" s="35" t="s">
        <v>87</v>
      </c>
      <c r="O170" s="35" t="s">
        <v>88</v>
      </c>
      <c r="P170" s="35">
        <v>34151</v>
      </c>
      <c r="Q170" s="35">
        <v>1366</v>
      </c>
      <c r="R170" s="35">
        <v>1708</v>
      </c>
      <c r="S170" s="35">
        <v>1025</v>
      </c>
      <c r="T170" s="35">
        <v>683</v>
      </c>
      <c r="U170" s="35">
        <v>2049</v>
      </c>
      <c r="V170" s="35">
        <v>8538</v>
      </c>
      <c r="W170" s="35">
        <v>0</v>
      </c>
      <c r="X170" s="35" t="s">
        <v>2057</v>
      </c>
      <c r="Y170" s="35" t="s">
        <v>2058</v>
      </c>
      <c r="AA170" s="35">
        <v>960</v>
      </c>
      <c r="AB170" s="35" t="s">
        <v>2062</v>
      </c>
      <c r="AC170" s="35" t="s">
        <v>2059</v>
      </c>
      <c r="AD170" s="35" t="s">
        <v>1863</v>
      </c>
    </row>
    <row r="171" spans="1:30">
      <c r="A171" s="35" t="s">
        <v>2090</v>
      </c>
      <c r="B171" s="35" t="s">
        <v>2091</v>
      </c>
      <c r="C171" s="35" t="s">
        <v>2052</v>
      </c>
      <c r="D171" s="35" t="s">
        <v>2062</v>
      </c>
      <c r="E171" s="35" t="s">
        <v>2063</v>
      </c>
      <c r="F171" s="35" t="s">
        <v>2379</v>
      </c>
      <c r="G171" s="36" t="s">
        <v>2380</v>
      </c>
      <c r="H171" s="35" t="s">
        <v>91</v>
      </c>
      <c r="I171" s="35" t="s">
        <v>85</v>
      </c>
      <c r="J171" s="35" t="s">
        <v>87</v>
      </c>
      <c r="K171" s="35" t="s">
        <v>88</v>
      </c>
      <c r="L171" s="35">
        <v>41</v>
      </c>
      <c r="M171" s="35" t="s">
        <v>87</v>
      </c>
      <c r="N171" s="35" t="s">
        <v>87</v>
      </c>
      <c r="O171" s="35" t="s">
        <v>88</v>
      </c>
      <c r="P171" s="35">
        <v>30592</v>
      </c>
      <c r="Q171" s="35">
        <v>1224</v>
      </c>
      <c r="R171" s="35">
        <v>0</v>
      </c>
      <c r="S171" s="35">
        <v>918</v>
      </c>
      <c r="T171" s="35">
        <v>612</v>
      </c>
      <c r="U171" s="35">
        <v>1836</v>
      </c>
      <c r="V171" s="35">
        <v>7648</v>
      </c>
      <c r="W171" s="35">
        <v>0</v>
      </c>
      <c r="X171" s="35" t="s">
        <v>2057</v>
      </c>
      <c r="Y171" s="35" t="s">
        <v>2058</v>
      </c>
      <c r="AA171" s="35">
        <v>640</v>
      </c>
      <c r="AB171" s="35" t="s">
        <v>2062</v>
      </c>
      <c r="AC171" s="35" t="s">
        <v>2059</v>
      </c>
      <c r="AD171" s="35" t="s">
        <v>155</v>
      </c>
    </row>
    <row r="172" spans="1:30">
      <c r="A172" s="35" t="s">
        <v>2086</v>
      </c>
      <c r="B172" s="35" t="s">
        <v>2087</v>
      </c>
      <c r="C172" s="35" t="s">
        <v>2052</v>
      </c>
      <c r="D172" s="35" t="s">
        <v>2053</v>
      </c>
      <c r="E172" s="35" t="s">
        <v>2054</v>
      </c>
      <c r="F172" s="35" t="s">
        <v>2381</v>
      </c>
      <c r="G172" s="36" t="s">
        <v>2382</v>
      </c>
      <c r="H172" s="35" t="s">
        <v>86</v>
      </c>
      <c r="I172" s="35" t="s">
        <v>85</v>
      </c>
      <c r="J172" s="35" t="s">
        <v>88</v>
      </c>
      <c r="K172" s="35" t="s">
        <v>88</v>
      </c>
      <c r="L172" s="35">
        <v>44</v>
      </c>
      <c r="M172" s="35" t="s">
        <v>87</v>
      </c>
      <c r="N172" s="35" t="s">
        <v>87</v>
      </c>
      <c r="O172" s="35" t="s">
        <v>88</v>
      </c>
      <c r="P172" s="35">
        <v>36246</v>
      </c>
      <c r="Q172" s="35">
        <v>1450</v>
      </c>
      <c r="R172" s="35">
        <v>0</v>
      </c>
      <c r="S172" s="35">
        <v>1087</v>
      </c>
      <c r="T172" s="35">
        <v>725</v>
      </c>
      <c r="U172" s="35">
        <v>0</v>
      </c>
      <c r="V172" s="35">
        <v>0</v>
      </c>
      <c r="W172" s="35">
        <v>0</v>
      </c>
      <c r="X172" s="35" t="s">
        <v>2057</v>
      </c>
      <c r="Y172" s="35" t="s">
        <v>2058</v>
      </c>
      <c r="AA172" s="35">
        <v>0</v>
      </c>
      <c r="AB172" s="35" t="s">
        <v>2053</v>
      </c>
      <c r="AC172" s="35" t="s">
        <v>2059</v>
      </c>
      <c r="AD172" s="35" t="s">
        <v>342</v>
      </c>
    </row>
    <row r="173" spans="1:30">
      <c r="A173" s="35" t="s">
        <v>2060</v>
      </c>
      <c r="B173" s="35" t="s">
        <v>2061</v>
      </c>
      <c r="C173" s="35" t="s">
        <v>2052</v>
      </c>
      <c r="D173" s="35" t="s">
        <v>2068</v>
      </c>
      <c r="E173" s="35" t="s">
        <v>2069</v>
      </c>
      <c r="F173" s="35" t="s">
        <v>2383</v>
      </c>
      <c r="G173" s="36" t="s">
        <v>2384</v>
      </c>
      <c r="H173" s="35" t="s">
        <v>86</v>
      </c>
      <c r="I173" s="35" t="s">
        <v>85</v>
      </c>
      <c r="J173" s="35" t="s">
        <v>88</v>
      </c>
      <c r="K173" s="35" t="s">
        <v>88</v>
      </c>
      <c r="L173" s="35">
        <v>57</v>
      </c>
      <c r="M173" s="35" t="s">
        <v>87</v>
      </c>
      <c r="N173" s="35" t="s">
        <v>87</v>
      </c>
      <c r="O173" s="35" t="s">
        <v>88</v>
      </c>
      <c r="P173" s="35">
        <v>30314</v>
      </c>
      <c r="Q173" s="35">
        <v>1213</v>
      </c>
      <c r="R173" s="35">
        <v>0</v>
      </c>
      <c r="S173" s="35">
        <v>909</v>
      </c>
      <c r="T173" s="35">
        <v>606</v>
      </c>
      <c r="U173" s="35">
        <v>0</v>
      </c>
      <c r="V173" s="35">
        <v>0</v>
      </c>
      <c r="W173" s="35">
        <v>0</v>
      </c>
      <c r="X173" s="35" t="s">
        <v>2057</v>
      </c>
      <c r="Y173" s="35" t="s">
        <v>2058</v>
      </c>
      <c r="AA173" s="35">
        <v>0</v>
      </c>
      <c r="AB173" s="35" t="s">
        <v>2068</v>
      </c>
      <c r="AC173" s="35" t="s">
        <v>2059</v>
      </c>
      <c r="AD173" s="35" t="s">
        <v>1127</v>
      </c>
    </row>
    <row r="174" spans="1:30">
      <c r="A174" s="35" t="s">
        <v>2086</v>
      </c>
      <c r="B174" s="35" t="s">
        <v>2087</v>
      </c>
      <c r="C174" s="35" t="s">
        <v>2052</v>
      </c>
      <c r="D174" s="35" t="s">
        <v>2068</v>
      </c>
      <c r="E174" s="35" t="s">
        <v>2069</v>
      </c>
      <c r="F174" s="35" t="s">
        <v>2188</v>
      </c>
      <c r="G174" s="36" t="s">
        <v>2385</v>
      </c>
      <c r="H174" s="35" t="s">
        <v>86</v>
      </c>
      <c r="I174" s="35" t="s">
        <v>85</v>
      </c>
      <c r="J174" s="35" t="s">
        <v>88</v>
      </c>
      <c r="K174" s="35" t="s">
        <v>88</v>
      </c>
      <c r="L174" s="35">
        <v>41</v>
      </c>
      <c r="M174" s="35" t="s">
        <v>87</v>
      </c>
      <c r="N174" s="35" t="s">
        <v>87</v>
      </c>
      <c r="O174" s="35" t="s">
        <v>88</v>
      </c>
      <c r="P174" s="35">
        <v>44769</v>
      </c>
      <c r="Q174" s="35">
        <v>1791</v>
      </c>
      <c r="R174" s="35">
        <v>0</v>
      </c>
      <c r="S174" s="35">
        <v>1343</v>
      </c>
      <c r="T174" s="35">
        <v>895</v>
      </c>
      <c r="U174" s="35">
        <v>0</v>
      </c>
      <c r="V174" s="35">
        <v>0</v>
      </c>
      <c r="W174" s="35">
        <v>0</v>
      </c>
      <c r="X174" s="35" t="s">
        <v>2057</v>
      </c>
      <c r="Y174" s="35" t="s">
        <v>2058</v>
      </c>
      <c r="AA174" s="35">
        <v>0</v>
      </c>
      <c r="AB174" s="35" t="s">
        <v>2068</v>
      </c>
      <c r="AC174" s="35" t="s">
        <v>2059</v>
      </c>
      <c r="AD174" s="35" t="s">
        <v>608</v>
      </c>
    </row>
    <row r="175" spans="1:30">
      <c r="A175" s="35" t="s">
        <v>2060</v>
      </c>
      <c r="B175" s="35" t="s">
        <v>2061</v>
      </c>
      <c r="C175" s="35" t="s">
        <v>2052</v>
      </c>
      <c r="D175" s="35" t="s">
        <v>2078</v>
      </c>
      <c r="E175" s="35" t="s">
        <v>2079</v>
      </c>
      <c r="F175" s="35" t="s">
        <v>2386</v>
      </c>
      <c r="G175" s="36" t="s">
        <v>2387</v>
      </c>
      <c r="H175" s="35" t="s">
        <v>91</v>
      </c>
      <c r="I175" s="35" t="s">
        <v>85</v>
      </c>
      <c r="J175" s="35" t="s">
        <v>88</v>
      </c>
      <c r="K175" s="35" t="s">
        <v>88</v>
      </c>
      <c r="L175" s="35">
        <v>52</v>
      </c>
      <c r="M175" s="35" t="s">
        <v>87</v>
      </c>
      <c r="N175" s="35" t="s">
        <v>87</v>
      </c>
      <c r="O175" s="35" t="s">
        <v>88</v>
      </c>
      <c r="P175" s="35">
        <v>44015</v>
      </c>
      <c r="Q175" s="35">
        <v>1761</v>
      </c>
      <c r="R175" s="35">
        <v>0</v>
      </c>
      <c r="S175" s="35">
        <v>1320</v>
      </c>
      <c r="T175" s="35">
        <v>880</v>
      </c>
      <c r="U175" s="35">
        <v>0</v>
      </c>
      <c r="V175" s="35">
        <v>0</v>
      </c>
      <c r="W175" s="35">
        <v>0</v>
      </c>
      <c r="X175" s="35" t="s">
        <v>2057</v>
      </c>
      <c r="Y175" s="35" t="s">
        <v>2058</v>
      </c>
      <c r="AA175" s="35">
        <v>0</v>
      </c>
      <c r="AB175" s="35" t="s">
        <v>2078</v>
      </c>
      <c r="AC175" s="35" t="s">
        <v>2059</v>
      </c>
      <c r="AD175" s="35" t="s">
        <v>1893</v>
      </c>
    </row>
    <row r="176" spans="1:30">
      <c r="A176" s="35" t="s">
        <v>2072</v>
      </c>
      <c r="B176" s="35" t="s">
        <v>2073</v>
      </c>
      <c r="C176" s="35" t="s">
        <v>2052</v>
      </c>
      <c r="D176" s="35" t="s">
        <v>2132</v>
      </c>
      <c r="E176" s="35" t="s">
        <v>2133</v>
      </c>
      <c r="F176" s="35" t="s">
        <v>2388</v>
      </c>
      <c r="G176" s="36" t="s">
        <v>2389</v>
      </c>
      <c r="H176" s="35" t="s">
        <v>91</v>
      </c>
      <c r="I176" s="35" t="s">
        <v>145</v>
      </c>
      <c r="J176" s="35" t="s">
        <v>87</v>
      </c>
      <c r="K176" s="35" t="s">
        <v>88</v>
      </c>
      <c r="L176" s="35">
        <v>35</v>
      </c>
      <c r="M176" s="35" t="s">
        <v>87</v>
      </c>
      <c r="N176" s="35" t="s">
        <v>87</v>
      </c>
      <c r="O176" s="35" t="s">
        <v>88</v>
      </c>
      <c r="P176" s="35">
        <v>35624</v>
      </c>
      <c r="Q176" s="35">
        <v>1425</v>
      </c>
      <c r="R176" s="35">
        <v>1781</v>
      </c>
      <c r="S176" s="35">
        <v>1069</v>
      </c>
      <c r="T176" s="35">
        <v>712</v>
      </c>
      <c r="U176" s="35">
        <v>2137</v>
      </c>
      <c r="V176" s="35">
        <v>8906</v>
      </c>
      <c r="W176" s="35">
        <v>0</v>
      </c>
      <c r="X176" s="35" t="s">
        <v>2057</v>
      </c>
      <c r="Y176" s="35" t="s">
        <v>2058</v>
      </c>
      <c r="AA176" s="35">
        <v>1200</v>
      </c>
      <c r="AB176" s="35" t="s">
        <v>2132</v>
      </c>
      <c r="AC176" s="35" t="s">
        <v>2059</v>
      </c>
      <c r="AD176" s="35" t="s">
        <v>1852</v>
      </c>
    </row>
    <row r="177" spans="1:30">
      <c r="A177" s="35" t="s">
        <v>2072</v>
      </c>
      <c r="B177" s="35" t="s">
        <v>2073</v>
      </c>
      <c r="C177" s="35" t="s">
        <v>2052</v>
      </c>
      <c r="D177" s="35" t="s">
        <v>2078</v>
      </c>
      <c r="E177" s="35" t="s">
        <v>2079</v>
      </c>
      <c r="F177" s="35" t="s">
        <v>2390</v>
      </c>
      <c r="G177" s="36" t="s">
        <v>2391</v>
      </c>
      <c r="H177" s="35" t="s">
        <v>86</v>
      </c>
      <c r="I177" s="35" t="s">
        <v>123</v>
      </c>
      <c r="J177" s="35" t="s">
        <v>88</v>
      </c>
      <c r="K177" s="35" t="s">
        <v>88</v>
      </c>
      <c r="L177" s="35">
        <v>26</v>
      </c>
      <c r="M177" s="35" t="s">
        <v>87</v>
      </c>
      <c r="N177" s="35" t="s">
        <v>87</v>
      </c>
      <c r="O177" s="35" t="s">
        <v>88</v>
      </c>
      <c r="P177" s="35">
        <v>31165</v>
      </c>
      <c r="Q177" s="35">
        <v>1247</v>
      </c>
      <c r="R177" s="35">
        <v>1558</v>
      </c>
      <c r="S177" s="35">
        <v>935</v>
      </c>
      <c r="T177" s="35">
        <v>623</v>
      </c>
      <c r="U177" s="35">
        <v>1870</v>
      </c>
      <c r="V177" s="35">
        <v>7791</v>
      </c>
      <c r="W177" s="35">
        <v>0</v>
      </c>
      <c r="X177" s="35" t="s">
        <v>2057</v>
      </c>
      <c r="Y177" s="35" t="s">
        <v>2058</v>
      </c>
      <c r="AA177" s="35">
        <v>480</v>
      </c>
      <c r="AB177" s="35" t="s">
        <v>2078</v>
      </c>
      <c r="AC177" s="35" t="s">
        <v>2059</v>
      </c>
      <c r="AD177" s="35" t="s">
        <v>1037</v>
      </c>
    </row>
    <row r="178" spans="1:30">
      <c r="A178" s="35" t="s">
        <v>2076</v>
      </c>
      <c r="B178" s="35" t="s">
        <v>2077</v>
      </c>
      <c r="C178" s="35" t="s">
        <v>2052</v>
      </c>
      <c r="D178" s="35" t="s">
        <v>2107</v>
      </c>
      <c r="E178" s="35" t="s">
        <v>2108</v>
      </c>
      <c r="F178" s="35" t="s">
        <v>2392</v>
      </c>
      <c r="G178" s="36" t="s">
        <v>2393</v>
      </c>
      <c r="H178" s="35" t="s">
        <v>86</v>
      </c>
      <c r="I178" s="35" t="s">
        <v>145</v>
      </c>
      <c r="J178" s="35" t="s">
        <v>88</v>
      </c>
      <c r="K178" s="35" t="s">
        <v>88</v>
      </c>
      <c r="L178" s="35">
        <v>27</v>
      </c>
      <c r="M178" s="35" t="s">
        <v>87</v>
      </c>
      <c r="N178" s="35" t="s">
        <v>87</v>
      </c>
      <c r="O178" s="35" t="s">
        <v>88</v>
      </c>
      <c r="P178" s="35">
        <v>45969</v>
      </c>
      <c r="Q178" s="35">
        <v>1839</v>
      </c>
      <c r="R178" s="35">
        <v>0</v>
      </c>
      <c r="S178" s="35">
        <v>1379</v>
      </c>
      <c r="T178" s="35">
        <v>919</v>
      </c>
      <c r="U178" s="35">
        <v>0</v>
      </c>
      <c r="V178" s="35">
        <v>0</v>
      </c>
      <c r="W178" s="35">
        <v>0</v>
      </c>
      <c r="X178" s="35" t="s">
        <v>2057</v>
      </c>
      <c r="Y178" s="35" t="s">
        <v>2058</v>
      </c>
      <c r="AA178" s="35">
        <v>0</v>
      </c>
      <c r="AB178" s="35" t="s">
        <v>2107</v>
      </c>
      <c r="AC178" s="35" t="s">
        <v>2059</v>
      </c>
      <c r="AD178" s="35" t="s">
        <v>1267</v>
      </c>
    </row>
    <row r="179" spans="1:30">
      <c r="A179" s="35" t="s">
        <v>2086</v>
      </c>
      <c r="B179" s="35" t="s">
        <v>2087</v>
      </c>
      <c r="C179" s="35" t="s">
        <v>2052</v>
      </c>
      <c r="D179" s="35" t="s">
        <v>2062</v>
      </c>
      <c r="E179" s="35" t="s">
        <v>2063</v>
      </c>
      <c r="F179" s="35" t="s">
        <v>2394</v>
      </c>
      <c r="G179" s="36" t="s">
        <v>2395</v>
      </c>
      <c r="H179" s="35" t="s">
        <v>91</v>
      </c>
      <c r="I179" s="35" t="s">
        <v>85</v>
      </c>
      <c r="J179" s="35" t="s">
        <v>88</v>
      </c>
      <c r="K179" s="35" t="s">
        <v>88</v>
      </c>
      <c r="L179" s="35">
        <v>37</v>
      </c>
      <c r="M179" s="35" t="s">
        <v>87</v>
      </c>
      <c r="N179" s="35" t="s">
        <v>87</v>
      </c>
      <c r="O179" s="35" t="s">
        <v>88</v>
      </c>
      <c r="P179" s="35">
        <v>34003</v>
      </c>
      <c r="Q179" s="35">
        <v>1360</v>
      </c>
      <c r="R179" s="35">
        <v>0</v>
      </c>
      <c r="S179" s="35">
        <v>1020</v>
      </c>
      <c r="T179" s="35">
        <v>680</v>
      </c>
      <c r="U179" s="35">
        <v>0</v>
      </c>
      <c r="V179" s="35">
        <v>0</v>
      </c>
      <c r="W179" s="35">
        <v>0</v>
      </c>
      <c r="X179" s="35" t="s">
        <v>2057</v>
      </c>
      <c r="Y179" s="35" t="s">
        <v>2058</v>
      </c>
      <c r="AA179" s="35">
        <v>0</v>
      </c>
      <c r="AB179" s="35" t="s">
        <v>2062</v>
      </c>
      <c r="AC179" s="35" t="s">
        <v>2059</v>
      </c>
      <c r="AD179" s="35" t="s">
        <v>188</v>
      </c>
    </row>
    <row r="180" spans="1:30">
      <c r="A180" s="35" t="s">
        <v>2050</v>
      </c>
      <c r="B180" s="35" t="s">
        <v>2051</v>
      </c>
      <c r="C180" s="35" t="s">
        <v>2052</v>
      </c>
      <c r="D180" s="35" t="s">
        <v>2053</v>
      </c>
      <c r="E180" s="35" t="s">
        <v>2054</v>
      </c>
      <c r="F180" s="35" t="s">
        <v>886</v>
      </c>
      <c r="G180" s="36" t="s">
        <v>2396</v>
      </c>
      <c r="H180" s="35" t="s">
        <v>86</v>
      </c>
      <c r="I180" s="35" t="s">
        <v>85</v>
      </c>
      <c r="J180" s="35" t="s">
        <v>88</v>
      </c>
      <c r="K180" s="35" t="s">
        <v>88</v>
      </c>
      <c r="L180" s="35">
        <v>29</v>
      </c>
      <c r="M180" s="35" t="s">
        <v>87</v>
      </c>
      <c r="N180" s="35" t="s">
        <v>87</v>
      </c>
      <c r="O180" s="35" t="s">
        <v>88</v>
      </c>
      <c r="P180" s="35">
        <v>37164</v>
      </c>
      <c r="Q180" s="35">
        <v>1487</v>
      </c>
      <c r="R180" s="35">
        <v>1858</v>
      </c>
      <c r="S180" s="35">
        <v>1115</v>
      </c>
      <c r="T180" s="35">
        <v>743</v>
      </c>
      <c r="U180" s="35">
        <v>2230</v>
      </c>
      <c r="V180" s="35">
        <v>9291</v>
      </c>
      <c r="W180" s="35">
        <v>0</v>
      </c>
      <c r="X180" s="35" t="s">
        <v>2057</v>
      </c>
      <c r="Y180" s="35" t="s">
        <v>2058</v>
      </c>
      <c r="AA180" s="35">
        <v>1200</v>
      </c>
      <c r="AB180" s="35" t="s">
        <v>2053</v>
      </c>
      <c r="AC180" s="35" t="s">
        <v>2059</v>
      </c>
      <c r="AD180" s="35" t="s">
        <v>1928</v>
      </c>
    </row>
    <row r="181" spans="1:30">
      <c r="A181" s="35" t="s">
        <v>2050</v>
      </c>
      <c r="B181" s="35" t="s">
        <v>2051</v>
      </c>
      <c r="C181" s="35" t="s">
        <v>2052</v>
      </c>
      <c r="D181" s="35" t="s">
        <v>2068</v>
      </c>
      <c r="E181" s="35" t="s">
        <v>2069</v>
      </c>
      <c r="F181" s="35" t="s">
        <v>2397</v>
      </c>
      <c r="G181" s="36" t="s">
        <v>2398</v>
      </c>
      <c r="H181" s="35" t="s">
        <v>91</v>
      </c>
      <c r="I181" s="35" t="s">
        <v>145</v>
      </c>
      <c r="J181" s="35" t="s">
        <v>88</v>
      </c>
      <c r="K181" s="35" t="s">
        <v>88</v>
      </c>
      <c r="L181" s="35">
        <v>48</v>
      </c>
      <c r="M181" s="35" t="s">
        <v>87</v>
      </c>
      <c r="N181" s="35" t="s">
        <v>87</v>
      </c>
      <c r="O181" s="35" t="s">
        <v>88</v>
      </c>
      <c r="P181" s="35">
        <v>43600</v>
      </c>
      <c r="Q181" s="35">
        <v>1744</v>
      </c>
      <c r="R181" s="35">
        <v>2180</v>
      </c>
      <c r="S181" s="35">
        <v>1308</v>
      </c>
      <c r="T181" s="35">
        <v>872</v>
      </c>
      <c r="U181" s="35">
        <v>2616</v>
      </c>
      <c r="V181" s="35">
        <v>10900</v>
      </c>
      <c r="W181" s="35">
        <v>0</v>
      </c>
      <c r="X181" s="35" t="s">
        <v>2057</v>
      </c>
      <c r="Y181" s="35" t="s">
        <v>2058</v>
      </c>
      <c r="AA181" s="35">
        <v>320</v>
      </c>
      <c r="AB181" s="35" t="s">
        <v>2068</v>
      </c>
      <c r="AC181" s="35" t="s">
        <v>2059</v>
      </c>
      <c r="AD181" s="35" t="s">
        <v>1990</v>
      </c>
    </row>
    <row r="182" spans="1:30">
      <c r="A182" s="35" t="s">
        <v>2072</v>
      </c>
      <c r="B182" s="35" t="s">
        <v>2073</v>
      </c>
      <c r="C182" s="35" t="s">
        <v>2052</v>
      </c>
      <c r="D182" s="35" t="s">
        <v>2078</v>
      </c>
      <c r="E182" s="35" t="s">
        <v>2079</v>
      </c>
      <c r="F182" s="35" t="s">
        <v>2399</v>
      </c>
      <c r="G182" s="36" t="s">
        <v>2400</v>
      </c>
      <c r="H182" s="35" t="s">
        <v>91</v>
      </c>
      <c r="I182" s="35" t="s">
        <v>85</v>
      </c>
      <c r="J182" s="35" t="s">
        <v>88</v>
      </c>
      <c r="K182" s="35" t="s">
        <v>88</v>
      </c>
      <c r="L182" s="35">
        <v>56</v>
      </c>
      <c r="M182" s="35" t="s">
        <v>87</v>
      </c>
      <c r="N182" s="35" t="s">
        <v>87</v>
      </c>
      <c r="O182" s="35" t="s">
        <v>88</v>
      </c>
      <c r="P182" s="35">
        <v>33075</v>
      </c>
      <c r="Q182" s="35">
        <v>1323</v>
      </c>
      <c r="R182" s="35">
        <v>1654</v>
      </c>
      <c r="S182" s="35">
        <v>992</v>
      </c>
      <c r="T182" s="35">
        <v>662</v>
      </c>
      <c r="U182" s="35">
        <v>1984</v>
      </c>
      <c r="V182" s="35">
        <v>8269</v>
      </c>
      <c r="W182" s="35">
        <v>0</v>
      </c>
      <c r="X182" s="35" t="s">
        <v>2057</v>
      </c>
      <c r="Y182" s="35" t="s">
        <v>2058</v>
      </c>
      <c r="AA182" s="35">
        <v>640</v>
      </c>
      <c r="AB182" s="35" t="s">
        <v>2078</v>
      </c>
      <c r="AC182" s="35" t="s">
        <v>2059</v>
      </c>
      <c r="AD182" s="35" t="s">
        <v>993</v>
      </c>
    </row>
    <row r="183" spans="1:30">
      <c r="A183" s="35" t="s">
        <v>2090</v>
      </c>
      <c r="B183" s="35" t="s">
        <v>2091</v>
      </c>
      <c r="C183" s="35" t="s">
        <v>2052</v>
      </c>
      <c r="D183" s="35" t="s">
        <v>2068</v>
      </c>
      <c r="E183" s="35" t="s">
        <v>2069</v>
      </c>
      <c r="F183" s="35" t="s">
        <v>2401</v>
      </c>
      <c r="G183" s="36" t="s">
        <v>2402</v>
      </c>
      <c r="H183" s="35" t="s">
        <v>91</v>
      </c>
      <c r="I183" s="35" t="s">
        <v>145</v>
      </c>
      <c r="J183" s="35" t="s">
        <v>88</v>
      </c>
      <c r="K183" s="35" t="s">
        <v>88</v>
      </c>
      <c r="L183" s="35">
        <v>25</v>
      </c>
      <c r="M183" s="35" t="s">
        <v>87</v>
      </c>
      <c r="N183" s="35" t="s">
        <v>87</v>
      </c>
      <c r="O183" s="35" t="s">
        <v>88</v>
      </c>
      <c r="P183" s="35">
        <v>39803</v>
      </c>
      <c r="Q183" s="35">
        <v>1592</v>
      </c>
      <c r="R183" s="35">
        <v>0</v>
      </c>
      <c r="S183" s="35">
        <v>1194</v>
      </c>
      <c r="T183" s="35">
        <v>796</v>
      </c>
      <c r="U183" s="35">
        <v>2388</v>
      </c>
      <c r="V183" s="35">
        <v>9951</v>
      </c>
      <c r="W183" s="35">
        <v>0</v>
      </c>
      <c r="X183" s="35" t="s">
        <v>2057</v>
      </c>
      <c r="Y183" s="35" t="s">
        <v>2058</v>
      </c>
      <c r="AA183" s="35">
        <v>640</v>
      </c>
      <c r="AB183" s="35" t="s">
        <v>2068</v>
      </c>
      <c r="AC183" s="35" t="s">
        <v>2059</v>
      </c>
      <c r="AD183" s="35" t="s">
        <v>426</v>
      </c>
    </row>
    <row r="184" spans="1:30">
      <c r="A184" s="35" t="s">
        <v>2060</v>
      </c>
      <c r="B184" s="35" t="s">
        <v>2061</v>
      </c>
      <c r="C184" s="35" t="s">
        <v>2052</v>
      </c>
      <c r="D184" s="35" t="s">
        <v>2062</v>
      </c>
      <c r="E184" s="35" t="s">
        <v>2063</v>
      </c>
      <c r="F184" s="35" t="s">
        <v>2403</v>
      </c>
      <c r="G184" s="36" t="s">
        <v>2404</v>
      </c>
      <c r="H184" s="35" t="s">
        <v>91</v>
      </c>
      <c r="I184" s="35" t="s">
        <v>85</v>
      </c>
      <c r="J184" s="35" t="s">
        <v>88</v>
      </c>
      <c r="K184" s="35" t="s">
        <v>88</v>
      </c>
      <c r="L184" s="35">
        <v>32</v>
      </c>
      <c r="M184" s="35" t="s">
        <v>87</v>
      </c>
      <c r="N184" s="35" t="s">
        <v>87</v>
      </c>
      <c r="O184" s="35" t="s">
        <v>88</v>
      </c>
      <c r="P184" s="35">
        <v>45049</v>
      </c>
      <c r="Q184" s="35">
        <v>1802</v>
      </c>
      <c r="R184" s="35">
        <v>0</v>
      </c>
      <c r="S184" s="35">
        <v>1351</v>
      </c>
      <c r="T184" s="35">
        <v>901</v>
      </c>
      <c r="U184" s="35">
        <v>0</v>
      </c>
      <c r="V184" s="35">
        <v>0</v>
      </c>
      <c r="W184" s="35">
        <v>0</v>
      </c>
      <c r="X184" s="35" t="s">
        <v>2057</v>
      </c>
      <c r="Y184" s="35" t="s">
        <v>2058</v>
      </c>
      <c r="AA184" s="35">
        <v>0</v>
      </c>
      <c r="AB184" s="35" t="s">
        <v>2062</v>
      </c>
      <c r="AC184" s="35" t="s">
        <v>2059</v>
      </c>
      <c r="AD184" s="35" t="s">
        <v>188</v>
      </c>
    </row>
    <row r="185" spans="1:30">
      <c r="A185" s="35" t="s">
        <v>2072</v>
      </c>
      <c r="B185" s="35" t="s">
        <v>2073</v>
      </c>
      <c r="C185" s="35" t="s">
        <v>2052</v>
      </c>
      <c r="D185" s="35" t="s">
        <v>2062</v>
      </c>
      <c r="E185" s="35" t="s">
        <v>2063</v>
      </c>
      <c r="F185" s="35" t="s">
        <v>332</v>
      </c>
      <c r="G185" s="36" t="s">
        <v>2405</v>
      </c>
      <c r="H185" s="35" t="s">
        <v>91</v>
      </c>
      <c r="I185" s="35" t="s">
        <v>123</v>
      </c>
      <c r="J185" s="35" t="s">
        <v>88</v>
      </c>
      <c r="K185" s="35" t="s">
        <v>88</v>
      </c>
      <c r="L185" s="35">
        <v>45</v>
      </c>
      <c r="M185" s="35" t="s">
        <v>87</v>
      </c>
      <c r="N185" s="35" t="s">
        <v>87</v>
      </c>
      <c r="O185" s="35" t="s">
        <v>88</v>
      </c>
      <c r="P185" s="35">
        <v>33320</v>
      </c>
      <c r="Q185" s="35">
        <v>1333</v>
      </c>
      <c r="R185" s="35">
        <v>1666</v>
      </c>
      <c r="S185" s="35">
        <v>1000</v>
      </c>
      <c r="T185" s="35">
        <v>666</v>
      </c>
      <c r="U185" s="35">
        <v>1999</v>
      </c>
      <c r="V185" s="35">
        <v>8330</v>
      </c>
      <c r="W185" s="35">
        <v>0</v>
      </c>
      <c r="X185" s="35" t="s">
        <v>2057</v>
      </c>
      <c r="Y185" s="35" t="s">
        <v>2058</v>
      </c>
      <c r="AA185" s="35">
        <v>960</v>
      </c>
      <c r="AB185" s="35" t="s">
        <v>2062</v>
      </c>
      <c r="AC185" s="35" t="s">
        <v>2059</v>
      </c>
      <c r="AD185" s="35" t="s">
        <v>710</v>
      </c>
    </row>
    <row r="186" spans="1:30">
      <c r="A186" s="35" t="s">
        <v>2050</v>
      </c>
      <c r="B186" s="35" t="s">
        <v>2051</v>
      </c>
      <c r="C186" s="35" t="s">
        <v>2052</v>
      </c>
      <c r="D186" s="35" t="s">
        <v>2141</v>
      </c>
      <c r="E186" s="35" t="s">
        <v>2142</v>
      </c>
      <c r="F186" s="35" t="s">
        <v>2406</v>
      </c>
      <c r="G186" s="36" t="s">
        <v>2407</v>
      </c>
      <c r="H186" s="35" t="s">
        <v>86</v>
      </c>
      <c r="I186" s="35" t="s">
        <v>85</v>
      </c>
      <c r="J186" s="35" t="s">
        <v>88</v>
      </c>
      <c r="K186" s="35" t="s">
        <v>88</v>
      </c>
      <c r="L186" s="35">
        <v>32</v>
      </c>
      <c r="M186" s="35" t="s">
        <v>87</v>
      </c>
      <c r="N186" s="35" t="s">
        <v>87</v>
      </c>
      <c r="O186" s="35" t="s">
        <v>88</v>
      </c>
      <c r="P186" s="35">
        <v>43298</v>
      </c>
      <c r="Q186" s="35">
        <v>1732</v>
      </c>
      <c r="R186" s="35">
        <v>2165</v>
      </c>
      <c r="S186" s="35">
        <v>1299</v>
      </c>
      <c r="T186" s="35">
        <v>866</v>
      </c>
      <c r="U186" s="35">
        <v>2598</v>
      </c>
      <c r="V186" s="35">
        <v>10824</v>
      </c>
      <c r="W186" s="35">
        <v>0</v>
      </c>
      <c r="X186" s="35" t="s">
        <v>2057</v>
      </c>
      <c r="Y186" s="35" t="s">
        <v>2058</v>
      </c>
      <c r="AA186" s="35">
        <v>1200</v>
      </c>
      <c r="AB186" s="35" t="s">
        <v>2141</v>
      </c>
      <c r="AC186" s="35" t="s">
        <v>2059</v>
      </c>
      <c r="AD186" s="35" t="s">
        <v>1596</v>
      </c>
    </row>
    <row r="187" spans="1:30">
      <c r="A187" s="35" t="s">
        <v>2086</v>
      </c>
      <c r="B187" s="35" t="s">
        <v>2087</v>
      </c>
      <c r="C187" s="35" t="s">
        <v>2052</v>
      </c>
      <c r="D187" s="35" t="s">
        <v>2053</v>
      </c>
      <c r="E187" s="35" t="s">
        <v>2054</v>
      </c>
      <c r="F187" s="35" t="s">
        <v>2311</v>
      </c>
      <c r="G187" s="36" t="s">
        <v>2408</v>
      </c>
      <c r="H187" s="35" t="s">
        <v>91</v>
      </c>
      <c r="I187" s="35" t="s">
        <v>123</v>
      </c>
      <c r="J187" s="35" t="s">
        <v>88</v>
      </c>
      <c r="K187" s="35" t="s">
        <v>88</v>
      </c>
      <c r="L187" s="35">
        <v>26</v>
      </c>
      <c r="M187" s="35" t="s">
        <v>87</v>
      </c>
      <c r="N187" s="35" t="s">
        <v>87</v>
      </c>
      <c r="O187" s="35" t="s">
        <v>88</v>
      </c>
      <c r="P187" s="35">
        <v>37543</v>
      </c>
      <c r="Q187" s="35">
        <v>1502</v>
      </c>
      <c r="R187" s="35">
        <v>0</v>
      </c>
      <c r="S187" s="35">
        <v>1126</v>
      </c>
      <c r="T187" s="35">
        <v>751</v>
      </c>
      <c r="U187" s="35">
        <v>0</v>
      </c>
      <c r="V187" s="35">
        <v>0</v>
      </c>
      <c r="W187" s="35">
        <v>0</v>
      </c>
      <c r="X187" s="35" t="s">
        <v>2057</v>
      </c>
      <c r="Y187" s="35" t="s">
        <v>2058</v>
      </c>
      <c r="AA187" s="35">
        <v>0</v>
      </c>
      <c r="AB187" s="35" t="s">
        <v>2053</v>
      </c>
      <c r="AC187" s="35" t="s">
        <v>2059</v>
      </c>
      <c r="AD187" s="35" t="s">
        <v>928</v>
      </c>
    </row>
    <row r="188" spans="1:30">
      <c r="A188" s="35" t="s">
        <v>2090</v>
      </c>
      <c r="B188" s="35" t="s">
        <v>2091</v>
      </c>
      <c r="C188" s="35" t="s">
        <v>2052</v>
      </c>
      <c r="D188" s="35" t="s">
        <v>2068</v>
      </c>
      <c r="E188" s="35" t="s">
        <v>2069</v>
      </c>
      <c r="F188" s="35" t="s">
        <v>2409</v>
      </c>
      <c r="G188" s="36" t="s">
        <v>2410</v>
      </c>
      <c r="H188" s="35" t="s">
        <v>91</v>
      </c>
      <c r="I188" s="35" t="s">
        <v>123</v>
      </c>
      <c r="J188" s="35" t="s">
        <v>88</v>
      </c>
      <c r="K188" s="35" t="s">
        <v>88</v>
      </c>
      <c r="L188" s="35">
        <v>49</v>
      </c>
      <c r="M188" s="35" t="s">
        <v>87</v>
      </c>
      <c r="N188" s="35" t="s">
        <v>87</v>
      </c>
      <c r="O188" s="35" t="s">
        <v>88</v>
      </c>
      <c r="P188" s="35">
        <v>38888</v>
      </c>
      <c r="Q188" s="35">
        <v>1556</v>
      </c>
      <c r="R188" s="35">
        <v>0</v>
      </c>
      <c r="S188" s="35">
        <v>1167</v>
      </c>
      <c r="T188" s="35">
        <v>778</v>
      </c>
      <c r="U188" s="35">
        <v>2333</v>
      </c>
      <c r="V188" s="35">
        <v>9722</v>
      </c>
      <c r="W188" s="35">
        <v>0</v>
      </c>
      <c r="X188" s="35" t="s">
        <v>2057</v>
      </c>
      <c r="Y188" s="35" t="s">
        <v>2058</v>
      </c>
      <c r="AA188" s="35">
        <v>960</v>
      </c>
      <c r="AB188" s="35" t="s">
        <v>2068</v>
      </c>
      <c r="AC188" s="35" t="s">
        <v>2059</v>
      </c>
      <c r="AD188" s="35" t="s">
        <v>939</v>
      </c>
    </row>
    <row r="189" spans="1:30">
      <c r="A189" s="35" t="s">
        <v>2090</v>
      </c>
      <c r="B189" s="35" t="s">
        <v>2091</v>
      </c>
      <c r="C189" s="35" t="s">
        <v>2052</v>
      </c>
      <c r="D189" s="35" t="s">
        <v>2107</v>
      </c>
      <c r="E189" s="35" t="s">
        <v>2108</v>
      </c>
      <c r="F189" s="35" t="s">
        <v>2367</v>
      </c>
      <c r="G189" s="36" t="s">
        <v>2411</v>
      </c>
      <c r="H189" s="35" t="s">
        <v>91</v>
      </c>
      <c r="I189" s="35" t="s">
        <v>123</v>
      </c>
      <c r="J189" s="35" t="s">
        <v>87</v>
      </c>
      <c r="K189" s="35" t="s">
        <v>88</v>
      </c>
      <c r="L189" s="35">
        <v>41</v>
      </c>
      <c r="M189" s="35" t="s">
        <v>87</v>
      </c>
      <c r="N189" s="35" t="s">
        <v>87</v>
      </c>
      <c r="O189" s="35" t="s">
        <v>88</v>
      </c>
      <c r="P189" s="35">
        <v>34301</v>
      </c>
      <c r="Q189" s="35">
        <v>1372</v>
      </c>
      <c r="R189" s="35">
        <v>0</v>
      </c>
      <c r="S189" s="35">
        <v>1029</v>
      </c>
      <c r="T189" s="35">
        <v>686</v>
      </c>
      <c r="U189" s="35">
        <v>2058</v>
      </c>
      <c r="V189" s="35">
        <v>8575</v>
      </c>
      <c r="W189" s="35">
        <v>0</v>
      </c>
      <c r="X189" s="35" t="s">
        <v>2057</v>
      </c>
      <c r="Y189" s="35" t="s">
        <v>2058</v>
      </c>
      <c r="AA189" s="35">
        <v>480</v>
      </c>
      <c r="AB189" s="35" t="s">
        <v>2107</v>
      </c>
      <c r="AC189" s="35" t="s">
        <v>2059</v>
      </c>
      <c r="AD189" s="35" t="s">
        <v>1013</v>
      </c>
    </row>
    <row r="190" spans="1:30">
      <c r="A190" s="35" t="s">
        <v>2086</v>
      </c>
      <c r="B190" s="35" t="s">
        <v>2087</v>
      </c>
      <c r="C190" s="35" t="s">
        <v>2052</v>
      </c>
      <c r="D190" s="35" t="s">
        <v>2141</v>
      </c>
      <c r="E190" s="35" t="s">
        <v>2142</v>
      </c>
      <c r="F190" s="35" t="s">
        <v>2412</v>
      </c>
      <c r="G190" s="36" t="s">
        <v>2413</v>
      </c>
      <c r="H190" s="35" t="s">
        <v>91</v>
      </c>
      <c r="I190" s="35" t="s">
        <v>123</v>
      </c>
      <c r="J190" s="35" t="s">
        <v>88</v>
      </c>
      <c r="K190" s="35" t="s">
        <v>88</v>
      </c>
      <c r="L190" s="35">
        <v>55</v>
      </c>
      <c r="M190" s="35" t="s">
        <v>87</v>
      </c>
      <c r="N190" s="35" t="s">
        <v>87</v>
      </c>
      <c r="O190" s="35" t="s">
        <v>88</v>
      </c>
      <c r="P190" s="35">
        <v>31072</v>
      </c>
      <c r="Q190" s="35">
        <v>1243</v>
      </c>
      <c r="R190" s="35">
        <v>0</v>
      </c>
      <c r="S190" s="35">
        <v>932</v>
      </c>
      <c r="T190" s="35">
        <v>621</v>
      </c>
      <c r="U190" s="35">
        <v>0</v>
      </c>
      <c r="V190" s="35">
        <v>0</v>
      </c>
      <c r="W190" s="35">
        <v>0</v>
      </c>
      <c r="X190" s="35" t="s">
        <v>2057</v>
      </c>
      <c r="Y190" s="35" t="s">
        <v>2058</v>
      </c>
      <c r="AA190" s="35">
        <v>0</v>
      </c>
      <c r="AB190" s="35" t="s">
        <v>2141</v>
      </c>
      <c r="AC190" s="35" t="s">
        <v>2059</v>
      </c>
      <c r="AD190" s="35" t="s">
        <v>142</v>
      </c>
    </row>
    <row r="191" spans="1:30">
      <c r="A191" s="35" t="s">
        <v>2066</v>
      </c>
      <c r="B191" s="35" t="s">
        <v>2067</v>
      </c>
      <c r="C191" s="35" t="s">
        <v>2052</v>
      </c>
      <c r="D191" s="35" t="s">
        <v>2078</v>
      </c>
      <c r="E191" s="35" t="s">
        <v>2079</v>
      </c>
      <c r="F191" s="35" t="s">
        <v>2414</v>
      </c>
      <c r="G191" s="36" t="s">
        <v>2415</v>
      </c>
      <c r="H191" s="35" t="s">
        <v>86</v>
      </c>
      <c r="I191" s="35" t="s">
        <v>85</v>
      </c>
      <c r="J191" s="35" t="s">
        <v>88</v>
      </c>
      <c r="K191" s="35" t="s">
        <v>88</v>
      </c>
      <c r="L191" s="35">
        <v>47</v>
      </c>
      <c r="M191" s="35" t="s">
        <v>87</v>
      </c>
      <c r="N191" s="35" t="s">
        <v>87</v>
      </c>
      <c r="O191" s="35" t="s">
        <v>88</v>
      </c>
      <c r="P191" s="35">
        <v>37343</v>
      </c>
      <c r="Q191" s="35">
        <v>1494</v>
      </c>
      <c r="R191" s="35">
        <v>0</v>
      </c>
      <c r="S191" s="35">
        <v>1120</v>
      </c>
      <c r="T191" s="35">
        <v>747</v>
      </c>
      <c r="U191" s="35">
        <v>0</v>
      </c>
      <c r="V191" s="35">
        <v>0</v>
      </c>
      <c r="W191" s="35">
        <v>0</v>
      </c>
      <c r="X191" s="35" t="s">
        <v>2057</v>
      </c>
      <c r="Y191" s="35" t="s">
        <v>2058</v>
      </c>
      <c r="AA191" s="35">
        <v>0</v>
      </c>
      <c r="AB191" s="35" t="s">
        <v>2078</v>
      </c>
      <c r="AC191" s="35" t="s">
        <v>2059</v>
      </c>
      <c r="AD191" s="35" t="s">
        <v>861</v>
      </c>
    </row>
    <row r="192" spans="1:30">
      <c r="A192" s="35" t="s">
        <v>2072</v>
      </c>
      <c r="B192" s="35" t="s">
        <v>2073</v>
      </c>
      <c r="C192" s="35" t="s">
        <v>2052</v>
      </c>
      <c r="D192" s="35" t="s">
        <v>2082</v>
      </c>
      <c r="E192" s="35" t="s">
        <v>2083</v>
      </c>
      <c r="F192" s="35" t="s">
        <v>2320</v>
      </c>
      <c r="G192" s="36" t="s">
        <v>2416</v>
      </c>
      <c r="H192" s="35" t="s">
        <v>91</v>
      </c>
      <c r="I192" s="35" t="s">
        <v>85</v>
      </c>
      <c r="J192" s="35" t="s">
        <v>88</v>
      </c>
      <c r="K192" s="35" t="s">
        <v>88</v>
      </c>
      <c r="L192" s="35">
        <v>25</v>
      </c>
      <c r="M192" s="35" t="s">
        <v>88</v>
      </c>
      <c r="N192" s="35" t="s">
        <v>87</v>
      </c>
      <c r="O192" s="35" t="s">
        <v>87</v>
      </c>
      <c r="P192" s="35">
        <v>30226</v>
      </c>
      <c r="Q192" s="35">
        <v>1209</v>
      </c>
      <c r="R192" s="35">
        <v>1511</v>
      </c>
      <c r="S192" s="35">
        <v>907</v>
      </c>
      <c r="T192" s="35">
        <v>605</v>
      </c>
      <c r="U192" s="35">
        <v>1814</v>
      </c>
      <c r="V192" s="35">
        <v>7556</v>
      </c>
      <c r="W192" s="35">
        <v>0</v>
      </c>
      <c r="X192" s="35" t="s">
        <v>2057</v>
      </c>
      <c r="Y192" s="35" t="s">
        <v>2058</v>
      </c>
      <c r="AA192" s="35">
        <v>320</v>
      </c>
      <c r="AB192" s="35" t="s">
        <v>2082</v>
      </c>
      <c r="AC192" s="35" t="s">
        <v>2059</v>
      </c>
    </row>
    <row r="193" spans="1:30">
      <c r="A193" s="35" t="s">
        <v>2050</v>
      </c>
      <c r="B193" s="35" t="s">
        <v>2051</v>
      </c>
      <c r="C193" s="35" t="s">
        <v>2052</v>
      </c>
      <c r="D193" s="35" t="s">
        <v>2078</v>
      </c>
      <c r="E193" s="35" t="s">
        <v>2079</v>
      </c>
      <c r="F193" s="35" t="s">
        <v>2417</v>
      </c>
      <c r="G193" s="36" t="s">
        <v>2418</v>
      </c>
      <c r="H193" s="35" t="s">
        <v>86</v>
      </c>
      <c r="I193" s="35" t="s">
        <v>85</v>
      </c>
      <c r="J193" s="35" t="s">
        <v>88</v>
      </c>
      <c r="K193" s="35" t="s">
        <v>88</v>
      </c>
      <c r="L193" s="35">
        <v>49</v>
      </c>
      <c r="M193" s="35" t="s">
        <v>87</v>
      </c>
      <c r="N193" s="35" t="s">
        <v>87</v>
      </c>
      <c r="O193" s="35" t="s">
        <v>88</v>
      </c>
      <c r="P193" s="35">
        <v>36839</v>
      </c>
      <c r="Q193" s="35">
        <v>1474</v>
      </c>
      <c r="R193" s="35">
        <v>1842</v>
      </c>
      <c r="S193" s="35">
        <v>1105</v>
      </c>
      <c r="T193" s="35">
        <v>737</v>
      </c>
      <c r="U193" s="35">
        <v>2210</v>
      </c>
      <c r="V193" s="35">
        <v>9210</v>
      </c>
      <c r="W193" s="35">
        <v>0</v>
      </c>
      <c r="X193" s="35" t="s">
        <v>2057</v>
      </c>
      <c r="Y193" s="35" t="s">
        <v>2058</v>
      </c>
      <c r="AA193" s="35">
        <v>960</v>
      </c>
      <c r="AB193" s="35" t="s">
        <v>2078</v>
      </c>
      <c r="AC193" s="35" t="s">
        <v>2059</v>
      </c>
      <c r="AD193" s="35" t="s">
        <v>1300</v>
      </c>
    </row>
    <row r="194" spans="1:30">
      <c r="A194" s="35" t="s">
        <v>2086</v>
      </c>
      <c r="B194" s="35" t="s">
        <v>2087</v>
      </c>
      <c r="C194" s="35" t="s">
        <v>2052</v>
      </c>
      <c r="D194" s="35" t="s">
        <v>2078</v>
      </c>
      <c r="E194" s="35" t="s">
        <v>2079</v>
      </c>
      <c r="F194" s="35" t="s">
        <v>2419</v>
      </c>
      <c r="G194" s="36" t="s">
        <v>2420</v>
      </c>
      <c r="H194" s="35" t="s">
        <v>91</v>
      </c>
      <c r="I194" s="35" t="s">
        <v>97</v>
      </c>
      <c r="J194" s="35" t="s">
        <v>88</v>
      </c>
      <c r="K194" s="35" t="s">
        <v>88</v>
      </c>
      <c r="L194" s="35">
        <v>34</v>
      </c>
      <c r="M194" s="35" t="s">
        <v>87</v>
      </c>
      <c r="N194" s="35" t="s">
        <v>87</v>
      </c>
      <c r="O194" s="35" t="s">
        <v>88</v>
      </c>
      <c r="P194" s="35">
        <v>16075</v>
      </c>
      <c r="Q194" s="35">
        <v>643</v>
      </c>
      <c r="R194" s="35">
        <v>0</v>
      </c>
      <c r="S194" s="35">
        <v>482</v>
      </c>
      <c r="T194" s="35">
        <v>322</v>
      </c>
      <c r="U194" s="35">
        <v>0</v>
      </c>
      <c r="V194" s="35">
        <v>0</v>
      </c>
      <c r="W194" s="35">
        <v>0</v>
      </c>
      <c r="X194" s="35" t="s">
        <v>2057</v>
      </c>
      <c r="Y194" s="35" t="s">
        <v>2058</v>
      </c>
      <c r="AA194" s="35">
        <v>0</v>
      </c>
      <c r="AB194" s="35" t="s">
        <v>2078</v>
      </c>
      <c r="AC194" s="35" t="s">
        <v>2059</v>
      </c>
    </row>
    <row r="195" spans="1:30">
      <c r="A195" s="35" t="s">
        <v>2076</v>
      </c>
      <c r="B195" s="35" t="s">
        <v>2077</v>
      </c>
      <c r="C195" s="35" t="s">
        <v>2052</v>
      </c>
      <c r="D195" s="35" t="s">
        <v>2068</v>
      </c>
      <c r="E195" s="35" t="s">
        <v>2069</v>
      </c>
      <c r="F195" s="35" t="s">
        <v>1074</v>
      </c>
      <c r="G195" s="36" t="s">
        <v>2421</v>
      </c>
      <c r="H195" s="35" t="s">
        <v>86</v>
      </c>
      <c r="I195" s="35" t="s">
        <v>85</v>
      </c>
      <c r="J195" s="35" t="s">
        <v>88</v>
      </c>
      <c r="K195" s="35" t="s">
        <v>88</v>
      </c>
      <c r="L195" s="35">
        <v>25</v>
      </c>
      <c r="M195" s="35" t="s">
        <v>87</v>
      </c>
      <c r="N195" s="35" t="s">
        <v>87</v>
      </c>
      <c r="O195" s="35" t="s">
        <v>88</v>
      </c>
      <c r="P195" s="35">
        <v>35157</v>
      </c>
      <c r="Q195" s="35">
        <v>1406</v>
      </c>
      <c r="R195" s="35">
        <v>0</v>
      </c>
      <c r="S195" s="35">
        <v>1055</v>
      </c>
      <c r="T195" s="35">
        <v>703</v>
      </c>
      <c r="U195" s="35">
        <v>0</v>
      </c>
      <c r="V195" s="35">
        <v>0</v>
      </c>
      <c r="W195" s="35">
        <v>0</v>
      </c>
      <c r="X195" s="35" t="s">
        <v>2057</v>
      </c>
      <c r="Y195" s="35" t="s">
        <v>2058</v>
      </c>
      <c r="AA195" s="35">
        <v>0</v>
      </c>
      <c r="AB195" s="35" t="s">
        <v>2068</v>
      </c>
      <c r="AC195" s="35" t="s">
        <v>2059</v>
      </c>
      <c r="AD195" s="35" t="s">
        <v>1994</v>
      </c>
    </row>
    <row r="196" spans="1:30">
      <c r="A196" s="35" t="s">
        <v>2050</v>
      </c>
      <c r="B196" s="35" t="s">
        <v>2051</v>
      </c>
      <c r="C196" s="35" t="s">
        <v>2052</v>
      </c>
      <c r="D196" s="35" t="s">
        <v>2062</v>
      </c>
      <c r="E196" s="35" t="s">
        <v>2063</v>
      </c>
      <c r="F196" s="35" t="s">
        <v>878</v>
      </c>
      <c r="G196" s="36" t="s">
        <v>2422</v>
      </c>
      <c r="H196" s="35" t="s">
        <v>86</v>
      </c>
      <c r="I196" s="35" t="s">
        <v>85</v>
      </c>
      <c r="J196" s="35" t="s">
        <v>88</v>
      </c>
      <c r="K196" s="35" t="s">
        <v>88</v>
      </c>
      <c r="L196" s="35">
        <v>28</v>
      </c>
      <c r="M196" s="35" t="s">
        <v>88</v>
      </c>
      <c r="N196" s="35" t="s">
        <v>87</v>
      </c>
      <c r="O196" s="35" t="s">
        <v>88</v>
      </c>
      <c r="P196" s="35">
        <v>28885</v>
      </c>
      <c r="Q196" s="35">
        <v>1155</v>
      </c>
      <c r="R196" s="35">
        <v>1444</v>
      </c>
      <c r="S196" s="35">
        <v>867</v>
      </c>
      <c r="T196" s="35">
        <v>578</v>
      </c>
      <c r="U196" s="35">
        <v>1733</v>
      </c>
      <c r="V196" s="35">
        <v>7221</v>
      </c>
      <c r="W196" s="35">
        <v>0</v>
      </c>
      <c r="X196" s="35" t="s">
        <v>2057</v>
      </c>
      <c r="Y196" s="35" t="s">
        <v>2058</v>
      </c>
      <c r="AA196" s="35">
        <v>640</v>
      </c>
      <c r="AB196" s="35" t="s">
        <v>2062</v>
      </c>
      <c r="AC196" s="35" t="s">
        <v>2059</v>
      </c>
    </row>
    <row r="197" spans="1:30">
      <c r="A197" s="35" t="s">
        <v>2066</v>
      </c>
      <c r="B197" s="35" t="s">
        <v>2067</v>
      </c>
      <c r="C197" s="35" t="s">
        <v>2052</v>
      </c>
      <c r="D197" s="35" t="s">
        <v>2078</v>
      </c>
      <c r="E197" s="35" t="s">
        <v>2079</v>
      </c>
      <c r="F197" s="35" t="s">
        <v>2423</v>
      </c>
      <c r="G197" s="36" t="s">
        <v>2424</v>
      </c>
      <c r="H197" s="35" t="s">
        <v>91</v>
      </c>
      <c r="I197" s="35" t="s">
        <v>85</v>
      </c>
      <c r="J197" s="35" t="s">
        <v>88</v>
      </c>
      <c r="K197" s="35" t="s">
        <v>88</v>
      </c>
      <c r="L197" s="35">
        <v>34</v>
      </c>
      <c r="M197" s="35" t="s">
        <v>87</v>
      </c>
      <c r="N197" s="35" t="s">
        <v>87</v>
      </c>
      <c r="O197" s="35" t="s">
        <v>88</v>
      </c>
      <c r="P197" s="35">
        <v>37749</v>
      </c>
      <c r="Q197" s="35">
        <v>1510</v>
      </c>
      <c r="R197" s="35">
        <v>0</v>
      </c>
      <c r="S197" s="35">
        <v>1132</v>
      </c>
      <c r="T197" s="35">
        <v>755</v>
      </c>
      <c r="U197" s="35">
        <v>0</v>
      </c>
      <c r="V197" s="35">
        <v>0</v>
      </c>
      <c r="W197" s="35">
        <v>0</v>
      </c>
      <c r="X197" s="35" t="s">
        <v>2057</v>
      </c>
      <c r="Y197" s="35" t="s">
        <v>2058</v>
      </c>
      <c r="AA197" s="35">
        <v>0</v>
      </c>
      <c r="AB197" s="35" t="s">
        <v>2078</v>
      </c>
      <c r="AC197" s="35" t="s">
        <v>2059</v>
      </c>
      <c r="AD197" s="35" t="s">
        <v>627</v>
      </c>
    </row>
    <row r="198" spans="1:30">
      <c r="A198" s="35" t="s">
        <v>2090</v>
      </c>
      <c r="B198" s="35" t="s">
        <v>2091</v>
      </c>
      <c r="C198" s="35" t="s">
        <v>2052</v>
      </c>
      <c r="D198" s="35" t="s">
        <v>2053</v>
      </c>
      <c r="E198" s="35" t="s">
        <v>2054</v>
      </c>
      <c r="F198" s="35" t="s">
        <v>1086</v>
      </c>
      <c r="G198" s="36" t="s">
        <v>2425</v>
      </c>
      <c r="H198" s="35" t="s">
        <v>91</v>
      </c>
      <c r="I198" s="35" t="s">
        <v>123</v>
      </c>
      <c r="J198" s="35" t="s">
        <v>88</v>
      </c>
      <c r="K198" s="35" t="s">
        <v>88</v>
      </c>
      <c r="L198" s="35">
        <v>57</v>
      </c>
      <c r="M198" s="35" t="s">
        <v>87</v>
      </c>
      <c r="N198" s="35" t="s">
        <v>87</v>
      </c>
      <c r="O198" s="35" t="s">
        <v>88</v>
      </c>
      <c r="P198" s="35">
        <v>38893</v>
      </c>
      <c r="Q198" s="35">
        <v>1556</v>
      </c>
      <c r="R198" s="35">
        <v>0</v>
      </c>
      <c r="S198" s="35">
        <v>1167</v>
      </c>
      <c r="T198" s="35">
        <v>778</v>
      </c>
      <c r="U198" s="35">
        <v>2334</v>
      </c>
      <c r="V198" s="35">
        <v>9723</v>
      </c>
      <c r="W198" s="35">
        <v>0</v>
      </c>
      <c r="X198" s="35" t="s">
        <v>2057</v>
      </c>
      <c r="Y198" s="35" t="s">
        <v>2058</v>
      </c>
      <c r="AA198" s="35">
        <v>320</v>
      </c>
      <c r="AB198" s="35" t="s">
        <v>2053</v>
      </c>
      <c r="AC198" s="35" t="s">
        <v>2059</v>
      </c>
      <c r="AD198" s="35" t="s">
        <v>1304</v>
      </c>
    </row>
    <row r="199" spans="1:30">
      <c r="A199" s="35" t="s">
        <v>2050</v>
      </c>
      <c r="B199" s="35" t="s">
        <v>2051</v>
      </c>
      <c r="C199" s="35" t="s">
        <v>2052</v>
      </c>
      <c r="D199" s="35" t="s">
        <v>2053</v>
      </c>
      <c r="E199" s="35" t="s">
        <v>2054</v>
      </c>
      <c r="F199" s="35" t="s">
        <v>2426</v>
      </c>
      <c r="G199" s="36" t="s">
        <v>2427</v>
      </c>
      <c r="H199" s="35" t="s">
        <v>86</v>
      </c>
      <c r="I199" s="35" t="s">
        <v>85</v>
      </c>
      <c r="J199" s="35" t="s">
        <v>88</v>
      </c>
      <c r="K199" s="35" t="s">
        <v>88</v>
      </c>
      <c r="L199" s="35">
        <v>54</v>
      </c>
      <c r="M199" s="35" t="s">
        <v>87</v>
      </c>
      <c r="N199" s="35" t="s">
        <v>87</v>
      </c>
      <c r="O199" s="35" t="s">
        <v>88</v>
      </c>
      <c r="P199" s="35">
        <v>35967</v>
      </c>
      <c r="Q199" s="35">
        <v>1439</v>
      </c>
      <c r="R199" s="35">
        <v>1798</v>
      </c>
      <c r="S199" s="35">
        <v>1079</v>
      </c>
      <c r="T199" s="35">
        <v>719</v>
      </c>
      <c r="U199" s="35">
        <v>2158</v>
      </c>
      <c r="V199" s="35">
        <v>8992</v>
      </c>
      <c r="W199" s="35">
        <v>0</v>
      </c>
      <c r="X199" s="35" t="s">
        <v>2057</v>
      </c>
      <c r="Y199" s="35" t="s">
        <v>2058</v>
      </c>
      <c r="AA199" s="35">
        <v>1200</v>
      </c>
      <c r="AB199" s="35" t="s">
        <v>2053</v>
      </c>
      <c r="AC199" s="35" t="s">
        <v>2059</v>
      </c>
      <c r="AD199" s="35" t="s">
        <v>912</v>
      </c>
    </row>
    <row r="200" spans="1:30">
      <c r="A200" s="35" t="s">
        <v>2060</v>
      </c>
      <c r="B200" s="35" t="s">
        <v>2061</v>
      </c>
      <c r="C200" s="35" t="s">
        <v>2052</v>
      </c>
      <c r="D200" s="35" t="s">
        <v>2062</v>
      </c>
      <c r="E200" s="35" t="s">
        <v>2063</v>
      </c>
      <c r="F200" s="35" t="s">
        <v>2428</v>
      </c>
      <c r="G200" s="36" t="s">
        <v>2429</v>
      </c>
      <c r="H200" s="35" t="s">
        <v>86</v>
      </c>
      <c r="I200" s="35" t="s">
        <v>145</v>
      </c>
      <c r="J200" s="35" t="s">
        <v>88</v>
      </c>
      <c r="K200" s="35" t="s">
        <v>88</v>
      </c>
      <c r="L200" s="35">
        <v>45</v>
      </c>
      <c r="M200" s="35" t="s">
        <v>87</v>
      </c>
      <c r="N200" s="35" t="s">
        <v>87</v>
      </c>
      <c r="O200" s="35" t="s">
        <v>88</v>
      </c>
      <c r="P200" s="35">
        <v>37160</v>
      </c>
      <c r="Q200" s="35">
        <v>1486</v>
      </c>
      <c r="R200" s="35">
        <v>0</v>
      </c>
      <c r="S200" s="35">
        <v>1115</v>
      </c>
      <c r="T200" s="35">
        <v>743</v>
      </c>
      <c r="U200" s="35">
        <v>0</v>
      </c>
      <c r="V200" s="35">
        <v>0</v>
      </c>
      <c r="W200" s="35">
        <v>0</v>
      </c>
      <c r="X200" s="35" t="s">
        <v>2057</v>
      </c>
      <c r="Y200" s="35" t="s">
        <v>2058</v>
      </c>
      <c r="AA200" s="35">
        <v>0</v>
      </c>
      <c r="AB200" s="35" t="s">
        <v>2062</v>
      </c>
      <c r="AC200" s="35" t="s">
        <v>2059</v>
      </c>
      <c r="AD200" s="35" t="s">
        <v>1088</v>
      </c>
    </row>
    <row r="201" spans="1:30">
      <c r="A201" s="35" t="s">
        <v>2090</v>
      </c>
      <c r="B201" s="35" t="s">
        <v>2091</v>
      </c>
      <c r="C201" s="35" t="s">
        <v>2052</v>
      </c>
      <c r="D201" s="35" t="s">
        <v>2068</v>
      </c>
      <c r="E201" s="35" t="s">
        <v>2069</v>
      </c>
      <c r="F201" s="35" t="s">
        <v>2430</v>
      </c>
      <c r="G201" s="36" t="s">
        <v>2431</v>
      </c>
      <c r="H201" s="35" t="s">
        <v>86</v>
      </c>
      <c r="I201" s="35" t="s">
        <v>85</v>
      </c>
      <c r="J201" s="35" t="s">
        <v>88</v>
      </c>
      <c r="K201" s="35" t="s">
        <v>88</v>
      </c>
      <c r="L201" s="35">
        <v>35</v>
      </c>
      <c r="M201" s="35" t="s">
        <v>87</v>
      </c>
      <c r="N201" s="35" t="s">
        <v>87</v>
      </c>
      <c r="O201" s="35" t="s">
        <v>88</v>
      </c>
      <c r="P201" s="35">
        <v>33876</v>
      </c>
      <c r="Q201" s="35">
        <v>1355</v>
      </c>
      <c r="R201" s="35">
        <v>0</v>
      </c>
      <c r="S201" s="35">
        <v>1016</v>
      </c>
      <c r="T201" s="35">
        <v>678</v>
      </c>
      <c r="U201" s="35">
        <v>2033</v>
      </c>
      <c r="V201" s="35">
        <v>8469</v>
      </c>
      <c r="W201" s="35">
        <v>0</v>
      </c>
      <c r="X201" s="35" t="s">
        <v>2057</v>
      </c>
      <c r="Y201" s="35" t="s">
        <v>2058</v>
      </c>
      <c r="AA201" s="35">
        <v>640</v>
      </c>
      <c r="AB201" s="35" t="s">
        <v>2068</v>
      </c>
      <c r="AC201" s="35" t="s">
        <v>2059</v>
      </c>
      <c r="AD201" s="35" t="s">
        <v>1084</v>
      </c>
    </row>
    <row r="202" spans="1:30">
      <c r="A202" s="35" t="s">
        <v>2076</v>
      </c>
      <c r="B202" s="35" t="s">
        <v>2077</v>
      </c>
      <c r="C202" s="35" t="s">
        <v>2052</v>
      </c>
      <c r="D202" s="35" t="s">
        <v>2062</v>
      </c>
      <c r="E202" s="35" t="s">
        <v>2063</v>
      </c>
      <c r="F202" s="35" t="s">
        <v>2432</v>
      </c>
      <c r="G202" s="36" t="s">
        <v>2433</v>
      </c>
      <c r="H202" s="35" t="s">
        <v>86</v>
      </c>
      <c r="I202" s="35" t="s">
        <v>145</v>
      </c>
      <c r="J202" s="35" t="s">
        <v>88</v>
      </c>
      <c r="K202" s="35" t="s">
        <v>88</v>
      </c>
      <c r="L202" s="35">
        <v>32</v>
      </c>
      <c r="M202" s="35" t="s">
        <v>87</v>
      </c>
      <c r="N202" s="35" t="s">
        <v>87</v>
      </c>
      <c r="O202" s="35" t="s">
        <v>88</v>
      </c>
      <c r="P202" s="35">
        <v>35291</v>
      </c>
      <c r="Q202" s="35">
        <v>1412</v>
      </c>
      <c r="R202" s="35">
        <v>0</v>
      </c>
      <c r="S202" s="35">
        <v>1059</v>
      </c>
      <c r="T202" s="35">
        <v>706</v>
      </c>
      <c r="U202" s="35">
        <v>0</v>
      </c>
      <c r="V202" s="35">
        <v>0</v>
      </c>
      <c r="W202" s="35">
        <v>0</v>
      </c>
      <c r="X202" s="35" t="s">
        <v>2057</v>
      </c>
      <c r="Y202" s="35" t="s">
        <v>2058</v>
      </c>
      <c r="AA202" s="35">
        <v>0</v>
      </c>
      <c r="AB202" s="35" t="s">
        <v>2062</v>
      </c>
      <c r="AC202" s="35" t="s">
        <v>2059</v>
      </c>
      <c r="AD202" s="35" t="s">
        <v>1534</v>
      </c>
    </row>
  </sheetData>
  <mergeCells count="1">
    <mergeCell ref="A1:AD1"/>
  </mergeCells>
  <dataValidations count="7">
    <dataValidation type="decimal" allowBlank="1" showInputMessage="1" showErrorMessage="1" sqref="P3:W1202" xr:uid="{00000000-0002-0000-0400-000000000000}">
      <formula1>0</formula1>
      <formula2>100000000</formula2>
    </dataValidation>
    <dataValidation type="whole" operator="greaterThanOrEqual" allowBlank="1" showInputMessage="1" showErrorMessage="1" sqref="L3:L1202" xr:uid="{00000000-0002-0000-0400-000001000000}">
      <formula1>0</formula1>
      <formula2>0</formula2>
    </dataValidation>
    <dataValidation type="list" allowBlank="1" showInputMessage="1" showErrorMessage="1" sqref="H3:H1202" xr:uid="{00000000-0002-0000-0400-000002000000}">
      <formula1>"Male,Female"</formula1>
      <formula2>0</formula2>
    </dataValidation>
    <dataValidation type="list" allowBlank="1" showInputMessage="1" showErrorMessage="1" sqref="I3:I1202" xr:uid="{00000000-0002-0000-0400-000003000000}">
      <formula1>"African,Coloured,Indian,White"</formula1>
      <formula2>0</formula2>
    </dataValidation>
    <dataValidation type="list" allowBlank="1" showInputMessage="1" showErrorMessage="1" sqref="D3:D1202" xr:uid="{00000000-0002-0000-0400-000004000000}">
      <formula1>"Gauteng,Western Cape,Kwazulu-Natal,Eastern Cape,Free State,Limpopo,Mpumalanga,Northern Cape,North West"</formula1>
      <formula2>0</formula2>
    </dataValidation>
    <dataValidation type="list" allowBlank="1" showInputMessage="1" showErrorMessage="1" sqref="J3:K1202 M3:O1202" xr:uid="{00000000-0002-0000-0400-000005000000}">
      <formula1>"Yes,No"</formula1>
      <formula2>0</formula2>
    </dataValidation>
    <dataValidation type="list" allowBlank="1" showInputMessage="1" showErrorMessage="1" sqref="L1:O1" xr:uid="{00000000-0002-0000-0400-000006000000}">
      <formula1>"Under 35,Between 35 &amp; 55,Over 55"</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82"/>
  <sheetViews>
    <sheetView topLeftCell="E1" zoomScale="125" zoomScaleNormal="125" workbookViewId="0">
      <selection activeCell="H16" sqref="H16"/>
    </sheetView>
  </sheetViews>
  <sheetFormatPr defaultColWidth="12.5703125" defaultRowHeight="12.75"/>
  <cols>
    <col min="1" max="1" width="15.85546875" style="45" customWidth="1"/>
    <col min="2" max="2" width="15" style="45" customWidth="1"/>
    <col min="3" max="3" width="12.42578125" style="45" customWidth="1"/>
    <col min="4" max="4" width="13.5703125" style="45" customWidth="1"/>
    <col min="5" max="5" width="14.140625" style="45" customWidth="1"/>
    <col min="6" max="6" width="12.42578125" style="45" customWidth="1"/>
    <col min="7" max="7" width="13.5703125" style="46" customWidth="1"/>
    <col min="8" max="8" width="13.140625" style="45" customWidth="1"/>
    <col min="9" max="10" width="13.140625" style="47" customWidth="1"/>
    <col min="11" max="11" width="18.7109375" style="45" customWidth="1"/>
    <col min="12" max="12" width="13.140625" style="47" customWidth="1"/>
    <col min="13" max="13" width="18.7109375" style="45" customWidth="1"/>
    <col min="14" max="14" width="16.7109375" style="45" customWidth="1"/>
    <col min="15" max="15" width="12.140625" style="45" customWidth="1"/>
    <col min="16" max="16" width="24.5703125" style="48" customWidth="1"/>
    <col min="17" max="17" width="12.5703125" style="49"/>
    <col min="18" max="18" width="13.85546875" style="49" customWidth="1"/>
    <col min="19" max="19" width="13.5703125" style="50" customWidth="1"/>
    <col min="20" max="16384" width="12.5703125" style="49"/>
  </cols>
  <sheetData>
    <row r="1" spans="1:22" ht="15.75" customHeight="1">
      <c r="A1" s="2" t="s">
        <v>2434</v>
      </c>
      <c r="B1" s="2"/>
      <c r="C1" s="2"/>
      <c r="D1" s="2"/>
      <c r="E1" s="2"/>
      <c r="F1" s="2"/>
      <c r="G1" s="2"/>
      <c r="H1" s="2"/>
      <c r="I1" s="2"/>
      <c r="J1" s="2"/>
      <c r="K1" s="2"/>
      <c r="L1" s="2"/>
      <c r="M1" s="2"/>
      <c r="N1" s="2"/>
      <c r="O1" s="2"/>
      <c r="P1" s="2"/>
      <c r="Q1" s="2"/>
      <c r="R1" s="2"/>
      <c r="S1" s="2"/>
    </row>
    <row r="2" spans="1:22" s="53" customFormat="1" ht="52.5" customHeight="1">
      <c r="A2" s="51" t="s">
        <v>2435</v>
      </c>
      <c r="B2" s="51" t="s">
        <v>2436</v>
      </c>
      <c r="C2" s="52" t="s">
        <v>2437</v>
      </c>
      <c r="D2" s="52" t="s">
        <v>2438</v>
      </c>
      <c r="E2" s="52" t="s">
        <v>2439</v>
      </c>
      <c r="F2" s="52" t="s">
        <v>2440</v>
      </c>
      <c r="G2" s="52" t="s">
        <v>2441</v>
      </c>
      <c r="H2" s="52" t="s">
        <v>2442</v>
      </c>
      <c r="I2" s="52" t="s">
        <v>2443</v>
      </c>
      <c r="J2" s="52" t="s">
        <v>2444</v>
      </c>
      <c r="K2" s="52" t="s">
        <v>2445</v>
      </c>
      <c r="L2" s="52" t="s">
        <v>2446</v>
      </c>
      <c r="M2" s="52" t="s">
        <v>2447</v>
      </c>
      <c r="N2" s="52" t="s">
        <v>2448</v>
      </c>
      <c r="O2" s="52" t="s">
        <v>2449</v>
      </c>
      <c r="P2" s="51" t="s">
        <v>2450</v>
      </c>
      <c r="Q2" s="52" t="s">
        <v>2048</v>
      </c>
      <c r="R2" s="52" t="s">
        <v>2049</v>
      </c>
      <c r="S2" s="52" t="s">
        <v>2451</v>
      </c>
    </row>
    <row r="3" spans="1:22" s="58" customFormat="1">
      <c r="A3" s="54" t="s">
        <v>2452</v>
      </c>
      <c r="B3" s="54" t="s">
        <v>2453</v>
      </c>
      <c r="C3" s="54" t="s">
        <v>2454</v>
      </c>
      <c r="D3" s="54" t="s">
        <v>2455</v>
      </c>
      <c r="E3" s="54" t="s">
        <v>2456</v>
      </c>
      <c r="F3" s="54" t="s">
        <v>87</v>
      </c>
      <c r="G3" s="55" t="s">
        <v>2457</v>
      </c>
      <c r="H3" s="54" t="s">
        <v>2453</v>
      </c>
      <c r="I3" s="56">
        <v>74</v>
      </c>
      <c r="J3" s="56">
        <v>30</v>
      </c>
      <c r="K3" s="54" t="s">
        <v>88</v>
      </c>
      <c r="L3" s="56"/>
      <c r="M3" s="54" t="s">
        <v>88</v>
      </c>
      <c r="N3" s="54" t="s">
        <v>88</v>
      </c>
      <c r="O3" s="54" t="s">
        <v>88</v>
      </c>
      <c r="P3" s="57">
        <v>5690349</v>
      </c>
      <c r="Q3" s="58" t="s">
        <v>2078</v>
      </c>
      <c r="R3" s="58" t="s">
        <v>2458</v>
      </c>
      <c r="S3" s="59" t="s">
        <v>2459</v>
      </c>
    </row>
    <row r="4" spans="1:22" s="58" customFormat="1">
      <c r="A4" s="54" t="s">
        <v>2460</v>
      </c>
      <c r="B4" s="54" t="s">
        <v>2461</v>
      </c>
      <c r="C4" s="54" t="s">
        <v>2462</v>
      </c>
      <c r="D4" s="54" t="s">
        <v>2463</v>
      </c>
      <c r="E4" s="54" t="s">
        <v>2456</v>
      </c>
      <c r="F4" s="54" t="s">
        <v>88</v>
      </c>
      <c r="G4" s="55" t="s">
        <v>2457</v>
      </c>
      <c r="H4" s="54" t="s">
        <v>2461</v>
      </c>
      <c r="I4" s="56">
        <v>15</v>
      </c>
      <c r="J4" s="56">
        <v>0</v>
      </c>
      <c r="K4" s="54" t="s">
        <v>88</v>
      </c>
      <c r="L4" s="56"/>
      <c r="M4" s="54" t="s">
        <v>88</v>
      </c>
      <c r="N4" s="54" t="s">
        <v>88</v>
      </c>
      <c r="O4" s="54" t="s">
        <v>88</v>
      </c>
      <c r="P4" s="57">
        <v>1698046</v>
      </c>
      <c r="Q4" s="58" t="s">
        <v>2062</v>
      </c>
      <c r="R4" s="58" t="s">
        <v>2464</v>
      </c>
      <c r="S4" s="59" t="s">
        <v>2459</v>
      </c>
    </row>
    <row r="5" spans="1:22" s="58" customFormat="1">
      <c r="A5" s="54" t="s">
        <v>2465</v>
      </c>
      <c r="B5" s="54" t="s">
        <v>2453</v>
      </c>
      <c r="C5" s="54" t="s">
        <v>2454</v>
      </c>
      <c r="D5" s="54" t="s">
        <v>2466</v>
      </c>
      <c r="E5" s="54" t="s">
        <v>2456</v>
      </c>
      <c r="F5" s="54" t="s">
        <v>87</v>
      </c>
      <c r="G5" s="55" t="s">
        <v>2457</v>
      </c>
      <c r="H5" s="54" t="s">
        <v>2453</v>
      </c>
      <c r="I5" s="56">
        <v>51</v>
      </c>
      <c r="J5" s="56">
        <v>30</v>
      </c>
      <c r="K5" s="54" t="s">
        <v>88</v>
      </c>
      <c r="L5" s="56"/>
      <c r="M5" s="54" t="s">
        <v>88</v>
      </c>
      <c r="N5" s="54" t="s">
        <v>88</v>
      </c>
      <c r="O5" s="54" t="s">
        <v>88</v>
      </c>
      <c r="P5" s="57">
        <v>6176349</v>
      </c>
      <c r="Q5" s="58" t="s">
        <v>2062</v>
      </c>
      <c r="R5" s="58" t="s">
        <v>2464</v>
      </c>
      <c r="S5" s="59" t="s">
        <v>2459</v>
      </c>
    </row>
    <row r="6" spans="1:22">
      <c r="A6" s="54" t="s">
        <v>2467</v>
      </c>
      <c r="B6" s="54" t="s">
        <v>2453</v>
      </c>
      <c r="C6" s="54" t="s">
        <v>2468</v>
      </c>
      <c r="D6" s="54" t="s">
        <v>2469</v>
      </c>
      <c r="E6" s="54" t="s">
        <v>2456</v>
      </c>
      <c r="F6" s="54" t="s">
        <v>88</v>
      </c>
      <c r="G6" s="55" t="s">
        <v>2457</v>
      </c>
      <c r="H6" s="54" t="s">
        <v>2453</v>
      </c>
      <c r="I6" s="56">
        <v>15</v>
      </c>
      <c r="J6" s="56">
        <v>0</v>
      </c>
      <c r="K6" s="54" t="s">
        <v>88</v>
      </c>
      <c r="L6" s="56"/>
      <c r="M6" s="54" t="s">
        <v>88</v>
      </c>
      <c r="N6" s="54" t="s">
        <v>87</v>
      </c>
      <c r="O6" s="54" t="s">
        <v>88</v>
      </c>
      <c r="P6" s="57">
        <v>1543113</v>
      </c>
      <c r="Q6" s="58" t="s">
        <v>2062</v>
      </c>
      <c r="R6" s="58" t="s">
        <v>2464</v>
      </c>
      <c r="S6" s="59" t="s">
        <v>2459</v>
      </c>
      <c r="T6" s="58"/>
      <c r="U6" s="58"/>
      <c r="V6" s="58"/>
    </row>
    <row r="7" spans="1:22">
      <c r="A7" s="54" t="s">
        <v>2470</v>
      </c>
      <c r="B7" s="54" t="s">
        <v>2461</v>
      </c>
      <c r="C7" s="54" t="s">
        <v>2471</v>
      </c>
      <c r="D7" s="54" t="s">
        <v>2472</v>
      </c>
      <c r="E7" s="54" t="s">
        <v>2456</v>
      </c>
      <c r="F7" s="54" t="s">
        <v>87</v>
      </c>
      <c r="G7" s="55" t="s">
        <v>2457</v>
      </c>
      <c r="H7" s="54" t="s">
        <v>2461</v>
      </c>
      <c r="I7" s="56">
        <v>0</v>
      </c>
      <c r="J7" s="56">
        <v>10</v>
      </c>
      <c r="K7" s="54" t="s">
        <v>88</v>
      </c>
      <c r="L7" s="56"/>
      <c r="M7" s="54" t="s">
        <v>88</v>
      </c>
      <c r="N7" s="54" t="s">
        <v>88</v>
      </c>
      <c r="O7" s="54" t="s">
        <v>88</v>
      </c>
      <c r="P7" s="57">
        <v>2418750</v>
      </c>
      <c r="Q7" s="58" t="s">
        <v>2078</v>
      </c>
      <c r="R7" s="58" t="s">
        <v>2059</v>
      </c>
      <c r="S7" s="59" t="s">
        <v>2459</v>
      </c>
      <c r="T7" s="58"/>
      <c r="U7" s="58"/>
      <c r="V7" s="58"/>
    </row>
    <row r="8" spans="1:22">
      <c r="A8" s="54" t="s">
        <v>2473</v>
      </c>
      <c r="B8" s="54" t="s">
        <v>2453</v>
      </c>
      <c r="C8" s="54" t="s">
        <v>2462</v>
      </c>
      <c r="D8" s="54" t="s">
        <v>2474</v>
      </c>
      <c r="E8" s="54" t="s">
        <v>2456</v>
      </c>
      <c r="F8" s="54" t="s">
        <v>88</v>
      </c>
      <c r="G8" s="55" t="s">
        <v>2457</v>
      </c>
      <c r="H8" s="54" t="s">
        <v>2453</v>
      </c>
      <c r="I8" s="56">
        <v>0</v>
      </c>
      <c r="J8" s="56">
        <v>0</v>
      </c>
      <c r="K8" s="54" t="s">
        <v>88</v>
      </c>
      <c r="L8" s="56"/>
      <c r="M8" s="54" t="s">
        <v>88</v>
      </c>
      <c r="N8" s="54" t="s">
        <v>88</v>
      </c>
      <c r="O8" s="54" t="s">
        <v>88</v>
      </c>
      <c r="P8" s="57">
        <v>1530854</v>
      </c>
      <c r="Q8" s="58" t="s">
        <v>2141</v>
      </c>
      <c r="R8" s="58" t="s">
        <v>2464</v>
      </c>
      <c r="S8" s="59" t="s">
        <v>2459</v>
      </c>
      <c r="T8" s="58"/>
      <c r="U8" s="58"/>
      <c r="V8" s="58"/>
    </row>
    <row r="9" spans="1:22">
      <c r="A9" s="54" t="s">
        <v>2475</v>
      </c>
      <c r="B9" s="54" t="s">
        <v>2461</v>
      </c>
      <c r="C9" s="54" t="s">
        <v>2454</v>
      </c>
      <c r="D9" s="54" t="s">
        <v>2476</v>
      </c>
      <c r="E9" s="54" t="s">
        <v>2456</v>
      </c>
      <c r="F9" s="54" t="s">
        <v>87</v>
      </c>
      <c r="G9" s="55" t="s">
        <v>2457</v>
      </c>
      <c r="H9" s="54" t="s">
        <v>2461</v>
      </c>
      <c r="I9" s="56">
        <v>51</v>
      </c>
      <c r="J9" s="56">
        <v>30</v>
      </c>
      <c r="K9" s="54" t="s">
        <v>88</v>
      </c>
      <c r="L9" s="56"/>
      <c r="M9" s="54" t="s">
        <v>88</v>
      </c>
      <c r="N9" s="54" t="s">
        <v>88</v>
      </c>
      <c r="O9" s="54" t="s">
        <v>88</v>
      </c>
      <c r="P9" s="57">
        <v>6386164</v>
      </c>
      <c r="Q9" s="58" t="s">
        <v>2078</v>
      </c>
      <c r="R9" s="58" t="s">
        <v>2464</v>
      </c>
      <c r="S9" s="59" t="s">
        <v>2459</v>
      </c>
      <c r="T9" s="58"/>
      <c r="U9" s="58"/>
      <c r="V9" s="58"/>
    </row>
    <row r="10" spans="1:22">
      <c r="A10" s="45" t="s">
        <v>2477</v>
      </c>
      <c r="B10" s="45" t="s">
        <v>2453</v>
      </c>
      <c r="C10" s="45" t="s">
        <v>2454</v>
      </c>
      <c r="D10" s="45" t="s">
        <v>2478</v>
      </c>
      <c r="E10" s="45" t="s">
        <v>2456</v>
      </c>
      <c r="F10" s="45" t="s">
        <v>87</v>
      </c>
      <c r="G10" s="46" t="s">
        <v>2457</v>
      </c>
      <c r="H10" s="45" t="s">
        <v>2453</v>
      </c>
      <c r="I10" s="47">
        <v>75</v>
      </c>
      <c r="J10" s="47">
        <v>51</v>
      </c>
      <c r="K10" s="45" t="s">
        <v>88</v>
      </c>
      <c r="M10" s="45" t="s">
        <v>87</v>
      </c>
      <c r="N10" s="45" t="s">
        <v>88</v>
      </c>
      <c r="O10" s="45" t="s">
        <v>88</v>
      </c>
      <c r="P10" s="48">
        <v>2157682</v>
      </c>
      <c r="Q10" s="49" t="s">
        <v>2092</v>
      </c>
      <c r="R10" s="49" t="s">
        <v>2458</v>
      </c>
      <c r="S10" s="50" t="s">
        <v>2459</v>
      </c>
    </row>
    <row r="11" spans="1:22">
      <c r="A11" s="45" t="s">
        <v>2479</v>
      </c>
      <c r="B11" s="45" t="s">
        <v>2480</v>
      </c>
      <c r="C11" s="45" t="s">
        <v>2454</v>
      </c>
      <c r="D11" s="45" t="s">
        <v>2481</v>
      </c>
      <c r="E11" s="45" t="s">
        <v>2456</v>
      </c>
      <c r="F11" s="45" t="s">
        <v>87</v>
      </c>
      <c r="G11" s="46" t="s">
        <v>2457</v>
      </c>
      <c r="H11" s="45" t="s">
        <v>2480</v>
      </c>
      <c r="I11" s="47">
        <v>100</v>
      </c>
      <c r="J11" s="47">
        <v>30</v>
      </c>
      <c r="K11" s="45" t="s">
        <v>88</v>
      </c>
      <c r="M11" s="45" t="s">
        <v>87</v>
      </c>
      <c r="N11" s="45" t="s">
        <v>87</v>
      </c>
      <c r="O11" s="45" t="s">
        <v>87</v>
      </c>
      <c r="P11" s="48">
        <v>2393974</v>
      </c>
      <c r="Q11" s="49" t="s">
        <v>2132</v>
      </c>
      <c r="R11" s="49" t="s">
        <v>2059</v>
      </c>
      <c r="S11" s="50" t="s">
        <v>2459</v>
      </c>
    </row>
    <row r="12" spans="1:22">
      <c r="A12" s="45" t="s">
        <v>2482</v>
      </c>
      <c r="B12" s="45" t="s">
        <v>2461</v>
      </c>
      <c r="C12" s="45" t="s">
        <v>2454</v>
      </c>
      <c r="D12" s="45" t="s">
        <v>2483</v>
      </c>
      <c r="E12" s="45" t="s">
        <v>2456</v>
      </c>
      <c r="F12" s="45" t="s">
        <v>87</v>
      </c>
      <c r="G12" s="46" t="s">
        <v>2457</v>
      </c>
      <c r="H12" s="45" t="s">
        <v>2461</v>
      </c>
      <c r="I12" s="47">
        <v>51</v>
      </c>
      <c r="J12" s="47">
        <v>0</v>
      </c>
      <c r="K12" s="45" t="s">
        <v>88</v>
      </c>
      <c r="M12" s="45" t="s">
        <v>88</v>
      </c>
      <c r="N12" s="45" t="s">
        <v>87</v>
      </c>
      <c r="O12" s="45" t="s">
        <v>88</v>
      </c>
      <c r="P12" s="48">
        <v>3402064</v>
      </c>
      <c r="Q12" s="49" t="s">
        <v>2092</v>
      </c>
      <c r="R12" s="49" t="s">
        <v>2464</v>
      </c>
      <c r="S12" s="50" t="s">
        <v>2459</v>
      </c>
    </row>
    <row r="13" spans="1:22">
      <c r="A13" s="45" t="s">
        <v>2484</v>
      </c>
      <c r="B13" s="45" t="s">
        <v>2453</v>
      </c>
      <c r="C13" s="45" t="s">
        <v>2454</v>
      </c>
      <c r="D13" s="45" t="s">
        <v>2485</v>
      </c>
      <c r="E13" s="45" t="s">
        <v>2456</v>
      </c>
      <c r="F13" s="45" t="s">
        <v>87</v>
      </c>
      <c r="G13" s="46" t="s">
        <v>2457</v>
      </c>
      <c r="H13" s="45" t="s">
        <v>2453</v>
      </c>
      <c r="I13" s="47">
        <v>51</v>
      </c>
      <c r="J13" s="47">
        <v>0</v>
      </c>
      <c r="K13" s="45" t="s">
        <v>88</v>
      </c>
      <c r="M13" s="45" t="s">
        <v>88</v>
      </c>
      <c r="N13" s="45" t="s">
        <v>87</v>
      </c>
      <c r="O13" s="45" t="s">
        <v>88</v>
      </c>
      <c r="P13" s="48">
        <v>2035813</v>
      </c>
      <c r="Q13" s="49" t="s">
        <v>2078</v>
      </c>
      <c r="R13" s="49" t="s">
        <v>2059</v>
      </c>
      <c r="S13" s="50" t="s">
        <v>2459</v>
      </c>
    </row>
    <row r="14" spans="1:22">
      <c r="A14" s="45" t="s">
        <v>2486</v>
      </c>
      <c r="B14" s="45" t="s">
        <v>2480</v>
      </c>
      <c r="C14" s="45" t="s">
        <v>2454</v>
      </c>
      <c r="D14" s="45" t="s">
        <v>2487</v>
      </c>
      <c r="E14" s="45" t="s">
        <v>2456</v>
      </c>
      <c r="F14" s="45" t="s">
        <v>87</v>
      </c>
      <c r="G14" s="46" t="s">
        <v>2457</v>
      </c>
      <c r="H14" s="45" t="s">
        <v>2480</v>
      </c>
      <c r="I14" s="47">
        <v>51</v>
      </c>
      <c r="J14" s="47">
        <v>35</v>
      </c>
      <c r="K14" s="45" t="s">
        <v>88</v>
      </c>
      <c r="M14" s="45" t="s">
        <v>87</v>
      </c>
      <c r="N14" s="45" t="s">
        <v>88</v>
      </c>
      <c r="O14" s="45" t="s">
        <v>88</v>
      </c>
      <c r="P14" s="48">
        <v>2279258</v>
      </c>
      <c r="Q14" s="49" t="s">
        <v>2078</v>
      </c>
      <c r="R14" s="49" t="s">
        <v>2464</v>
      </c>
      <c r="S14" s="50" t="s">
        <v>2459</v>
      </c>
    </row>
    <row r="15" spans="1:22">
      <c r="A15" s="45" t="s">
        <v>2488</v>
      </c>
      <c r="B15" s="45" t="s">
        <v>2453</v>
      </c>
      <c r="C15" s="45" t="s">
        <v>2454</v>
      </c>
      <c r="D15" s="45" t="s">
        <v>2489</v>
      </c>
      <c r="E15" s="45" t="s">
        <v>2456</v>
      </c>
      <c r="F15" s="45" t="s">
        <v>87</v>
      </c>
      <c r="G15" s="46" t="s">
        <v>2457</v>
      </c>
      <c r="H15" s="45" t="s">
        <v>2453</v>
      </c>
      <c r="I15" s="47">
        <v>74</v>
      </c>
      <c r="J15" s="47">
        <v>40</v>
      </c>
      <c r="K15" s="45" t="s">
        <v>88</v>
      </c>
      <c r="M15" s="45" t="s">
        <v>88</v>
      </c>
      <c r="N15" s="45" t="s">
        <v>87</v>
      </c>
      <c r="O15" s="45" t="s">
        <v>88</v>
      </c>
      <c r="P15" s="48">
        <v>5845527</v>
      </c>
      <c r="Q15" s="49" t="s">
        <v>2062</v>
      </c>
      <c r="R15" s="49" t="s">
        <v>2458</v>
      </c>
      <c r="S15" s="50" t="s">
        <v>2459</v>
      </c>
    </row>
    <row r="16" spans="1:22">
      <c r="A16" s="45" t="s">
        <v>2490</v>
      </c>
      <c r="B16" s="45" t="s">
        <v>2453</v>
      </c>
      <c r="C16" s="45" t="s">
        <v>2454</v>
      </c>
      <c r="D16" s="45" t="s">
        <v>2491</v>
      </c>
      <c r="E16" s="45" t="s">
        <v>2456</v>
      </c>
      <c r="F16" s="45" t="s">
        <v>87</v>
      </c>
      <c r="G16" s="46" t="s">
        <v>2457</v>
      </c>
      <c r="H16" s="45" t="s">
        <v>2453</v>
      </c>
      <c r="I16" s="47">
        <v>74</v>
      </c>
      <c r="J16" s="47">
        <v>40</v>
      </c>
      <c r="K16" s="45" t="s">
        <v>88</v>
      </c>
      <c r="M16" s="45" t="s">
        <v>88</v>
      </c>
      <c r="N16" s="45" t="s">
        <v>88</v>
      </c>
      <c r="O16" s="45" t="s">
        <v>88</v>
      </c>
      <c r="P16" s="48">
        <v>6128091</v>
      </c>
      <c r="Q16" s="49" t="s">
        <v>2068</v>
      </c>
      <c r="R16" s="49" t="s">
        <v>2458</v>
      </c>
      <c r="S16" s="50" t="s">
        <v>2459</v>
      </c>
    </row>
    <row r="17" spans="1:19">
      <c r="A17" s="45" t="s">
        <v>2492</v>
      </c>
      <c r="B17" s="45" t="s">
        <v>2461</v>
      </c>
      <c r="C17" s="45" t="s">
        <v>2493</v>
      </c>
      <c r="D17" s="45" t="s">
        <v>2494</v>
      </c>
      <c r="E17" s="45" t="s">
        <v>2456</v>
      </c>
      <c r="F17" s="45" t="s">
        <v>87</v>
      </c>
      <c r="G17" s="46" t="s">
        <v>2457</v>
      </c>
      <c r="H17" s="45" t="s">
        <v>2461</v>
      </c>
      <c r="I17" s="47">
        <v>45</v>
      </c>
      <c r="J17" s="47">
        <v>0</v>
      </c>
      <c r="K17" s="45" t="s">
        <v>88</v>
      </c>
      <c r="M17" s="45" t="s">
        <v>88</v>
      </c>
      <c r="N17" s="45" t="s">
        <v>88</v>
      </c>
      <c r="O17" s="45" t="s">
        <v>88</v>
      </c>
      <c r="P17" s="48">
        <v>2759352</v>
      </c>
      <c r="Q17" s="49" t="s">
        <v>2078</v>
      </c>
      <c r="R17" s="49" t="s">
        <v>2059</v>
      </c>
      <c r="S17" s="50" t="s">
        <v>2459</v>
      </c>
    </row>
    <row r="18" spans="1:19">
      <c r="A18" s="45" t="s">
        <v>2495</v>
      </c>
      <c r="B18" s="45" t="s">
        <v>2453</v>
      </c>
      <c r="C18" s="45" t="s">
        <v>2454</v>
      </c>
      <c r="D18" s="45" t="s">
        <v>2496</v>
      </c>
      <c r="E18" s="45" t="s">
        <v>2456</v>
      </c>
      <c r="F18" s="45" t="s">
        <v>87</v>
      </c>
      <c r="G18" s="46" t="s">
        <v>2457</v>
      </c>
      <c r="H18" s="45" t="s">
        <v>2453</v>
      </c>
      <c r="I18" s="47">
        <v>100</v>
      </c>
      <c r="J18" s="47">
        <v>0</v>
      </c>
      <c r="K18" s="45" t="s">
        <v>88</v>
      </c>
      <c r="M18" s="45" t="s">
        <v>88</v>
      </c>
      <c r="N18" s="45" t="s">
        <v>87</v>
      </c>
      <c r="O18" s="45" t="s">
        <v>88</v>
      </c>
      <c r="P18" s="48">
        <v>1941342</v>
      </c>
      <c r="Q18" s="49" t="s">
        <v>2062</v>
      </c>
      <c r="R18" s="49" t="s">
        <v>2059</v>
      </c>
      <c r="S18" s="50" t="s">
        <v>2459</v>
      </c>
    </row>
    <row r="19" spans="1:19">
      <c r="A19" s="45" t="s">
        <v>2497</v>
      </c>
      <c r="B19" s="45" t="s">
        <v>2461</v>
      </c>
      <c r="C19" s="45" t="s">
        <v>2498</v>
      </c>
      <c r="D19" s="45" t="s">
        <v>2499</v>
      </c>
      <c r="E19" s="45" t="s">
        <v>2456</v>
      </c>
      <c r="F19" s="45" t="s">
        <v>87</v>
      </c>
      <c r="G19" s="46" t="s">
        <v>2457</v>
      </c>
      <c r="H19" s="45" t="s">
        <v>2461</v>
      </c>
      <c r="I19" s="47">
        <v>51</v>
      </c>
      <c r="J19" s="47">
        <v>20</v>
      </c>
      <c r="K19" s="45" t="s">
        <v>88</v>
      </c>
      <c r="M19" s="45" t="s">
        <v>88</v>
      </c>
      <c r="N19" s="45" t="s">
        <v>88</v>
      </c>
      <c r="O19" s="45" t="s">
        <v>88</v>
      </c>
      <c r="P19" s="48">
        <v>3469012</v>
      </c>
      <c r="Q19" s="49" t="s">
        <v>2053</v>
      </c>
      <c r="R19" s="49" t="s">
        <v>2458</v>
      </c>
      <c r="S19" s="50" t="s">
        <v>2459</v>
      </c>
    </row>
    <row r="20" spans="1:19">
      <c r="A20" s="45" t="s">
        <v>2500</v>
      </c>
      <c r="B20" s="45" t="s">
        <v>2461</v>
      </c>
      <c r="C20" s="45" t="s">
        <v>2498</v>
      </c>
      <c r="D20" s="45" t="s">
        <v>2501</v>
      </c>
      <c r="E20" s="45" t="s">
        <v>2456</v>
      </c>
      <c r="F20" s="45" t="s">
        <v>87</v>
      </c>
      <c r="G20" s="46" t="s">
        <v>2457</v>
      </c>
      <c r="H20" s="45" t="s">
        <v>2461</v>
      </c>
      <c r="I20" s="47">
        <v>51</v>
      </c>
      <c r="J20" s="47">
        <v>12</v>
      </c>
      <c r="K20" s="45" t="s">
        <v>88</v>
      </c>
      <c r="M20" s="45" t="s">
        <v>88</v>
      </c>
      <c r="N20" s="45" t="s">
        <v>87</v>
      </c>
      <c r="O20" s="45" t="s">
        <v>88</v>
      </c>
      <c r="P20" s="48">
        <v>3357898</v>
      </c>
      <c r="Q20" s="49" t="s">
        <v>2062</v>
      </c>
      <c r="R20" s="49" t="s">
        <v>2464</v>
      </c>
      <c r="S20" s="50" t="s">
        <v>2459</v>
      </c>
    </row>
    <row r="21" spans="1:19">
      <c r="A21" s="45" t="s">
        <v>2502</v>
      </c>
      <c r="B21" s="45" t="s">
        <v>2461</v>
      </c>
      <c r="C21" s="45" t="s">
        <v>2493</v>
      </c>
      <c r="D21" s="45" t="s">
        <v>2503</v>
      </c>
      <c r="E21" s="45" t="s">
        <v>2456</v>
      </c>
      <c r="F21" s="45" t="s">
        <v>87</v>
      </c>
      <c r="G21" s="46" t="s">
        <v>2457</v>
      </c>
      <c r="H21" s="45" t="s">
        <v>2461</v>
      </c>
      <c r="I21" s="47">
        <v>45</v>
      </c>
      <c r="J21" s="47">
        <v>10</v>
      </c>
      <c r="K21" s="45" t="s">
        <v>88</v>
      </c>
      <c r="M21" s="45" t="s">
        <v>88</v>
      </c>
      <c r="N21" s="45" t="s">
        <v>88</v>
      </c>
      <c r="O21" s="45" t="s">
        <v>88</v>
      </c>
      <c r="P21" s="48">
        <v>2254128</v>
      </c>
      <c r="Q21" s="49" t="s">
        <v>2107</v>
      </c>
      <c r="R21" s="49" t="s">
        <v>2059</v>
      </c>
      <c r="S21" s="50" t="s">
        <v>2459</v>
      </c>
    </row>
    <row r="22" spans="1:19">
      <c r="A22" s="45" t="s">
        <v>2504</v>
      </c>
      <c r="B22" s="45" t="s">
        <v>2461</v>
      </c>
      <c r="C22" s="45" t="s">
        <v>2454</v>
      </c>
      <c r="D22" s="45" t="s">
        <v>2505</v>
      </c>
      <c r="E22" s="45" t="s">
        <v>2456</v>
      </c>
      <c r="F22" s="45" t="s">
        <v>87</v>
      </c>
      <c r="G22" s="46" t="s">
        <v>2457</v>
      </c>
      <c r="H22" s="45" t="s">
        <v>2461</v>
      </c>
      <c r="I22" s="47">
        <v>74</v>
      </c>
      <c r="J22" s="47">
        <v>55</v>
      </c>
      <c r="K22" s="45" t="s">
        <v>88</v>
      </c>
      <c r="M22" s="45" t="s">
        <v>88</v>
      </c>
      <c r="N22" s="45" t="s">
        <v>87</v>
      </c>
      <c r="O22" s="45" t="s">
        <v>88</v>
      </c>
      <c r="P22" s="48">
        <v>6004540</v>
      </c>
      <c r="Q22" s="49" t="s">
        <v>2141</v>
      </c>
      <c r="R22" s="49" t="s">
        <v>2458</v>
      </c>
      <c r="S22" s="50" t="s">
        <v>2459</v>
      </c>
    </row>
    <row r="23" spans="1:19">
      <c r="A23" s="45" t="s">
        <v>2506</v>
      </c>
      <c r="B23" s="45" t="s">
        <v>2453</v>
      </c>
      <c r="C23" s="45" t="s">
        <v>2507</v>
      </c>
      <c r="D23" s="45" t="s">
        <v>2508</v>
      </c>
      <c r="E23" s="45" t="s">
        <v>2456</v>
      </c>
      <c r="F23" s="45" t="s">
        <v>88</v>
      </c>
      <c r="G23" s="46" t="s">
        <v>2457</v>
      </c>
      <c r="H23" s="45" t="s">
        <v>2453</v>
      </c>
      <c r="I23" s="47">
        <v>15</v>
      </c>
      <c r="J23" s="47">
        <v>0</v>
      </c>
      <c r="K23" s="45" t="s">
        <v>88</v>
      </c>
      <c r="M23" s="45" t="s">
        <v>88</v>
      </c>
      <c r="N23" s="45" t="s">
        <v>88</v>
      </c>
      <c r="O23" s="45" t="s">
        <v>88</v>
      </c>
      <c r="P23" s="48">
        <v>1602623</v>
      </c>
      <c r="Q23" s="49" t="s">
        <v>2092</v>
      </c>
      <c r="R23" s="49" t="s">
        <v>2458</v>
      </c>
      <c r="S23" s="50" t="s">
        <v>2459</v>
      </c>
    </row>
    <row r="24" spans="1:19">
      <c r="A24" s="45" t="s">
        <v>2509</v>
      </c>
      <c r="B24" s="45" t="s">
        <v>2480</v>
      </c>
      <c r="C24" s="45" t="s">
        <v>2454</v>
      </c>
      <c r="D24" s="45" t="s">
        <v>2510</v>
      </c>
      <c r="E24" s="45" t="s">
        <v>2456</v>
      </c>
      <c r="F24" s="45" t="s">
        <v>87</v>
      </c>
      <c r="G24" s="46" t="s">
        <v>2457</v>
      </c>
      <c r="H24" s="45" t="s">
        <v>2480</v>
      </c>
      <c r="I24" s="47">
        <v>75</v>
      </c>
      <c r="J24" s="47">
        <v>0</v>
      </c>
      <c r="K24" s="45" t="s">
        <v>88</v>
      </c>
      <c r="M24" s="45" t="s">
        <v>87</v>
      </c>
      <c r="N24" s="45" t="s">
        <v>87</v>
      </c>
      <c r="O24" s="45" t="s">
        <v>88</v>
      </c>
      <c r="P24" s="48">
        <v>2150509</v>
      </c>
      <c r="Q24" s="49" t="s">
        <v>2078</v>
      </c>
      <c r="R24" s="49" t="s">
        <v>2059</v>
      </c>
      <c r="S24" s="50" t="s">
        <v>2459</v>
      </c>
    </row>
    <row r="25" spans="1:19">
      <c r="A25" s="45" t="s">
        <v>2511</v>
      </c>
      <c r="B25" s="45" t="s">
        <v>2461</v>
      </c>
      <c r="C25" s="45" t="s">
        <v>2454</v>
      </c>
      <c r="D25" s="45" t="s">
        <v>2512</v>
      </c>
      <c r="E25" s="45" t="s">
        <v>2456</v>
      </c>
      <c r="F25" s="45" t="s">
        <v>87</v>
      </c>
      <c r="G25" s="46" t="s">
        <v>2457</v>
      </c>
      <c r="H25" s="45" t="s">
        <v>2461</v>
      </c>
      <c r="I25" s="47">
        <v>100</v>
      </c>
      <c r="J25" s="47">
        <v>40</v>
      </c>
      <c r="K25" s="45" t="s">
        <v>88</v>
      </c>
      <c r="M25" s="45" t="s">
        <v>88</v>
      </c>
      <c r="N25" s="45" t="s">
        <v>88</v>
      </c>
      <c r="O25" s="45" t="s">
        <v>88</v>
      </c>
      <c r="P25" s="48">
        <v>5827719</v>
      </c>
      <c r="Q25" s="49" t="s">
        <v>2132</v>
      </c>
      <c r="R25" s="49" t="s">
        <v>2464</v>
      </c>
      <c r="S25" s="50" t="s">
        <v>2459</v>
      </c>
    </row>
    <row r="26" spans="1:19">
      <c r="A26" s="45" t="s">
        <v>2513</v>
      </c>
      <c r="B26" s="45" t="s">
        <v>2453</v>
      </c>
      <c r="C26" s="45" t="s">
        <v>2468</v>
      </c>
      <c r="D26" s="45" t="s">
        <v>2514</v>
      </c>
      <c r="E26" s="45" t="s">
        <v>2456</v>
      </c>
      <c r="F26" s="45" t="s">
        <v>88</v>
      </c>
      <c r="G26" s="46" t="s">
        <v>2457</v>
      </c>
      <c r="H26" s="45" t="s">
        <v>2453</v>
      </c>
      <c r="I26" s="47">
        <v>0</v>
      </c>
      <c r="J26" s="47">
        <v>0</v>
      </c>
      <c r="K26" s="45" t="s">
        <v>88</v>
      </c>
      <c r="M26" s="45" t="s">
        <v>88</v>
      </c>
      <c r="N26" s="45" t="s">
        <v>88</v>
      </c>
      <c r="O26" s="45" t="s">
        <v>88</v>
      </c>
      <c r="P26" s="48">
        <v>1380803</v>
      </c>
      <c r="Q26" s="49" t="s">
        <v>2092</v>
      </c>
      <c r="R26" s="49" t="s">
        <v>2464</v>
      </c>
      <c r="S26" s="50" t="s">
        <v>2459</v>
      </c>
    </row>
    <row r="27" spans="1:19">
      <c r="A27" s="45" t="s">
        <v>2515</v>
      </c>
      <c r="B27" s="45" t="s">
        <v>2461</v>
      </c>
      <c r="C27" s="45" t="s">
        <v>2498</v>
      </c>
      <c r="D27" s="45" t="s">
        <v>2516</v>
      </c>
      <c r="E27" s="45" t="s">
        <v>2456</v>
      </c>
      <c r="F27" s="45" t="s">
        <v>87</v>
      </c>
      <c r="G27" s="46" t="s">
        <v>2457</v>
      </c>
      <c r="H27" s="45" t="s">
        <v>2461</v>
      </c>
      <c r="I27" s="47">
        <v>68</v>
      </c>
      <c r="J27" s="47">
        <v>12</v>
      </c>
      <c r="K27" s="45" t="s">
        <v>88</v>
      </c>
      <c r="M27" s="45" t="s">
        <v>88</v>
      </c>
      <c r="N27" s="45" t="s">
        <v>87</v>
      </c>
      <c r="O27" s="45" t="s">
        <v>88</v>
      </c>
      <c r="P27" s="48">
        <v>3248554</v>
      </c>
      <c r="Q27" s="49" t="s">
        <v>2082</v>
      </c>
      <c r="R27" s="49" t="s">
        <v>2464</v>
      </c>
      <c r="S27" s="50" t="s">
        <v>2459</v>
      </c>
    </row>
    <row r="28" spans="1:19">
      <c r="A28" s="45" t="s">
        <v>2517</v>
      </c>
      <c r="B28" s="45" t="s">
        <v>2453</v>
      </c>
      <c r="C28" s="45" t="s">
        <v>2518</v>
      </c>
      <c r="D28" s="45" t="s">
        <v>2519</v>
      </c>
      <c r="E28" s="45" t="s">
        <v>2456</v>
      </c>
      <c r="F28" s="45" t="s">
        <v>88</v>
      </c>
      <c r="G28" s="46" t="s">
        <v>2457</v>
      </c>
      <c r="H28" s="45" t="s">
        <v>2453</v>
      </c>
      <c r="I28" s="47">
        <v>15</v>
      </c>
      <c r="J28" s="47">
        <v>0</v>
      </c>
      <c r="K28" s="45" t="s">
        <v>88</v>
      </c>
      <c r="M28" s="45" t="s">
        <v>88</v>
      </c>
      <c r="N28" s="45" t="s">
        <v>87</v>
      </c>
      <c r="O28" s="45" t="s">
        <v>88</v>
      </c>
      <c r="P28" s="48">
        <v>1321875</v>
      </c>
      <c r="Q28" s="49" t="s">
        <v>2053</v>
      </c>
      <c r="R28" s="49" t="s">
        <v>2458</v>
      </c>
      <c r="S28" s="50" t="s">
        <v>2459</v>
      </c>
    </row>
    <row r="29" spans="1:19">
      <c r="A29" s="45" t="s">
        <v>2520</v>
      </c>
      <c r="B29" s="45" t="s">
        <v>2461</v>
      </c>
      <c r="C29" s="45" t="s">
        <v>2498</v>
      </c>
      <c r="D29" s="45" t="s">
        <v>2521</v>
      </c>
      <c r="E29" s="45" t="s">
        <v>2456</v>
      </c>
      <c r="F29" s="45" t="s">
        <v>87</v>
      </c>
      <c r="G29" s="46" t="s">
        <v>2457</v>
      </c>
      <c r="H29" s="45" t="s">
        <v>2461</v>
      </c>
      <c r="I29" s="47">
        <v>68</v>
      </c>
      <c r="J29" s="47">
        <v>20</v>
      </c>
      <c r="K29" s="45" t="s">
        <v>88</v>
      </c>
      <c r="M29" s="45" t="s">
        <v>88</v>
      </c>
      <c r="N29" s="45" t="s">
        <v>87</v>
      </c>
      <c r="O29" s="45" t="s">
        <v>88</v>
      </c>
      <c r="P29" s="48">
        <v>3709877</v>
      </c>
      <c r="Q29" s="49" t="s">
        <v>2092</v>
      </c>
      <c r="R29" s="49" t="s">
        <v>2458</v>
      </c>
      <c r="S29" s="50" t="s">
        <v>2459</v>
      </c>
    </row>
    <row r="30" spans="1:19">
      <c r="A30" s="45" t="s">
        <v>2522</v>
      </c>
      <c r="B30" s="45" t="s">
        <v>2461</v>
      </c>
      <c r="C30" s="45" t="s">
        <v>2454</v>
      </c>
      <c r="D30" s="45" t="s">
        <v>2523</v>
      </c>
      <c r="E30" s="45" t="s">
        <v>2456</v>
      </c>
      <c r="F30" s="45" t="s">
        <v>87</v>
      </c>
      <c r="G30" s="46" t="s">
        <v>2457</v>
      </c>
      <c r="H30" s="45" t="s">
        <v>2461</v>
      </c>
      <c r="I30" s="47">
        <v>51</v>
      </c>
      <c r="J30" s="47">
        <v>0</v>
      </c>
      <c r="K30" s="45" t="s">
        <v>88</v>
      </c>
      <c r="M30" s="45" t="s">
        <v>88</v>
      </c>
      <c r="N30" s="45" t="s">
        <v>88</v>
      </c>
      <c r="O30" s="45" t="s">
        <v>88</v>
      </c>
      <c r="P30" s="48">
        <v>3567791</v>
      </c>
      <c r="Q30" s="49" t="s">
        <v>2053</v>
      </c>
      <c r="R30" s="49" t="s">
        <v>2458</v>
      </c>
      <c r="S30" s="50" t="s">
        <v>2459</v>
      </c>
    </row>
    <row r="31" spans="1:19">
      <c r="A31" s="45" t="s">
        <v>2524</v>
      </c>
      <c r="B31" s="45" t="s">
        <v>2453</v>
      </c>
      <c r="C31" s="45" t="s">
        <v>2454</v>
      </c>
      <c r="D31" s="45" t="s">
        <v>2525</v>
      </c>
      <c r="E31" s="45" t="s">
        <v>2456</v>
      </c>
      <c r="F31" s="45" t="s">
        <v>87</v>
      </c>
      <c r="G31" s="46" t="s">
        <v>2457</v>
      </c>
      <c r="H31" s="45" t="s">
        <v>2453</v>
      </c>
      <c r="I31" s="47">
        <v>74</v>
      </c>
      <c r="J31" s="47">
        <v>40</v>
      </c>
      <c r="K31" s="45" t="s">
        <v>88</v>
      </c>
      <c r="M31" s="45" t="s">
        <v>88</v>
      </c>
      <c r="N31" s="45" t="s">
        <v>87</v>
      </c>
      <c r="O31" s="45" t="s">
        <v>88</v>
      </c>
      <c r="P31" s="48">
        <v>6184753</v>
      </c>
      <c r="Q31" s="49" t="s">
        <v>2132</v>
      </c>
      <c r="R31" s="49" t="s">
        <v>2458</v>
      </c>
      <c r="S31" s="50" t="s">
        <v>2459</v>
      </c>
    </row>
    <row r="32" spans="1:19">
      <c r="A32" s="45" t="s">
        <v>2526</v>
      </c>
      <c r="B32" s="45" t="s">
        <v>2461</v>
      </c>
      <c r="C32" s="45" t="s">
        <v>2498</v>
      </c>
      <c r="D32" s="45" t="s">
        <v>2527</v>
      </c>
      <c r="E32" s="45" t="s">
        <v>2456</v>
      </c>
      <c r="F32" s="45" t="s">
        <v>87</v>
      </c>
      <c r="G32" s="46" t="s">
        <v>2457</v>
      </c>
      <c r="H32" s="45" t="s">
        <v>2461</v>
      </c>
      <c r="I32" s="47">
        <v>68</v>
      </c>
      <c r="J32" s="47">
        <v>0</v>
      </c>
      <c r="K32" s="45" t="s">
        <v>88</v>
      </c>
      <c r="M32" s="45" t="s">
        <v>88</v>
      </c>
      <c r="N32" s="45" t="s">
        <v>88</v>
      </c>
      <c r="O32" s="45" t="s">
        <v>88</v>
      </c>
      <c r="P32" s="48">
        <v>3663712</v>
      </c>
      <c r="Q32" s="49" t="s">
        <v>2132</v>
      </c>
      <c r="R32" s="49" t="s">
        <v>2059</v>
      </c>
      <c r="S32" s="50" t="s">
        <v>2459</v>
      </c>
    </row>
    <row r="33" spans="1:19">
      <c r="A33" s="45" t="s">
        <v>2528</v>
      </c>
      <c r="B33" s="45" t="s">
        <v>2453</v>
      </c>
      <c r="C33" s="45" t="s">
        <v>2454</v>
      </c>
      <c r="D33" s="45" t="s">
        <v>2529</v>
      </c>
      <c r="E33" s="45" t="s">
        <v>2456</v>
      </c>
      <c r="F33" s="45" t="s">
        <v>87</v>
      </c>
      <c r="G33" s="46" t="s">
        <v>2457</v>
      </c>
      <c r="H33" s="45" t="s">
        <v>2453</v>
      </c>
      <c r="I33" s="47">
        <v>51</v>
      </c>
      <c r="J33" s="47">
        <v>40</v>
      </c>
      <c r="K33" s="45" t="s">
        <v>88</v>
      </c>
      <c r="M33" s="45" t="s">
        <v>88</v>
      </c>
      <c r="N33" s="45" t="s">
        <v>87</v>
      </c>
      <c r="O33" s="45" t="s">
        <v>88</v>
      </c>
      <c r="P33" s="48">
        <v>6275059</v>
      </c>
      <c r="Q33" s="49" t="s">
        <v>2053</v>
      </c>
      <c r="R33" s="49" t="s">
        <v>2458</v>
      </c>
      <c r="S33" s="50" t="s">
        <v>2459</v>
      </c>
    </row>
    <row r="34" spans="1:19">
      <c r="A34" s="45" t="s">
        <v>2530</v>
      </c>
      <c r="B34" s="45" t="s">
        <v>2461</v>
      </c>
      <c r="C34" s="45" t="s">
        <v>2498</v>
      </c>
      <c r="D34" s="45" t="s">
        <v>2531</v>
      </c>
      <c r="E34" s="45" t="s">
        <v>2456</v>
      </c>
      <c r="F34" s="45" t="s">
        <v>87</v>
      </c>
      <c r="G34" s="46" t="s">
        <v>2457</v>
      </c>
      <c r="H34" s="45" t="s">
        <v>2461</v>
      </c>
      <c r="I34" s="47">
        <v>51</v>
      </c>
      <c r="J34" s="47">
        <v>12</v>
      </c>
      <c r="K34" s="45" t="s">
        <v>88</v>
      </c>
      <c r="M34" s="45" t="s">
        <v>88</v>
      </c>
      <c r="N34" s="45" t="s">
        <v>88</v>
      </c>
      <c r="O34" s="45" t="s">
        <v>88</v>
      </c>
      <c r="P34" s="48">
        <v>3368715</v>
      </c>
      <c r="Q34" s="49" t="s">
        <v>2078</v>
      </c>
      <c r="R34" s="49" t="s">
        <v>2464</v>
      </c>
      <c r="S34" s="50" t="s">
        <v>2459</v>
      </c>
    </row>
    <row r="35" spans="1:19">
      <c r="A35" s="45" t="s">
        <v>2532</v>
      </c>
      <c r="B35" s="45" t="s">
        <v>2461</v>
      </c>
      <c r="C35" s="45" t="s">
        <v>2454</v>
      </c>
      <c r="D35" s="45" t="s">
        <v>2533</v>
      </c>
      <c r="E35" s="45" t="s">
        <v>2456</v>
      </c>
      <c r="F35" s="45" t="s">
        <v>87</v>
      </c>
      <c r="G35" s="46" t="s">
        <v>2457</v>
      </c>
      <c r="H35" s="45" t="s">
        <v>2461</v>
      </c>
      <c r="I35" s="47">
        <v>74</v>
      </c>
      <c r="J35" s="47">
        <v>55</v>
      </c>
      <c r="K35" s="45" t="s">
        <v>88</v>
      </c>
      <c r="M35" s="45" t="s">
        <v>88</v>
      </c>
      <c r="N35" s="45" t="s">
        <v>87</v>
      </c>
      <c r="O35" s="45" t="s">
        <v>88</v>
      </c>
      <c r="P35" s="48">
        <v>5995482</v>
      </c>
      <c r="Q35" s="49" t="s">
        <v>2082</v>
      </c>
      <c r="R35" s="49" t="s">
        <v>2458</v>
      </c>
      <c r="S35" s="50" t="s">
        <v>2459</v>
      </c>
    </row>
    <row r="36" spans="1:19">
      <c r="A36" s="45" t="s">
        <v>2534</v>
      </c>
      <c r="B36" s="45" t="s">
        <v>2453</v>
      </c>
      <c r="C36" s="45" t="s">
        <v>2454</v>
      </c>
      <c r="D36" s="45" t="s">
        <v>2535</v>
      </c>
      <c r="E36" s="45" t="s">
        <v>2456</v>
      </c>
      <c r="F36" s="45" t="s">
        <v>87</v>
      </c>
      <c r="G36" s="46" t="s">
        <v>2457</v>
      </c>
      <c r="H36" s="45" t="s">
        <v>2453</v>
      </c>
      <c r="I36" s="47">
        <v>51</v>
      </c>
      <c r="J36" s="47">
        <v>51</v>
      </c>
      <c r="K36" s="45" t="s">
        <v>88</v>
      </c>
      <c r="M36" s="45" t="s">
        <v>87</v>
      </c>
      <c r="N36" s="45" t="s">
        <v>88</v>
      </c>
      <c r="O36" s="45" t="s">
        <v>88</v>
      </c>
      <c r="P36" s="48">
        <v>1827133</v>
      </c>
      <c r="Q36" s="49" t="s">
        <v>2107</v>
      </c>
      <c r="R36" s="49" t="s">
        <v>2059</v>
      </c>
      <c r="S36" s="50" t="s">
        <v>2459</v>
      </c>
    </row>
    <row r="37" spans="1:19">
      <c r="A37" s="45" t="s">
        <v>2536</v>
      </c>
      <c r="B37" s="45" t="s">
        <v>2453</v>
      </c>
      <c r="C37" s="45" t="s">
        <v>2454</v>
      </c>
      <c r="D37" s="45" t="s">
        <v>2537</v>
      </c>
      <c r="E37" s="45" t="s">
        <v>2456</v>
      </c>
      <c r="F37" s="45" t="s">
        <v>87</v>
      </c>
      <c r="G37" s="46" t="s">
        <v>2457</v>
      </c>
      <c r="H37" s="45" t="s">
        <v>2453</v>
      </c>
      <c r="I37" s="47">
        <v>74</v>
      </c>
      <c r="J37" s="47">
        <v>30</v>
      </c>
      <c r="K37" s="45" t="s">
        <v>88</v>
      </c>
      <c r="M37" s="45" t="s">
        <v>88</v>
      </c>
      <c r="N37" s="45" t="s">
        <v>88</v>
      </c>
      <c r="O37" s="45" t="s">
        <v>88</v>
      </c>
      <c r="P37" s="48">
        <v>6380978</v>
      </c>
      <c r="Q37" s="49" t="s">
        <v>2078</v>
      </c>
      <c r="R37" s="49" t="s">
        <v>2458</v>
      </c>
      <c r="S37" s="50" t="s">
        <v>2459</v>
      </c>
    </row>
    <row r="38" spans="1:19">
      <c r="A38" s="45" t="s">
        <v>2538</v>
      </c>
      <c r="B38" s="45" t="s">
        <v>2453</v>
      </c>
      <c r="C38" s="45" t="s">
        <v>2493</v>
      </c>
      <c r="D38" s="45" t="s">
        <v>2539</v>
      </c>
      <c r="E38" s="45" t="s">
        <v>2456</v>
      </c>
      <c r="F38" s="45" t="s">
        <v>87</v>
      </c>
      <c r="G38" s="46" t="s">
        <v>2457</v>
      </c>
      <c r="H38" s="45" t="s">
        <v>2453</v>
      </c>
      <c r="I38" s="47">
        <v>25</v>
      </c>
      <c r="J38" s="47">
        <v>0</v>
      </c>
      <c r="K38" s="45" t="s">
        <v>88</v>
      </c>
      <c r="M38" s="45" t="s">
        <v>88</v>
      </c>
      <c r="N38" s="45" t="s">
        <v>88</v>
      </c>
      <c r="O38" s="45" t="s">
        <v>88</v>
      </c>
      <c r="P38" s="48">
        <v>2314172</v>
      </c>
      <c r="Q38" s="49" t="s">
        <v>2107</v>
      </c>
      <c r="R38" s="49" t="s">
        <v>2059</v>
      </c>
      <c r="S38" s="50" t="s">
        <v>2459</v>
      </c>
    </row>
    <row r="39" spans="1:19">
      <c r="A39" s="45" t="s">
        <v>2540</v>
      </c>
      <c r="B39" s="45" t="s">
        <v>2461</v>
      </c>
      <c r="C39" s="45" t="s">
        <v>2493</v>
      </c>
      <c r="D39" s="45" t="s">
        <v>2541</v>
      </c>
      <c r="E39" s="45" t="s">
        <v>2456</v>
      </c>
      <c r="F39" s="45" t="s">
        <v>87</v>
      </c>
      <c r="G39" s="46" t="s">
        <v>2457</v>
      </c>
      <c r="H39" s="45" t="s">
        <v>2461</v>
      </c>
      <c r="I39" s="47">
        <v>25</v>
      </c>
      <c r="J39" s="47">
        <v>10</v>
      </c>
      <c r="K39" s="45" t="s">
        <v>88</v>
      </c>
      <c r="M39" s="45" t="s">
        <v>88</v>
      </c>
      <c r="N39" s="45" t="s">
        <v>88</v>
      </c>
      <c r="O39" s="45" t="s">
        <v>88</v>
      </c>
      <c r="P39" s="48">
        <v>2641943</v>
      </c>
      <c r="Q39" s="49" t="s">
        <v>2132</v>
      </c>
      <c r="R39" s="49" t="s">
        <v>2464</v>
      </c>
      <c r="S39" s="50" t="s">
        <v>2459</v>
      </c>
    </row>
    <row r="40" spans="1:19">
      <c r="A40" s="45" t="s">
        <v>2542</v>
      </c>
      <c r="B40" s="45" t="s">
        <v>2480</v>
      </c>
      <c r="C40" s="45" t="s">
        <v>2454</v>
      </c>
      <c r="D40" s="45" t="s">
        <v>2543</v>
      </c>
      <c r="E40" s="45" t="s">
        <v>2456</v>
      </c>
      <c r="F40" s="45" t="s">
        <v>87</v>
      </c>
      <c r="G40" s="46" t="s">
        <v>2457</v>
      </c>
      <c r="H40" s="45" t="s">
        <v>2480</v>
      </c>
      <c r="I40" s="47">
        <v>51</v>
      </c>
      <c r="J40" s="47">
        <v>0</v>
      </c>
      <c r="K40" s="45" t="s">
        <v>88</v>
      </c>
      <c r="M40" s="45" t="s">
        <v>88</v>
      </c>
      <c r="N40" s="45" t="s">
        <v>88</v>
      </c>
      <c r="O40" s="45" t="s">
        <v>88</v>
      </c>
      <c r="P40" s="48">
        <v>2261033</v>
      </c>
      <c r="Q40" s="49" t="s">
        <v>2078</v>
      </c>
      <c r="R40" s="49" t="s">
        <v>2059</v>
      </c>
      <c r="S40" s="50" t="s">
        <v>2459</v>
      </c>
    </row>
    <row r="41" spans="1:19">
      <c r="A41" s="45" t="s">
        <v>2544</v>
      </c>
      <c r="B41" s="45" t="s">
        <v>2453</v>
      </c>
      <c r="C41" s="45" t="s">
        <v>2454</v>
      </c>
      <c r="D41" s="45" t="s">
        <v>2545</v>
      </c>
      <c r="E41" s="45" t="s">
        <v>2456</v>
      </c>
      <c r="F41" s="45" t="s">
        <v>87</v>
      </c>
      <c r="G41" s="46" t="s">
        <v>2457</v>
      </c>
      <c r="H41" s="45" t="s">
        <v>2453</v>
      </c>
      <c r="I41" s="47">
        <v>51</v>
      </c>
      <c r="J41" s="47">
        <v>35</v>
      </c>
      <c r="K41" s="45" t="s">
        <v>88</v>
      </c>
      <c r="M41" s="45" t="s">
        <v>87</v>
      </c>
      <c r="N41" s="45" t="s">
        <v>87</v>
      </c>
      <c r="O41" s="45" t="s">
        <v>88</v>
      </c>
      <c r="P41" s="48">
        <v>1919761</v>
      </c>
      <c r="Q41" s="49" t="s">
        <v>2082</v>
      </c>
      <c r="R41" s="49" t="s">
        <v>2059</v>
      </c>
      <c r="S41" s="50" t="s">
        <v>2459</v>
      </c>
    </row>
    <row r="42" spans="1:19">
      <c r="A42" s="45" t="s">
        <v>2546</v>
      </c>
      <c r="B42" s="45" t="s">
        <v>2453</v>
      </c>
      <c r="C42" s="45" t="s">
        <v>2454</v>
      </c>
      <c r="D42" s="45" t="s">
        <v>2547</v>
      </c>
      <c r="E42" s="45" t="s">
        <v>2456</v>
      </c>
      <c r="F42" s="45" t="s">
        <v>87</v>
      </c>
      <c r="G42" s="46" t="s">
        <v>2457</v>
      </c>
      <c r="H42" s="45" t="s">
        <v>2453</v>
      </c>
      <c r="I42" s="47">
        <v>100</v>
      </c>
      <c r="J42" s="47">
        <v>30</v>
      </c>
      <c r="K42" s="45" t="s">
        <v>88</v>
      </c>
      <c r="M42" s="45" t="s">
        <v>88</v>
      </c>
      <c r="N42" s="45" t="s">
        <v>87</v>
      </c>
      <c r="O42" s="45" t="s">
        <v>88</v>
      </c>
      <c r="P42" s="48">
        <v>5800706</v>
      </c>
      <c r="Q42" s="49" t="s">
        <v>2107</v>
      </c>
      <c r="R42" s="49" t="s">
        <v>2464</v>
      </c>
      <c r="S42" s="50" t="s">
        <v>2459</v>
      </c>
    </row>
    <row r="43" spans="1:19">
      <c r="A43" s="45" t="s">
        <v>2548</v>
      </c>
      <c r="B43" s="45" t="s">
        <v>2461</v>
      </c>
      <c r="C43" s="45" t="s">
        <v>2471</v>
      </c>
      <c r="D43" s="45" t="s">
        <v>2549</v>
      </c>
      <c r="E43" s="45" t="s">
        <v>2456</v>
      </c>
      <c r="F43" s="45" t="s">
        <v>87</v>
      </c>
      <c r="G43" s="46" t="s">
        <v>2457</v>
      </c>
      <c r="H43" s="45" t="s">
        <v>2461</v>
      </c>
      <c r="I43" s="47">
        <v>25</v>
      </c>
      <c r="J43" s="47">
        <v>10</v>
      </c>
      <c r="K43" s="45" t="s">
        <v>88</v>
      </c>
      <c r="M43" s="45" t="s">
        <v>88</v>
      </c>
      <c r="N43" s="45" t="s">
        <v>88</v>
      </c>
      <c r="O43" s="45" t="s">
        <v>88</v>
      </c>
      <c r="P43" s="48">
        <v>2546391</v>
      </c>
      <c r="Q43" s="49" t="s">
        <v>2082</v>
      </c>
      <c r="R43" s="49" t="s">
        <v>2458</v>
      </c>
      <c r="S43" s="50" t="s">
        <v>2459</v>
      </c>
    </row>
    <row r="44" spans="1:19">
      <c r="A44" s="45" t="s">
        <v>2550</v>
      </c>
      <c r="B44" s="45" t="s">
        <v>2453</v>
      </c>
      <c r="C44" s="45" t="s">
        <v>2454</v>
      </c>
      <c r="D44" s="45" t="s">
        <v>2551</v>
      </c>
      <c r="E44" s="45" t="s">
        <v>2456</v>
      </c>
      <c r="F44" s="45" t="s">
        <v>87</v>
      </c>
      <c r="G44" s="46" t="s">
        <v>2457</v>
      </c>
      <c r="H44" s="45" t="s">
        <v>2453</v>
      </c>
      <c r="I44" s="47">
        <v>75</v>
      </c>
      <c r="J44" s="47">
        <v>10</v>
      </c>
      <c r="K44" s="45" t="s">
        <v>88</v>
      </c>
      <c r="M44" s="45" t="s">
        <v>88</v>
      </c>
      <c r="N44" s="45" t="s">
        <v>88</v>
      </c>
      <c r="O44" s="45" t="s">
        <v>88</v>
      </c>
      <c r="P44" s="48">
        <v>1883317</v>
      </c>
      <c r="Q44" s="49" t="s">
        <v>2082</v>
      </c>
      <c r="R44" s="49" t="s">
        <v>2458</v>
      </c>
      <c r="S44" s="50" t="s">
        <v>2459</v>
      </c>
    </row>
    <row r="45" spans="1:19">
      <c r="A45" s="45" t="s">
        <v>2552</v>
      </c>
      <c r="B45" s="45" t="s">
        <v>2453</v>
      </c>
      <c r="C45" s="45" t="s">
        <v>2454</v>
      </c>
      <c r="D45" s="45" t="s">
        <v>2553</v>
      </c>
      <c r="E45" s="45" t="s">
        <v>2456</v>
      </c>
      <c r="F45" s="45" t="s">
        <v>87</v>
      </c>
      <c r="G45" s="46" t="s">
        <v>2457</v>
      </c>
      <c r="H45" s="45" t="s">
        <v>2453</v>
      </c>
      <c r="I45" s="47">
        <v>51</v>
      </c>
      <c r="J45" s="47">
        <v>0</v>
      </c>
      <c r="K45" s="45" t="s">
        <v>88</v>
      </c>
      <c r="M45" s="45" t="s">
        <v>88</v>
      </c>
      <c r="N45" s="45" t="s">
        <v>87</v>
      </c>
      <c r="O45" s="45" t="s">
        <v>88</v>
      </c>
      <c r="P45" s="48">
        <v>2016217</v>
      </c>
      <c r="Q45" s="49" t="s">
        <v>2082</v>
      </c>
      <c r="R45" s="49" t="s">
        <v>2059</v>
      </c>
      <c r="S45" s="50" t="s">
        <v>2459</v>
      </c>
    </row>
    <row r="46" spans="1:19">
      <c r="A46" s="45" t="s">
        <v>2554</v>
      </c>
      <c r="B46" s="45" t="s">
        <v>2480</v>
      </c>
      <c r="C46" s="45" t="s">
        <v>2454</v>
      </c>
      <c r="D46" s="45" t="s">
        <v>2555</v>
      </c>
      <c r="E46" s="45" t="s">
        <v>2456</v>
      </c>
      <c r="F46" s="45" t="s">
        <v>87</v>
      </c>
      <c r="G46" s="46" t="s">
        <v>2457</v>
      </c>
      <c r="H46" s="45" t="s">
        <v>2480</v>
      </c>
      <c r="I46" s="47">
        <v>100</v>
      </c>
      <c r="J46" s="47">
        <v>51</v>
      </c>
      <c r="K46" s="45" t="s">
        <v>88</v>
      </c>
      <c r="M46" s="45" t="s">
        <v>87</v>
      </c>
      <c r="N46" s="45" t="s">
        <v>87</v>
      </c>
      <c r="O46" s="45" t="s">
        <v>87</v>
      </c>
      <c r="P46" s="48">
        <v>2376096</v>
      </c>
      <c r="Q46" s="49" t="s">
        <v>2092</v>
      </c>
      <c r="R46" s="49" t="s">
        <v>2458</v>
      </c>
      <c r="S46" s="50" t="s">
        <v>2459</v>
      </c>
    </row>
    <row r="47" spans="1:19">
      <c r="A47" s="45" t="s">
        <v>2556</v>
      </c>
      <c r="B47" s="45" t="s">
        <v>2453</v>
      </c>
      <c r="C47" s="45" t="s">
        <v>2518</v>
      </c>
      <c r="D47" s="45" t="s">
        <v>2557</v>
      </c>
      <c r="E47" s="45" t="s">
        <v>2456</v>
      </c>
      <c r="F47" s="45" t="s">
        <v>88</v>
      </c>
      <c r="G47" s="46" t="s">
        <v>2457</v>
      </c>
      <c r="H47" s="45" t="s">
        <v>2453</v>
      </c>
      <c r="I47" s="47">
        <v>0</v>
      </c>
      <c r="J47" s="47">
        <v>0</v>
      </c>
      <c r="K47" s="45" t="s">
        <v>88</v>
      </c>
      <c r="M47" s="45" t="s">
        <v>88</v>
      </c>
      <c r="N47" s="45" t="s">
        <v>87</v>
      </c>
      <c r="O47" s="45" t="s">
        <v>88</v>
      </c>
      <c r="P47" s="48">
        <v>1234211</v>
      </c>
      <c r="Q47" s="49" t="s">
        <v>2068</v>
      </c>
      <c r="R47" s="49" t="s">
        <v>2464</v>
      </c>
      <c r="S47" s="50" t="s">
        <v>2459</v>
      </c>
    </row>
    <row r="48" spans="1:19">
      <c r="A48" s="45" t="s">
        <v>2558</v>
      </c>
      <c r="B48" s="45" t="s">
        <v>2453</v>
      </c>
      <c r="C48" s="45" t="s">
        <v>2454</v>
      </c>
      <c r="D48" s="45" t="s">
        <v>2559</v>
      </c>
      <c r="E48" s="45" t="s">
        <v>2456</v>
      </c>
      <c r="F48" s="45" t="s">
        <v>87</v>
      </c>
      <c r="G48" s="46" t="s">
        <v>2457</v>
      </c>
      <c r="H48" s="45" t="s">
        <v>2453</v>
      </c>
      <c r="I48" s="47">
        <v>74</v>
      </c>
      <c r="J48" s="47">
        <v>30</v>
      </c>
      <c r="K48" s="45" t="s">
        <v>88</v>
      </c>
      <c r="M48" s="45" t="s">
        <v>88</v>
      </c>
      <c r="N48" s="45" t="s">
        <v>87</v>
      </c>
      <c r="O48" s="45" t="s">
        <v>88</v>
      </c>
      <c r="P48" s="48">
        <v>6317200</v>
      </c>
      <c r="Q48" s="49" t="s">
        <v>2078</v>
      </c>
      <c r="R48" s="49" t="s">
        <v>2059</v>
      </c>
      <c r="S48" s="50" t="s">
        <v>2459</v>
      </c>
    </row>
    <row r="49" spans="1:19">
      <c r="A49" s="45" t="s">
        <v>2560</v>
      </c>
      <c r="B49" s="45" t="s">
        <v>2461</v>
      </c>
      <c r="C49" s="45" t="s">
        <v>2498</v>
      </c>
      <c r="D49" s="45" t="s">
        <v>2561</v>
      </c>
      <c r="E49" s="45" t="s">
        <v>2456</v>
      </c>
      <c r="F49" s="45" t="s">
        <v>87</v>
      </c>
      <c r="G49" s="46" t="s">
        <v>2457</v>
      </c>
      <c r="H49" s="45" t="s">
        <v>2461</v>
      </c>
      <c r="I49" s="47">
        <v>68</v>
      </c>
      <c r="J49" s="47">
        <v>12</v>
      </c>
      <c r="K49" s="45" t="s">
        <v>88</v>
      </c>
      <c r="M49" s="45" t="s">
        <v>88</v>
      </c>
      <c r="N49" s="45" t="s">
        <v>88</v>
      </c>
      <c r="O49" s="45" t="s">
        <v>88</v>
      </c>
      <c r="P49" s="48">
        <v>3642403</v>
      </c>
      <c r="Q49" s="49" t="s">
        <v>2082</v>
      </c>
      <c r="R49" s="49" t="s">
        <v>2458</v>
      </c>
      <c r="S49" s="50" t="s">
        <v>2459</v>
      </c>
    </row>
    <row r="50" spans="1:19">
      <c r="A50" s="45" t="s">
        <v>2562</v>
      </c>
      <c r="B50" s="45" t="s">
        <v>2461</v>
      </c>
      <c r="C50" s="45" t="s">
        <v>2498</v>
      </c>
      <c r="D50" s="45" t="s">
        <v>2563</v>
      </c>
      <c r="E50" s="45" t="s">
        <v>2456</v>
      </c>
      <c r="F50" s="45" t="s">
        <v>87</v>
      </c>
      <c r="G50" s="46" t="s">
        <v>2457</v>
      </c>
      <c r="H50" s="45" t="s">
        <v>2461</v>
      </c>
      <c r="I50" s="47">
        <v>68</v>
      </c>
      <c r="J50" s="47">
        <v>0</v>
      </c>
      <c r="K50" s="45" t="s">
        <v>88</v>
      </c>
      <c r="M50" s="45" t="s">
        <v>88</v>
      </c>
      <c r="N50" s="45" t="s">
        <v>87</v>
      </c>
      <c r="O50" s="45" t="s">
        <v>88</v>
      </c>
      <c r="P50" s="48">
        <v>3560143</v>
      </c>
      <c r="Q50" s="49" t="s">
        <v>2068</v>
      </c>
      <c r="R50" s="49" t="s">
        <v>2464</v>
      </c>
      <c r="S50" s="50" t="s">
        <v>2459</v>
      </c>
    </row>
    <row r="51" spans="1:19">
      <c r="A51" s="45" t="s">
        <v>2564</v>
      </c>
      <c r="B51" s="45" t="s">
        <v>2453</v>
      </c>
      <c r="C51" s="45" t="s">
        <v>2454</v>
      </c>
      <c r="D51" s="45" t="s">
        <v>2565</v>
      </c>
      <c r="E51" s="45" t="s">
        <v>2456</v>
      </c>
      <c r="F51" s="45" t="s">
        <v>87</v>
      </c>
      <c r="G51" s="46" t="s">
        <v>2457</v>
      </c>
      <c r="H51" s="45" t="s">
        <v>2453</v>
      </c>
      <c r="I51" s="47">
        <v>74</v>
      </c>
      <c r="J51" s="47">
        <v>55</v>
      </c>
      <c r="K51" s="45" t="s">
        <v>88</v>
      </c>
      <c r="M51" s="45" t="s">
        <v>88</v>
      </c>
      <c r="N51" s="45" t="s">
        <v>88</v>
      </c>
      <c r="O51" s="45" t="s">
        <v>88</v>
      </c>
      <c r="P51" s="48">
        <v>6315099</v>
      </c>
      <c r="Q51" s="49" t="s">
        <v>2053</v>
      </c>
      <c r="R51" s="49" t="s">
        <v>2464</v>
      </c>
      <c r="S51" s="50" t="s">
        <v>2459</v>
      </c>
    </row>
    <row r="52" spans="1:19">
      <c r="A52" s="45" t="s">
        <v>2566</v>
      </c>
      <c r="B52" s="45" t="s">
        <v>2453</v>
      </c>
      <c r="C52" s="45" t="s">
        <v>2454</v>
      </c>
      <c r="D52" s="45" t="s">
        <v>2567</v>
      </c>
      <c r="E52" s="45" t="s">
        <v>2456</v>
      </c>
      <c r="F52" s="45" t="s">
        <v>87</v>
      </c>
      <c r="G52" s="46" t="s">
        <v>2457</v>
      </c>
      <c r="H52" s="45" t="s">
        <v>2453</v>
      </c>
      <c r="I52" s="47">
        <v>51</v>
      </c>
      <c r="J52" s="47">
        <v>40</v>
      </c>
      <c r="K52" s="45" t="s">
        <v>88</v>
      </c>
      <c r="M52" s="45" t="s">
        <v>88</v>
      </c>
      <c r="N52" s="45" t="s">
        <v>88</v>
      </c>
      <c r="O52" s="45" t="s">
        <v>88</v>
      </c>
      <c r="P52" s="48">
        <v>6320182</v>
      </c>
      <c r="Q52" s="49" t="s">
        <v>2053</v>
      </c>
      <c r="R52" s="49" t="s">
        <v>2059</v>
      </c>
      <c r="S52" s="50" t="s">
        <v>2459</v>
      </c>
    </row>
    <row r="53" spans="1:19">
      <c r="A53" s="45" t="s">
        <v>2568</v>
      </c>
      <c r="B53" s="45" t="s">
        <v>2461</v>
      </c>
      <c r="C53" s="45" t="s">
        <v>2498</v>
      </c>
      <c r="D53" s="45" t="s">
        <v>2569</v>
      </c>
      <c r="E53" s="45" t="s">
        <v>2456</v>
      </c>
      <c r="F53" s="45" t="s">
        <v>87</v>
      </c>
      <c r="G53" s="46" t="s">
        <v>2457</v>
      </c>
      <c r="H53" s="45" t="s">
        <v>2461</v>
      </c>
      <c r="I53" s="47">
        <v>100</v>
      </c>
      <c r="J53" s="47">
        <v>20</v>
      </c>
      <c r="K53" s="45" t="s">
        <v>88</v>
      </c>
      <c r="M53" s="45" t="s">
        <v>88</v>
      </c>
      <c r="N53" s="45" t="s">
        <v>88</v>
      </c>
      <c r="O53" s="45" t="s">
        <v>88</v>
      </c>
      <c r="P53" s="48">
        <v>3530604</v>
      </c>
      <c r="Q53" s="49" t="s">
        <v>2141</v>
      </c>
      <c r="R53" s="49" t="s">
        <v>2464</v>
      </c>
      <c r="S53" s="50" t="s">
        <v>2459</v>
      </c>
    </row>
    <row r="54" spans="1:19">
      <c r="A54" s="45" t="s">
        <v>2570</v>
      </c>
      <c r="B54" s="45" t="s">
        <v>2453</v>
      </c>
      <c r="C54" s="45" t="s">
        <v>2454</v>
      </c>
      <c r="D54" s="45" t="s">
        <v>2571</v>
      </c>
      <c r="E54" s="45" t="s">
        <v>2456</v>
      </c>
      <c r="F54" s="45" t="s">
        <v>87</v>
      </c>
      <c r="G54" s="46" t="s">
        <v>2457</v>
      </c>
      <c r="H54" s="45" t="s">
        <v>2453</v>
      </c>
      <c r="I54" s="47">
        <v>75</v>
      </c>
      <c r="J54" s="47">
        <v>35</v>
      </c>
      <c r="K54" s="45" t="s">
        <v>88</v>
      </c>
      <c r="M54" s="45" t="s">
        <v>87</v>
      </c>
      <c r="N54" s="45" t="s">
        <v>87</v>
      </c>
      <c r="O54" s="45" t="s">
        <v>88</v>
      </c>
      <c r="P54" s="48">
        <v>2201415</v>
      </c>
      <c r="Q54" s="49" t="s">
        <v>2092</v>
      </c>
      <c r="R54" s="49" t="s">
        <v>2059</v>
      </c>
      <c r="S54" s="50" t="s">
        <v>2459</v>
      </c>
    </row>
    <row r="55" spans="1:19">
      <c r="A55" s="45" t="s">
        <v>2572</v>
      </c>
      <c r="B55" s="45" t="s">
        <v>2461</v>
      </c>
      <c r="C55" s="45" t="s">
        <v>2454</v>
      </c>
      <c r="D55" s="45" t="s">
        <v>2573</v>
      </c>
      <c r="E55" s="45" t="s">
        <v>2456</v>
      </c>
      <c r="F55" s="45" t="s">
        <v>87</v>
      </c>
      <c r="G55" s="46" t="s">
        <v>2457</v>
      </c>
      <c r="H55" s="45" t="s">
        <v>2461</v>
      </c>
      <c r="I55" s="47">
        <v>51</v>
      </c>
      <c r="J55" s="47">
        <v>40</v>
      </c>
      <c r="K55" s="45" t="s">
        <v>88</v>
      </c>
      <c r="M55" s="45" t="s">
        <v>88</v>
      </c>
      <c r="N55" s="45" t="s">
        <v>88</v>
      </c>
      <c r="O55" s="45" t="s">
        <v>88</v>
      </c>
      <c r="P55" s="48">
        <v>6312777</v>
      </c>
      <c r="Q55" s="49" t="s">
        <v>2092</v>
      </c>
      <c r="R55" s="49" t="s">
        <v>2464</v>
      </c>
      <c r="S55" s="50" t="s">
        <v>2459</v>
      </c>
    </row>
    <row r="56" spans="1:19">
      <c r="A56" s="45" t="s">
        <v>2574</v>
      </c>
      <c r="B56" s="45" t="s">
        <v>2453</v>
      </c>
      <c r="C56" s="45" t="s">
        <v>2575</v>
      </c>
      <c r="D56" s="45" t="s">
        <v>2576</v>
      </c>
      <c r="E56" s="45" t="s">
        <v>2456</v>
      </c>
      <c r="F56" s="45" t="s">
        <v>87</v>
      </c>
      <c r="G56" s="46" t="s">
        <v>2457</v>
      </c>
      <c r="H56" s="45" t="s">
        <v>2453</v>
      </c>
      <c r="I56" s="47">
        <v>45</v>
      </c>
      <c r="J56" s="47">
        <v>0</v>
      </c>
      <c r="K56" s="45" t="s">
        <v>88</v>
      </c>
      <c r="M56" s="45" t="s">
        <v>88</v>
      </c>
      <c r="N56" s="45" t="s">
        <v>87</v>
      </c>
      <c r="O56" s="45" t="s">
        <v>88</v>
      </c>
      <c r="P56" s="48">
        <v>2564943</v>
      </c>
      <c r="Q56" s="49" t="s">
        <v>2053</v>
      </c>
      <c r="R56" s="49" t="s">
        <v>2464</v>
      </c>
      <c r="S56" s="50" t="s">
        <v>2459</v>
      </c>
    </row>
    <row r="57" spans="1:19">
      <c r="A57" s="45" t="s">
        <v>2577</v>
      </c>
      <c r="B57" s="45" t="s">
        <v>2461</v>
      </c>
      <c r="C57" s="45" t="s">
        <v>2575</v>
      </c>
      <c r="D57" s="45" t="s">
        <v>2578</v>
      </c>
      <c r="E57" s="45" t="s">
        <v>2456</v>
      </c>
      <c r="F57" s="45" t="s">
        <v>87</v>
      </c>
      <c r="G57" s="46" t="s">
        <v>2457</v>
      </c>
      <c r="H57" s="45" t="s">
        <v>2461</v>
      </c>
      <c r="I57" s="47">
        <v>25</v>
      </c>
      <c r="J57" s="47">
        <v>10</v>
      </c>
      <c r="K57" s="45" t="s">
        <v>88</v>
      </c>
      <c r="M57" s="45" t="s">
        <v>88</v>
      </c>
      <c r="N57" s="45" t="s">
        <v>88</v>
      </c>
      <c r="O57" s="45" t="s">
        <v>88</v>
      </c>
      <c r="P57" s="48">
        <v>2649762</v>
      </c>
      <c r="Q57" s="49" t="s">
        <v>2068</v>
      </c>
      <c r="R57" s="49" t="s">
        <v>2464</v>
      </c>
      <c r="S57" s="50" t="s">
        <v>2459</v>
      </c>
    </row>
    <row r="58" spans="1:19">
      <c r="A58" s="45" t="s">
        <v>2579</v>
      </c>
      <c r="B58" s="45" t="s">
        <v>2461</v>
      </c>
      <c r="C58" s="45" t="s">
        <v>2454</v>
      </c>
      <c r="D58" s="45" t="s">
        <v>2580</v>
      </c>
      <c r="E58" s="45" t="s">
        <v>2456</v>
      </c>
      <c r="F58" s="45" t="s">
        <v>87</v>
      </c>
      <c r="G58" s="46" t="s">
        <v>2457</v>
      </c>
      <c r="H58" s="45" t="s">
        <v>2461</v>
      </c>
      <c r="I58" s="47">
        <v>68</v>
      </c>
      <c r="J58" s="47">
        <v>0</v>
      </c>
      <c r="K58" s="45" t="s">
        <v>88</v>
      </c>
      <c r="M58" s="45" t="s">
        <v>88</v>
      </c>
      <c r="N58" s="45" t="s">
        <v>87</v>
      </c>
      <c r="O58" s="45" t="s">
        <v>88</v>
      </c>
      <c r="P58" s="48">
        <v>3511800</v>
      </c>
      <c r="Q58" s="49" t="s">
        <v>2062</v>
      </c>
      <c r="R58" s="49" t="s">
        <v>2464</v>
      </c>
      <c r="S58" s="50" t="s">
        <v>2459</v>
      </c>
    </row>
    <row r="59" spans="1:19">
      <c r="A59" s="45" t="s">
        <v>2581</v>
      </c>
      <c r="B59" s="45" t="s">
        <v>2480</v>
      </c>
      <c r="C59" s="45" t="s">
        <v>2454</v>
      </c>
      <c r="D59" s="45" t="s">
        <v>2582</v>
      </c>
      <c r="E59" s="45" t="s">
        <v>2456</v>
      </c>
      <c r="F59" s="45" t="s">
        <v>87</v>
      </c>
      <c r="G59" s="46" t="s">
        <v>2457</v>
      </c>
      <c r="H59" s="45" t="s">
        <v>2480</v>
      </c>
      <c r="I59" s="47">
        <v>100</v>
      </c>
      <c r="J59" s="47">
        <v>51</v>
      </c>
      <c r="K59" s="45" t="s">
        <v>88</v>
      </c>
      <c r="M59" s="45" t="s">
        <v>87</v>
      </c>
      <c r="N59" s="45" t="s">
        <v>87</v>
      </c>
      <c r="O59" s="45" t="s">
        <v>87</v>
      </c>
      <c r="P59" s="48">
        <v>2356979</v>
      </c>
      <c r="Q59" s="49" t="s">
        <v>2068</v>
      </c>
      <c r="R59" s="49" t="s">
        <v>2059</v>
      </c>
      <c r="S59" s="50" t="s">
        <v>2459</v>
      </c>
    </row>
    <row r="60" spans="1:19">
      <c r="A60" s="45" t="s">
        <v>2583</v>
      </c>
      <c r="B60" s="45" t="s">
        <v>2453</v>
      </c>
      <c r="C60" s="45" t="s">
        <v>2454</v>
      </c>
      <c r="D60" s="45" t="s">
        <v>2584</v>
      </c>
      <c r="E60" s="45" t="s">
        <v>2456</v>
      </c>
      <c r="F60" s="45" t="s">
        <v>87</v>
      </c>
      <c r="G60" s="46" t="s">
        <v>2457</v>
      </c>
      <c r="H60" s="45" t="s">
        <v>2453</v>
      </c>
      <c r="I60" s="47">
        <v>51</v>
      </c>
      <c r="J60" s="47">
        <v>51</v>
      </c>
      <c r="K60" s="45" t="s">
        <v>88</v>
      </c>
      <c r="M60" s="45" t="s">
        <v>87</v>
      </c>
      <c r="N60" s="45" t="s">
        <v>87</v>
      </c>
      <c r="O60" s="45" t="s">
        <v>88</v>
      </c>
      <c r="P60" s="48">
        <v>2087998</v>
      </c>
      <c r="Q60" s="49" t="s">
        <v>2082</v>
      </c>
      <c r="R60" s="49" t="s">
        <v>2458</v>
      </c>
      <c r="S60" s="50" t="s">
        <v>2459</v>
      </c>
    </row>
    <row r="61" spans="1:19">
      <c r="A61" s="45" t="s">
        <v>2585</v>
      </c>
      <c r="B61" s="45" t="s">
        <v>2453</v>
      </c>
      <c r="C61" s="45" t="s">
        <v>2518</v>
      </c>
      <c r="D61" s="45" t="s">
        <v>2586</v>
      </c>
      <c r="E61" s="45" t="s">
        <v>2456</v>
      </c>
      <c r="F61" s="45" t="s">
        <v>88</v>
      </c>
      <c r="G61" s="46" t="s">
        <v>2457</v>
      </c>
      <c r="H61" s="45" t="s">
        <v>2453</v>
      </c>
      <c r="I61" s="47">
        <v>0</v>
      </c>
      <c r="J61" s="47">
        <v>0</v>
      </c>
      <c r="K61" s="45" t="s">
        <v>88</v>
      </c>
      <c r="M61" s="45" t="s">
        <v>88</v>
      </c>
      <c r="N61" s="45" t="s">
        <v>87</v>
      </c>
      <c r="O61" s="45" t="s">
        <v>88</v>
      </c>
      <c r="P61" s="48">
        <v>1303634</v>
      </c>
      <c r="Q61" s="49" t="s">
        <v>2078</v>
      </c>
      <c r="R61" s="49" t="s">
        <v>2464</v>
      </c>
      <c r="S61" s="50" t="s">
        <v>2459</v>
      </c>
    </row>
    <row r="62" spans="1:19">
      <c r="A62" s="45" t="s">
        <v>2587</v>
      </c>
      <c r="B62" s="45" t="s">
        <v>2480</v>
      </c>
      <c r="C62" s="45" t="s">
        <v>2454</v>
      </c>
      <c r="D62" s="45" t="s">
        <v>2588</v>
      </c>
      <c r="E62" s="45" t="s">
        <v>2456</v>
      </c>
      <c r="F62" s="45" t="s">
        <v>87</v>
      </c>
      <c r="G62" s="46" t="s">
        <v>2457</v>
      </c>
      <c r="H62" s="45" t="s">
        <v>2480</v>
      </c>
      <c r="I62" s="47">
        <v>100</v>
      </c>
      <c r="J62" s="47">
        <v>30</v>
      </c>
      <c r="K62" s="45" t="s">
        <v>88</v>
      </c>
      <c r="M62" s="45" t="s">
        <v>87</v>
      </c>
      <c r="N62" s="45" t="s">
        <v>88</v>
      </c>
      <c r="O62" s="45" t="s">
        <v>87</v>
      </c>
      <c r="P62" s="48">
        <v>2219185</v>
      </c>
      <c r="Q62" s="49" t="s">
        <v>2078</v>
      </c>
      <c r="R62" s="49" t="s">
        <v>2059</v>
      </c>
      <c r="S62" s="50" t="s">
        <v>2459</v>
      </c>
    </row>
    <row r="63" spans="1:19">
      <c r="A63" s="45" t="s">
        <v>2589</v>
      </c>
      <c r="B63" s="45" t="s">
        <v>2461</v>
      </c>
      <c r="C63" s="45" t="s">
        <v>2454</v>
      </c>
      <c r="D63" s="45" t="s">
        <v>2590</v>
      </c>
      <c r="E63" s="45" t="s">
        <v>2456</v>
      </c>
      <c r="F63" s="45" t="s">
        <v>87</v>
      </c>
      <c r="G63" s="46" t="s">
        <v>2457</v>
      </c>
      <c r="H63" s="45" t="s">
        <v>2461</v>
      </c>
      <c r="I63" s="47">
        <v>100</v>
      </c>
      <c r="J63" s="47">
        <v>40</v>
      </c>
      <c r="K63" s="45" t="s">
        <v>88</v>
      </c>
      <c r="M63" s="45" t="s">
        <v>88</v>
      </c>
      <c r="N63" s="45" t="s">
        <v>87</v>
      </c>
      <c r="O63" s="45" t="s">
        <v>88</v>
      </c>
      <c r="P63" s="48">
        <v>5966927</v>
      </c>
      <c r="Q63" s="49" t="s">
        <v>2082</v>
      </c>
      <c r="R63" s="49" t="s">
        <v>2464</v>
      </c>
      <c r="S63" s="50" t="s">
        <v>2459</v>
      </c>
    </row>
    <row r="64" spans="1:19">
      <c r="A64" s="45" t="s">
        <v>2591</v>
      </c>
      <c r="B64" s="45" t="s">
        <v>2480</v>
      </c>
      <c r="C64" s="45" t="s">
        <v>2454</v>
      </c>
      <c r="D64" s="45" t="s">
        <v>2592</v>
      </c>
      <c r="E64" s="45" t="s">
        <v>2456</v>
      </c>
      <c r="F64" s="45" t="s">
        <v>87</v>
      </c>
      <c r="G64" s="46" t="s">
        <v>2457</v>
      </c>
      <c r="H64" s="45" t="s">
        <v>2480</v>
      </c>
      <c r="I64" s="47">
        <v>100</v>
      </c>
      <c r="J64" s="47">
        <v>51</v>
      </c>
      <c r="K64" s="45" t="s">
        <v>88</v>
      </c>
      <c r="M64" s="45" t="s">
        <v>87</v>
      </c>
      <c r="N64" s="45" t="s">
        <v>88</v>
      </c>
      <c r="O64" s="45" t="s">
        <v>87</v>
      </c>
      <c r="P64" s="48">
        <v>2037437</v>
      </c>
      <c r="Q64" s="49" t="s">
        <v>2078</v>
      </c>
      <c r="R64" s="49" t="s">
        <v>2464</v>
      </c>
      <c r="S64" s="50" t="s">
        <v>2459</v>
      </c>
    </row>
    <row r="65" spans="1:19">
      <c r="A65" s="45" t="s">
        <v>2593</v>
      </c>
      <c r="B65" s="45" t="s">
        <v>2461</v>
      </c>
      <c r="C65" s="45" t="s">
        <v>2454</v>
      </c>
      <c r="D65" s="45" t="s">
        <v>2594</v>
      </c>
      <c r="E65" s="45" t="s">
        <v>2456</v>
      </c>
      <c r="F65" s="45" t="s">
        <v>87</v>
      </c>
      <c r="G65" s="46" t="s">
        <v>2457</v>
      </c>
      <c r="H65" s="45" t="s">
        <v>2461</v>
      </c>
      <c r="I65" s="47">
        <v>51</v>
      </c>
      <c r="J65" s="47">
        <v>40</v>
      </c>
      <c r="K65" s="45" t="s">
        <v>88</v>
      </c>
      <c r="M65" s="45" t="s">
        <v>88</v>
      </c>
      <c r="N65" s="45" t="s">
        <v>88</v>
      </c>
      <c r="O65" s="45" t="s">
        <v>88</v>
      </c>
      <c r="P65" s="48">
        <v>6036905</v>
      </c>
      <c r="Q65" s="49" t="s">
        <v>2068</v>
      </c>
      <c r="R65" s="49" t="s">
        <v>2458</v>
      </c>
      <c r="S65" s="50" t="s">
        <v>2459</v>
      </c>
    </row>
    <row r="66" spans="1:19">
      <c r="A66" s="45" t="s">
        <v>2595</v>
      </c>
      <c r="B66" s="45" t="s">
        <v>2461</v>
      </c>
      <c r="C66" s="45" t="s">
        <v>2471</v>
      </c>
      <c r="D66" s="45" t="s">
        <v>2596</v>
      </c>
      <c r="E66" s="45" t="s">
        <v>2456</v>
      </c>
      <c r="F66" s="45" t="s">
        <v>87</v>
      </c>
      <c r="G66" s="46" t="s">
        <v>2457</v>
      </c>
      <c r="H66" s="45" t="s">
        <v>2461</v>
      </c>
      <c r="I66" s="47">
        <v>45</v>
      </c>
      <c r="J66" s="47">
        <v>10</v>
      </c>
      <c r="K66" s="45" t="s">
        <v>88</v>
      </c>
      <c r="M66" s="45" t="s">
        <v>88</v>
      </c>
      <c r="N66" s="45" t="s">
        <v>88</v>
      </c>
      <c r="O66" s="45" t="s">
        <v>88</v>
      </c>
      <c r="P66" s="48">
        <v>2217261</v>
      </c>
      <c r="Q66" s="49" t="s">
        <v>2092</v>
      </c>
      <c r="R66" s="49" t="s">
        <v>2464</v>
      </c>
      <c r="S66" s="50" t="s">
        <v>2459</v>
      </c>
    </row>
    <row r="67" spans="1:19">
      <c r="A67" s="45" t="s">
        <v>2597</v>
      </c>
      <c r="B67" s="45" t="s">
        <v>2453</v>
      </c>
      <c r="C67" s="45" t="s">
        <v>2575</v>
      </c>
      <c r="D67" s="45" t="s">
        <v>2598</v>
      </c>
      <c r="E67" s="45" t="s">
        <v>2456</v>
      </c>
      <c r="F67" s="45" t="s">
        <v>87</v>
      </c>
      <c r="G67" s="46" t="s">
        <v>2457</v>
      </c>
      <c r="H67" s="45" t="s">
        <v>2453</v>
      </c>
      <c r="I67" s="47">
        <v>45</v>
      </c>
      <c r="J67" s="47">
        <v>0</v>
      </c>
      <c r="K67" s="45" t="s">
        <v>88</v>
      </c>
      <c r="M67" s="45" t="s">
        <v>88</v>
      </c>
      <c r="N67" s="45" t="s">
        <v>88</v>
      </c>
      <c r="O67" s="45" t="s">
        <v>88</v>
      </c>
      <c r="P67" s="48">
        <v>2350216</v>
      </c>
      <c r="Q67" s="49" t="s">
        <v>2132</v>
      </c>
      <c r="R67" s="49" t="s">
        <v>2464</v>
      </c>
      <c r="S67" s="50" t="s">
        <v>2459</v>
      </c>
    </row>
    <row r="68" spans="1:19">
      <c r="A68" s="45" t="s">
        <v>2599</v>
      </c>
      <c r="B68" s="45" t="s">
        <v>2480</v>
      </c>
      <c r="C68" s="45" t="s">
        <v>2454</v>
      </c>
      <c r="D68" s="45" t="s">
        <v>2600</v>
      </c>
      <c r="E68" s="45" t="s">
        <v>2456</v>
      </c>
      <c r="F68" s="45" t="s">
        <v>87</v>
      </c>
      <c r="G68" s="46" t="s">
        <v>2457</v>
      </c>
      <c r="H68" s="45" t="s">
        <v>2480</v>
      </c>
      <c r="I68" s="47">
        <v>60</v>
      </c>
      <c r="J68" s="47">
        <v>30</v>
      </c>
      <c r="K68" s="45" t="s">
        <v>88</v>
      </c>
      <c r="M68" s="45" t="s">
        <v>87</v>
      </c>
      <c r="N68" s="45" t="s">
        <v>87</v>
      </c>
      <c r="O68" s="45" t="s">
        <v>87</v>
      </c>
      <c r="P68" s="48">
        <v>2115541</v>
      </c>
      <c r="Q68" s="49" t="s">
        <v>2107</v>
      </c>
      <c r="R68" s="49" t="s">
        <v>2458</v>
      </c>
      <c r="S68" s="50" t="s">
        <v>2459</v>
      </c>
    </row>
    <row r="69" spans="1:19">
      <c r="A69" s="45" t="s">
        <v>2601</v>
      </c>
      <c r="B69" s="45" t="s">
        <v>2480</v>
      </c>
      <c r="C69" s="45" t="s">
        <v>2454</v>
      </c>
      <c r="D69" s="45" t="s">
        <v>2602</v>
      </c>
      <c r="E69" s="45" t="s">
        <v>2456</v>
      </c>
      <c r="F69" s="45" t="s">
        <v>87</v>
      </c>
      <c r="G69" s="46" t="s">
        <v>2457</v>
      </c>
      <c r="H69" s="45" t="s">
        <v>2480</v>
      </c>
      <c r="I69" s="47">
        <v>100</v>
      </c>
      <c r="J69" s="47">
        <v>10</v>
      </c>
      <c r="K69" s="45" t="s">
        <v>88</v>
      </c>
      <c r="M69" s="45" t="s">
        <v>87</v>
      </c>
      <c r="N69" s="45" t="s">
        <v>87</v>
      </c>
      <c r="O69" s="45" t="s">
        <v>88</v>
      </c>
      <c r="P69" s="48">
        <v>1780278</v>
      </c>
      <c r="Q69" s="49" t="s">
        <v>2068</v>
      </c>
      <c r="R69" s="49" t="s">
        <v>2059</v>
      </c>
      <c r="S69" s="50" t="s">
        <v>2459</v>
      </c>
    </row>
    <row r="70" spans="1:19">
      <c r="A70" s="45" t="s">
        <v>2603</v>
      </c>
      <c r="B70" s="45" t="s">
        <v>2453</v>
      </c>
      <c r="C70" s="45" t="s">
        <v>2493</v>
      </c>
      <c r="D70" s="45" t="s">
        <v>2604</v>
      </c>
      <c r="E70" s="45" t="s">
        <v>2456</v>
      </c>
      <c r="F70" s="45" t="s">
        <v>87</v>
      </c>
      <c r="G70" s="46" t="s">
        <v>2457</v>
      </c>
      <c r="H70" s="45" t="s">
        <v>2453</v>
      </c>
      <c r="I70" s="47">
        <v>45</v>
      </c>
      <c r="J70" s="47">
        <v>0</v>
      </c>
      <c r="K70" s="45" t="s">
        <v>88</v>
      </c>
      <c r="M70" s="45" t="s">
        <v>88</v>
      </c>
      <c r="N70" s="45" t="s">
        <v>87</v>
      </c>
      <c r="O70" s="45" t="s">
        <v>88</v>
      </c>
      <c r="P70" s="48">
        <v>2535196</v>
      </c>
      <c r="Q70" s="49" t="s">
        <v>2078</v>
      </c>
      <c r="R70" s="49" t="s">
        <v>2458</v>
      </c>
      <c r="S70" s="50" t="s">
        <v>2459</v>
      </c>
    </row>
    <row r="71" spans="1:19">
      <c r="A71" s="45" t="s">
        <v>2605</v>
      </c>
      <c r="B71" s="45" t="s">
        <v>2461</v>
      </c>
      <c r="C71" s="45" t="s">
        <v>2454</v>
      </c>
      <c r="D71" s="45" t="s">
        <v>2606</v>
      </c>
      <c r="E71" s="45" t="s">
        <v>2456</v>
      </c>
      <c r="F71" s="45" t="s">
        <v>87</v>
      </c>
      <c r="G71" s="46" t="s">
        <v>2457</v>
      </c>
      <c r="H71" s="45" t="s">
        <v>2461</v>
      </c>
      <c r="I71" s="47">
        <v>68</v>
      </c>
      <c r="J71" s="47">
        <v>12</v>
      </c>
      <c r="K71" s="45" t="s">
        <v>88</v>
      </c>
      <c r="M71" s="45" t="s">
        <v>88</v>
      </c>
      <c r="N71" s="45" t="s">
        <v>87</v>
      </c>
      <c r="O71" s="45" t="s">
        <v>88</v>
      </c>
      <c r="P71" s="48">
        <v>3606357</v>
      </c>
      <c r="Q71" s="49" t="s">
        <v>2062</v>
      </c>
      <c r="R71" s="49" t="s">
        <v>2464</v>
      </c>
      <c r="S71" s="50" t="s">
        <v>2459</v>
      </c>
    </row>
    <row r="72" spans="1:19">
      <c r="A72" s="45" t="s">
        <v>2607</v>
      </c>
      <c r="B72" s="45" t="s">
        <v>2453</v>
      </c>
      <c r="C72" s="45" t="s">
        <v>2493</v>
      </c>
      <c r="D72" s="45" t="s">
        <v>2608</v>
      </c>
      <c r="E72" s="45" t="s">
        <v>2456</v>
      </c>
      <c r="F72" s="45" t="s">
        <v>87</v>
      </c>
      <c r="G72" s="46" t="s">
        <v>2457</v>
      </c>
      <c r="H72" s="45" t="s">
        <v>2453</v>
      </c>
      <c r="I72" s="47">
        <v>25</v>
      </c>
      <c r="J72" s="47">
        <v>10</v>
      </c>
      <c r="K72" s="45" t="s">
        <v>88</v>
      </c>
      <c r="M72" s="45" t="s">
        <v>88</v>
      </c>
      <c r="N72" s="45" t="s">
        <v>88</v>
      </c>
      <c r="O72" s="45" t="s">
        <v>88</v>
      </c>
      <c r="P72" s="48">
        <v>2573532</v>
      </c>
      <c r="Q72" s="49" t="s">
        <v>2053</v>
      </c>
      <c r="R72" s="49" t="s">
        <v>2458</v>
      </c>
      <c r="S72" s="50" t="s">
        <v>2459</v>
      </c>
    </row>
    <row r="73" spans="1:19">
      <c r="A73" s="45" t="s">
        <v>2609</v>
      </c>
      <c r="B73" s="45" t="s">
        <v>2453</v>
      </c>
      <c r="C73" s="45" t="s">
        <v>2454</v>
      </c>
      <c r="D73" s="45" t="s">
        <v>2610</v>
      </c>
      <c r="E73" s="45" t="s">
        <v>2456</v>
      </c>
      <c r="F73" s="45" t="s">
        <v>87</v>
      </c>
      <c r="G73" s="46" t="s">
        <v>2457</v>
      </c>
      <c r="H73" s="45" t="s">
        <v>2453</v>
      </c>
      <c r="I73" s="47">
        <v>75</v>
      </c>
      <c r="J73" s="47">
        <v>51</v>
      </c>
      <c r="K73" s="45" t="s">
        <v>88</v>
      </c>
      <c r="M73" s="45" t="s">
        <v>87</v>
      </c>
      <c r="N73" s="45" t="s">
        <v>87</v>
      </c>
      <c r="O73" s="45" t="s">
        <v>88</v>
      </c>
      <c r="P73" s="48">
        <v>2118148</v>
      </c>
      <c r="Q73" s="49" t="s">
        <v>2092</v>
      </c>
      <c r="R73" s="49" t="s">
        <v>2464</v>
      </c>
      <c r="S73" s="50" t="s">
        <v>2459</v>
      </c>
    </row>
    <row r="74" spans="1:19">
      <c r="A74" s="45" t="s">
        <v>2611</v>
      </c>
      <c r="B74" s="45" t="s">
        <v>2461</v>
      </c>
      <c r="C74" s="45" t="s">
        <v>2454</v>
      </c>
      <c r="D74" s="45" t="s">
        <v>2612</v>
      </c>
      <c r="E74" s="45" t="s">
        <v>2456</v>
      </c>
      <c r="F74" s="45" t="s">
        <v>87</v>
      </c>
      <c r="G74" s="46" t="s">
        <v>2457</v>
      </c>
      <c r="H74" s="45" t="s">
        <v>2461</v>
      </c>
      <c r="I74" s="47">
        <v>100</v>
      </c>
      <c r="J74" s="47">
        <v>40</v>
      </c>
      <c r="K74" s="45" t="s">
        <v>88</v>
      </c>
      <c r="M74" s="45" t="s">
        <v>88</v>
      </c>
      <c r="N74" s="45" t="s">
        <v>87</v>
      </c>
      <c r="O74" s="45" t="s">
        <v>88</v>
      </c>
      <c r="P74" s="48">
        <v>6321148</v>
      </c>
      <c r="Q74" s="49" t="s">
        <v>2082</v>
      </c>
      <c r="R74" s="49" t="s">
        <v>2464</v>
      </c>
      <c r="S74" s="50" t="s">
        <v>2459</v>
      </c>
    </row>
    <row r="75" spans="1:19">
      <c r="A75" s="45" t="s">
        <v>2613</v>
      </c>
      <c r="B75" s="45" t="s">
        <v>2453</v>
      </c>
      <c r="C75" s="45" t="s">
        <v>2454</v>
      </c>
      <c r="D75" s="45" t="s">
        <v>2614</v>
      </c>
      <c r="E75" s="45" t="s">
        <v>2456</v>
      </c>
      <c r="F75" s="45" t="s">
        <v>87</v>
      </c>
      <c r="G75" s="46" t="s">
        <v>2457</v>
      </c>
      <c r="H75" s="45" t="s">
        <v>2453</v>
      </c>
      <c r="I75" s="47">
        <v>100</v>
      </c>
      <c r="J75" s="47">
        <v>51</v>
      </c>
      <c r="K75" s="45" t="s">
        <v>88</v>
      </c>
      <c r="M75" s="45" t="s">
        <v>87</v>
      </c>
      <c r="N75" s="45" t="s">
        <v>87</v>
      </c>
      <c r="O75" s="45" t="s">
        <v>88</v>
      </c>
      <c r="P75" s="48">
        <v>1824420</v>
      </c>
      <c r="Q75" s="49" t="s">
        <v>2068</v>
      </c>
      <c r="R75" s="49" t="s">
        <v>2464</v>
      </c>
      <c r="S75" s="50" t="s">
        <v>2459</v>
      </c>
    </row>
    <row r="76" spans="1:19">
      <c r="A76" s="45" t="s">
        <v>2615</v>
      </c>
      <c r="B76" s="45" t="s">
        <v>2453</v>
      </c>
      <c r="C76" s="45" t="s">
        <v>2468</v>
      </c>
      <c r="D76" s="45" t="s">
        <v>2616</v>
      </c>
      <c r="E76" s="45" t="s">
        <v>2456</v>
      </c>
      <c r="F76" s="45" t="s">
        <v>88</v>
      </c>
      <c r="G76" s="46" t="s">
        <v>2457</v>
      </c>
      <c r="H76" s="45" t="s">
        <v>2453</v>
      </c>
      <c r="I76" s="47">
        <v>0</v>
      </c>
      <c r="J76" s="47">
        <v>0</v>
      </c>
      <c r="K76" s="45" t="s">
        <v>88</v>
      </c>
      <c r="M76" s="45" t="s">
        <v>88</v>
      </c>
      <c r="N76" s="45" t="s">
        <v>87</v>
      </c>
      <c r="O76" s="45" t="s">
        <v>88</v>
      </c>
      <c r="P76" s="48">
        <v>1595689</v>
      </c>
      <c r="Q76" s="49" t="s">
        <v>2082</v>
      </c>
      <c r="R76" s="49" t="s">
        <v>2458</v>
      </c>
      <c r="S76" s="50" t="s">
        <v>2459</v>
      </c>
    </row>
    <row r="77" spans="1:19">
      <c r="A77" s="45" t="s">
        <v>2617</v>
      </c>
      <c r="B77" s="45" t="s">
        <v>2461</v>
      </c>
      <c r="C77" s="45" t="s">
        <v>2462</v>
      </c>
      <c r="D77" s="45" t="s">
        <v>2618</v>
      </c>
      <c r="E77" s="45" t="s">
        <v>2456</v>
      </c>
      <c r="F77" s="45" t="s">
        <v>88</v>
      </c>
      <c r="G77" s="46" t="s">
        <v>2457</v>
      </c>
      <c r="H77" s="45" t="s">
        <v>2461</v>
      </c>
      <c r="I77" s="47">
        <v>15</v>
      </c>
      <c r="J77" s="47">
        <v>0</v>
      </c>
      <c r="K77" s="45" t="s">
        <v>88</v>
      </c>
      <c r="M77" s="45" t="s">
        <v>88</v>
      </c>
      <c r="N77" s="45" t="s">
        <v>87</v>
      </c>
      <c r="O77" s="45" t="s">
        <v>88</v>
      </c>
      <c r="P77" s="48">
        <v>1500272</v>
      </c>
      <c r="Q77" s="49" t="s">
        <v>2092</v>
      </c>
      <c r="R77" s="49" t="s">
        <v>2458</v>
      </c>
      <c r="S77" s="50" t="s">
        <v>2459</v>
      </c>
    </row>
    <row r="78" spans="1:19">
      <c r="A78" s="45" t="s">
        <v>2619</v>
      </c>
      <c r="B78" s="45" t="s">
        <v>2461</v>
      </c>
      <c r="C78" s="45" t="s">
        <v>2498</v>
      </c>
      <c r="D78" s="45" t="s">
        <v>2620</v>
      </c>
      <c r="E78" s="45" t="s">
        <v>2456</v>
      </c>
      <c r="F78" s="45" t="s">
        <v>87</v>
      </c>
      <c r="G78" s="46" t="s">
        <v>2457</v>
      </c>
      <c r="H78" s="45" t="s">
        <v>2461</v>
      </c>
      <c r="I78" s="47">
        <v>51</v>
      </c>
      <c r="J78" s="47">
        <v>20</v>
      </c>
      <c r="K78" s="45" t="s">
        <v>88</v>
      </c>
      <c r="M78" s="45" t="s">
        <v>88</v>
      </c>
      <c r="N78" s="45" t="s">
        <v>87</v>
      </c>
      <c r="O78" s="45" t="s">
        <v>88</v>
      </c>
      <c r="P78" s="48">
        <v>3660076</v>
      </c>
      <c r="Q78" s="49" t="s">
        <v>2141</v>
      </c>
      <c r="R78" s="49" t="s">
        <v>2059</v>
      </c>
      <c r="S78" s="50" t="s">
        <v>2459</v>
      </c>
    </row>
    <row r="79" spans="1:19">
      <c r="A79" s="45" t="s">
        <v>2621</v>
      </c>
      <c r="B79" s="45" t="s">
        <v>2480</v>
      </c>
      <c r="C79" s="45" t="s">
        <v>2454</v>
      </c>
      <c r="D79" s="45" t="s">
        <v>2622</v>
      </c>
      <c r="E79" s="45" t="s">
        <v>2456</v>
      </c>
      <c r="F79" s="45" t="s">
        <v>87</v>
      </c>
      <c r="G79" s="46" t="s">
        <v>2457</v>
      </c>
      <c r="H79" s="45" t="s">
        <v>2480</v>
      </c>
      <c r="I79" s="47">
        <v>100</v>
      </c>
      <c r="J79" s="47">
        <v>30</v>
      </c>
      <c r="K79" s="45" t="s">
        <v>88</v>
      </c>
      <c r="M79" s="45" t="s">
        <v>87</v>
      </c>
      <c r="N79" s="45" t="s">
        <v>88</v>
      </c>
      <c r="O79" s="45" t="s">
        <v>87</v>
      </c>
      <c r="P79" s="48">
        <v>2396420</v>
      </c>
      <c r="Q79" s="49" t="s">
        <v>2107</v>
      </c>
      <c r="R79" s="49" t="s">
        <v>2464</v>
      </c>
      <c r="S79" s="50" t="s">
        <v>2459</v>
      </c>
    </row>
    <row r="80" spans="1:19">
      <c r="A80" s="45" t="s">
        <v>2623</v>
      </c>
      <c r="B80" s="45" t="s">
        <v>2461</v>
      </c>
      <c r="C80" s="45" t="s">
        <v>2454</v>
      </c>
      <c r="D80" s="45" t="s">
        <v>2624</v>
      </c>
      <c r="E80" s="45" t="s">
        <v>2456</v>
      </c>
      <c r="F80" s="45" t="s">
        <v>87</v>
      </c>
      <c r="G80" s="46" t="s">
        <v>2457</v>
      </c>
      <c r="H80" s="45" t="s">
        <v>2461</v>
      </c>
      <c r="I80" s="47">
        <v>100</v>
      </c>
      <c r="J80" s="47">
        <v>40</v>
      </c>
      <c r="K80" s="45" t="s">
        <v>88</v>
      </c>
      <c r="M80" s="45" t="s">
        <v>88</v>
      </c>
      <c r="N80" s="45" t="s">
        <v>88</v>
      </c>
      <c r="O80" s="45" t="s">
        <v>88</v>
      </c>
      <c r="P80" s="48">
        <v>6254319</v>
      </c>
      <c r="Q80" s="49" t="s">
        <v>2082</v>
      </c>
      <c r="R80" s="49" t="s">
        <v>2458</v>
      </c>
      <c r="S80" s="50" t="s">
        <v>2459</v>
      </c>
    </row>
    <row r="81" spans="1:19">
      <c r="A81" s="45" t="s">
        <v>2625</v>
      </c>
      <c r="B81" s="45" t="s">
        <v>2480</v>
      </c>
      <c r="C81" s="45" t="s">
        <v>2454</v>
      </c>
      <c r="D81" s="45" t="s">
        <v>2626</v>
      </c>
      <c r="E81" s="45" t="s">
        <v>2456</v>
      </c>
      <c r="F81" s="45" t="s">
        <v>87</v>
      </c>
      <c r="G81" s="46" t="s">
        <v>2457</v>
      </c>
      <c r="H81" s="45" t="s">
        <v>2480</v>
      </c>
      <c r="I81" s="47">
        <v>100</v>
      </c>
      <c r="J81" s="47">
        <v>30</v>
      </c>
      <c r="K81" s="45" t="s">
        <v>88</v>
      </c>
      <c r="M81" s="45" t="s">
        <v>87</v>
      </c>
      <c r="N81" s="45" t="s">
        <v>87</v>
      </c>
      <c r="O81" s="45" t="s">
        <v>87</v>
      </c>
      <c r="P81" s="48">
        <v>2363527</v>
      </c>
      <c r="Q81" s="49" t="s">
        <v>2141</v>
      </c>
      <c r="R81" s="49" t="s">
        <v>2458</v>
      </c>
      <c r="S81" s="50" t="s">
        <v>2459</v>
      </c>
    </row>
    <row r="82" spans="1:19">
      <c r="A82" s="45" t="s">
        <v>2627</v>
      </c>
      <c r="B82" s="45" t="s">
        <v>2461</v>
      </c>
      <c r="C82" s="45" t="s">
        <v>2498</v>
      </c>
      <c r="D82" s="45" t="s">
        <v>2628</v>
      </c>
      <c r="E82" s="45" t="s">
        <v>2456</v>
      </c>
      <c r="F82" s="45" t="s">
        <v>87</v>
      </c>
      <c r="G82" s="46" t="s">
        <v>2457</v>
      </c>
      <c r="H82" s="45" t="s">
        <v>2461</v>
      </c>
      <c r="I82" s="47">
        <v>51</v>
      </c>
      <c r="J82" s="47">
        <v>20</v>
      </c>
      <c r="K82" s="45" t="s">
        <v>88</v>
      </c>
      <c r="M82" s="45" t="s">
        <v>88</v>
      </c>
      <c r="N82" s="45" t="s">
        <v>88</v>
      </c>
      <c r="O82" s="45" t="s">
        <v>88</v>
      </c>
      <c r="P82" s="48">
        <v>3222028</v>
      </c>
      <c r="Q82" s="49" t="s">
        <v>2068</v>
      </c>
      <c r="R82" s="49" t="s">
        <v>2059</v>
      </c>
      <c r="S82" s="50" t="s">
        <v>2459</v>
      </c>
    </row>
  </sheetData>
  <mergeCells count="1">
    <mergeCell ref="A1:S1"/>
  </mergeCells>
  <dataValidations count="4">
    <dataValidation type="list" allowBlank="1" showInputMessage="1" showErrorMessage="1" sqref="E3:E1082" xr:uid="{00000000-0002-0000-0500-000000000000}">
      <formula1>"CoGP,RCoGP"</formula1>
      <formula2>0</formula2>
    </dataValidation>
    <dataValidation type="list" allowBlank="1" showInputMessage="1" showErrorMessage="1" sqref="C3:C1082" xr:uid="{00000000-0002-0000-0500-000001000000}">
      <formula1>"1,2,3,4,5,6,7,8,Non-compliant"</formula1>
      <formula2>0</formula2>
    </dataValidation>
    <dataValidation type="list" allowBlank="1" showInputMessage="1" showErrorMessage="1" sqref="B3:B1082 H3:H1082" xr:uid="{00000000-0002-0000-0500-000002000000}">
      <formula1>"Large,QSE,EME"</formula1>
      <formula2>0</formula2>
    </dataValidation>
    <dataValidation type="list" allowBlank="1" showInputMessage="1" showErrorMessage="1" sqref="F3:F1082 K3:K1082 M3:O1082" xr:uid="{00000000-0002-0000-0500-000003000000}">
      <formula1>"Yes,No"</formula1>
      <formula2>0</formula2>
    </dataValidation>
  </dataValidation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2"/>
  <sheetViews>
    <sheetView zoomScaleNormal="100" workbookViewId="0">
      <selection activeCell="D34" sqref="D34"/>
    </sheetView>
  </sheetViews>
  <sheetFormatPr defaultColWidth="8.85546875" defaultRowHeight="15"/>
  <cols>
    <col min="1" max="1" width="29.7109375" style="60" customWidth="1"/>
    <col min="2" max="2" width="29.7109375" style="61" customWidth="1"/>
    <col min="3" max="3" width="21.28515625" style="60" customWidth="1"/>
    <col min="4" max="4" width="25.7109375" style="60" customWidth="1"/>
    <col min="5" max="5" width="35.85546875" style="62" customWidth="1"/>
    <col min="6" max="6" width="19.28515625" style="60" customWidth="1"/>
    <col min="7" max="7" width="13.7109375" style="63" customWidth="1"/>
    <col min="8" max="8" width="33.140625" style="62" customWidth="1"/>
    <col min="9" max="9" width="29.140625" style="62" customWidth="1"/>
    <col min="10" max="10" width="12.7109375" style="64" customWidth="1"/>
    <col min="11" max="11" width="14.85546875" style="64" customWidth="1"/>
    <col min="12" max="12" width="8.85546875" style="60"/>
    <col min="13" max="13" width="10.7109375" style="60" customWidth="1"/>
    <col min="14" max="16384" width="8.85546875" style="60"/>
  </cols>
  <sheetData>
    <row r="1" spans="1:13" ht="15.75" customHeight="1">
      <c r="A1" s="1" t="s">
        <v>66</v>
      </c>
      <c r="B1" s="1"/>
      <c r="C1" s="1"/>
      <c r="D1" s="1"/>
      <c r="E1" s="1"/>
      <c r="F1" s="1"/>
      <c r="G1" s="1"/>
      <c r="H1" s="1"/>
      <c r="I1" s="1"/>
      <c r="J1" s="1"/>
      <c r="K1" s="1"/>
      <c r="L1" s="1"/>
      <c r="M1" s="1"/>
    </row>
    <row r="2" spans="1:13" ht="30" customHeight="1">
      <c r="A2" s="65" t="s">
        <v>2435</v>
      </c>
      <c r="B2" s="66" t="s">
        <v>2629</v>
      </c>
      <c r="C2" s="65" t="s">
        <v>2630</v>
      </c>
      <c r="D2" s="67" t="s">
        <v>2631</v>
      </c>
      <c r="E2" s="68" t="s">
        <v>2632</v>
      </c>
      <c r="F2" s="69" t="s">
        <v>2633</v>
      </c>
      <c r="G2" s="65" t="s">
        <v>2634</v>
      </c>
      <c r="H2" s="68" t="s">
        <v>2635</v>
      </c>
      <c r="I2" s="68" t="s">
        <v>2636</v>
      </c>
      <c r="J2" s="70" t="s">
        <v>2637</v>
      </c>
      <c r="K2" s="70" t="s">
        <v>2638</v>
      </c>
      <c r="L2" s="70" t="s">
        <v>2048</v>
      </c>
      <c r="M2" s="70" t="s">
        <v>2049</v>
      </c>
    </row>
    <row r="3" spans="1:13">
      <c r="A3" s="60" t="s">
        <v>2639</v>
      </c>
      <c r="B3" s="61">
        <v>51</v>
      </c>
      <c r="C3" s="60" t="s">
        <v>2480</v>
      </c>
      <c r="D3" s="60" t="s">
        <v>2640</v>
      </c>
      <c r="E3" s="62" t="s">
        <v>2641</v>
      </c>
      <c r="F3" s="60" t="s">
        <v>2642</v>
      </c>
      <c r="G3" s="63">
        <v>420000</v>
      </c>
      <c r="H3" s="62" t="s">
        <v>2641</v>
      </c>
      <c r="I3" s="62" t="s">
        <v>2643</v>
      </c>
      <c r="J3" s="64">
        <v>11.75</v>
      </c>
      <c r="K3" s="64">
        <v>0</v>
      </c>
      <c r="L3" s="60" t="s">
        <v>2141</v>
      </c>
      <c r="M3" s="60" t="s">
        <v>2644</v>
      </c>
    </row>
    <row r="4" spans="1:13">
      <c r="A4" s="60" t="s">
        <v>2645</v>
      </c>
      <c r="B4" s="61">
        <v>100</v>
      </c>
      <c r="C4" s="60" t="s">
        <v>2480</v>
      </c>
      <c r="D4" s="60" t="s">
        <v>2646</v>
      </c>
      <c r="E4" s="62" t="s">
        <v>2641</v>
      </c>
      <c r="F4" s="60" t="s">
        <v>2647</v>
      </c>
      <c r="G4" s="63">
        <v>260000</v>
      </c>
      <c r="H4" s="62" t="s">
        <v>2641</v>
      </c>
      <c r="I4" s="62" t="s">
        <v>2643</v>
      </c>
      <c r="L4" s="60" t="s">
        <v>2053</v>
      </c>
      <c r="M4" s="60" t="s">
        <v>2644</v>
      </c>
    </row>
    <row r="5" spans="1:13">
      <c r="A5" s="60" t="s">
        <v>2648</v>
      </c>
      <c r="B5" s="61">
        <v>51</v>
      </c>
      <c r="C5" s="60" t="s">
        <v>2453</v>
      </c>
      <c r="D5" s="60" t="s">
        <v>2649</v>
      </c>
      <c r="E5" s="62" t="s">
        <v>2641</v>
      </c>
      <c r="F5" s="60" t="s">
        <v>2650</v>
      </c>
      <c r="G5" s="63">
        <v>180000</v>
      </c>
      <c r="H5" s="62" t="s">
        <v>2641</v>
      </c>
      <c r="I5" s="62" t="s">
        <v>2643</v>
      </c>
      <c r="L5" s="60" t="s">
        <v>2082</v>
      </c>
      <c r="M5" s="60" t="s">
        <v>2644</v>
      </c>
    </row>
    <row r="6" spans="1:13">
      <c r="A6" s="60" t="s">
        <v>2651</v>
      </c>
      <c r="B6" s="61">
        <v>100</v>
      </c>
      <c r="C6" s="60" t="s">
        <v>2453</v>
      </c>
      <c r="D6" s="60" t="s">
        <v>2652</v>
      </c>
      <c r="E6" s="62" t="s">
        <v>2641</v>
      </c>
      <c r="F6" s="60" t="s">
        <v>2653</v>
      </c>
      <c r="G6" s="63">
        <v>150000</v>
      </c>
      <c r="H6" s="62" t="s">
        <v>2641</v>
      </c>
      <c r="I6" s="62" t="s">
        <v>2643</v>
      </c>
      <c r="L6" s="60" t="s">
        <v>2078</v>
      </c>
      <c r="M6" s="60" t="s">
        <v>2644</v>
      </c>
    </row>
    <row r="7" spans="1:13">
      <c r="A7" s="60" t="s">
        <v>2654</v>
      </c>
      <c r="B7" s="61">
        <v>100</v>
      </c>
      <c r="C7" s="60" t="s">
        <v>2453</v>
      </c>
      <c r="D7" s="60" t="s">
        <v>2655</v>
      </c>
      <c r="E7" s="62" t="s">
        <v>2641</v>
      </c>
      <c r="F7" s="60" t="s">
        <v>2656</v>
      </c>
      <c r="G7" s="63">
        <v>230000</v>
      </c>
      <c r="H7" s="62" t="s">
        <v>2641</v>
      </c>
      <c r="I7" s="62" t="s">
        <v>2643</v>
      </c>
      <c r="L7" s="60" t="s">
        <v>2107</v>
      </c>
      <c r="M7" s="60" t="s">
        <v>2644</v>
      </c>
    </row>
    <row r="8" spans="1:13">
      <c r="A8" s="60" t="s">
        <v>2657</v>
      </c>
      <c r="B8" s="61">
        <v>100</v>
      </c>
      <c r="C8" s="60" t="s">
        <v>2453</v>
      </c>
      <c r="D8" s="60" t="s">
        <v>2658</v>
      </c>
      <c r="E8" s="62" t="s">
        <v>2641</v>
      </c>
      <c r="F8" s="60" t="s">
        <v>2653</v>
      </c>
      <c r="G8" s="63">
        <v>190000</v>
      </c>
      <c r="H8" s="62" t="s">
        <v>2641</v>
      </c>
      <c r="I8" s="62" t="s">
        <v>2643</v>
      </c>
      <c r="L8" s="60" t="s">
        <v>2107</v>
      </c>
      <c r="M8" s="60" t="s">
        <v>2644</v>
      </c>
    </row>
    <row r="9" spans="1:13">
      <c r="A9" s="60" t="s">
        <v>2659</v>
      </c>
      <c r="B9" s="61">
        <v>100</v>
      </c>
      <c r="C9" s="60" t="s">
        <v>2480</v>
      </c>
      <c r="D9" s="60" t="s">
        <v>2660</v>
      </c>
      <c r="E9" s="62" t="s">
        <v>2641</v>
      </c>
      <c r="F9" s="60" t="s">
        <v>2650</v>
      </c>
      <c r="G9" s="63">
        <v>260000</v>
      </c>
      <c r="H9" s="62" t="s">
        <v>2641</v>
      </c>
      <c r="I9" s="62" t="s">
        <v>2643</v>
      </c>
      <c r="L9" s="60" t="s">
        <v>2062</v>
      </c>
      <c r="M9" s="60" t="s">
        <v>2644</v>
      </c>
    </row>
    <row r="10" spans="1:13">
      <c r="A10" s="60" t="s">
        <v>2661</v>
      </c>
      <c r="B10" s="61">
        <v>100</v>
      </c>
      <c r="C10" s="60" t="s">
        <v>2480</v>
      </c>
      <c r="D10" s="60" t="s">
        <v>2662</v>
      </c>
      <c r="E10" s="62" t="s">
        <v>2641</v>
      </c>
      <c r="F10" s="60" t="s">
        <v>2650</v>
      </c>
      <c r="G10" s="63">
        <v>180000</v>
      </c>
      <c r="H10" s="62" t="s">
        <v>2641</v>
      </c>
      <c r="I10" s="62" t="s">
        <v>2643</v>
      </c>
      <c r="L10" s="60" t="s">
        <v>2062</v>
      </c>
      <c r="M10" s="60" t="s">
        <v>2644</v>
      </c>
    </row>
    <row r="11" spans="1:13">
      <c r="A11" s="60" t="s">
        <v>2663</v>
      </c>
      <c r="B11" s="61">
        <v>51</v>
      </c>
      <c r="C11" s="60" t="s">
        <v>2480</v>
      </c>
      <c r="D11" s="60" t="s">
        <v>2664</v>
      </c>
      <c r="E11" s="62" t="s">
        <v>2641</v>
      </c>
      <c r="F11" s="60" t="s">
        <v>2650</v>
      </c>
      <c r="G11" s="63">
        <v>150000</v>
      </c>
      <c r="H11" s="62" t="s">
        <v>2641</v>
      </c>
      <c r="I11" s="62" t="s">
        <v>2643</v>
      </c>
      <c r="L11" s="60" t="s">
        <v>2078</v>
      </c>
      <c r="M11" s="60" t="s">
        <v>2644</v>
      </c>
    </row>
    <row r="12" spans="1:13">
      <c r="A12" s="60" t="s">
        <v>2665</v>
      </c>
      <c r="B12" s="61">
        <v>51</v>
      </c>
      <c r="C12" s="60" t="s">
        <v>2480</v>
      </c>
      <c r="D12" s="60" t="s">
        <v>2666</v>
      </c>
      <c r="E12" s="62" t="s">
        <v>2641</v>
      </c>
      <c r="F12" s="60" t="s">
        <v>2656</v>
      </c>
      <c r="G12" s="63">
        <v>140000</v>
      </c>
      <c r="H12" s="62" t="s">
        <v>2641</v>
      </c>
      <c r="I12" s="62" t="s">
        <v>2643</v>
      </c>
      <c r="L12" s="60" t="s">
        <v>2082</v>
      </c>
      <c r="M12" s="60" t="s">
        <v>2644</v>
      </c>
    </row>
  </sheetData>
  <mergeCells count="1">
    <mergeCell ref="A1:M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
  <sheetViews>
    <sheetView zoomScaleNormal="100" workbookViewId="0">
      <selection activeCell="E33" sqref="E33"/>
    </sheetView>
  </sheetViews>
  <sheetFormatPr defaultColWidth="8.85546875" defaultRowHeight="15"/>
  <cols>
    <col min="1" max="1" width="15.85546875" style="60" customWidth="1"/>
    <col min="2" max="2" width="23" style="60" customWidth="1"/>
    <col min="3" max="3" width="17.7109375" style="60" customWidth="1"/>
    <col min="4" max="4" width="29.28515625" style="62" customWidth="1"/>
    <col min="5" max="5" width="22.85546875" style="60" customWidth="1"/>
    <col min="6" max="6" width="32.7109375" style="61" customWidth="1"/>
    <col min="7" max="7" width="7.85546875" style="60" customWidth="1"/>
    <col min="8" max="8" width="12" style="60" customWidth="1"/>
    <col min="9" max="9" width="8.7109375" style="63" customWidth="1"/>
    <col min="10" max="10" width="14.140625" style="60" customWidth="1"/>
    <col min="11" max="16384" width="8.85546875" style="60"/>
  </cols>
  <sheetData>
    <row r="1" spans="1:10" ht="15.75" customHeight="1">
      <c r="A1" s="1" t="s">
        <v>2667</v>
      </c>
      <c r="B1" s="1"/>
      <c r="C1" s="1"/>
      <c r="D1" s="1"/>
      <c r="E1" s="1"/>
      <c r="F1" s="1"/>
      <c r="G1" s="1"/>
      <c r="H1" s="1"/>
      <c r="I1" s="1"/>
      <c r="J1" s="71"/>
    </row>
    <row r="2" spans="1:10" ht="15" customHeight="1">
      <c r="A2" s="65" t="s">
        <v>2668</v>
      </c>
      <c r="B2" s="65" t="s">
        <v>2669</v>
      </c>
      <c r="C2" s="68" t="s">
        <v>2670</v>
      </c>
      <c r="D2" s="68" t="s">
        <v>2632</v>
      </c>
      <c r="E2" s="65" t="s">
        <v>2633</v>
      </c>
      <c r="F2" s="72" t="s">
        <v>2671</v>
      </c>
      <c r="G2" s="68" t="s">
        <v>2048</v>
      </c>
      <c r="H2" s="68" t="s">
        <v>2049</v>
      </c>
      <c r="I2" s="65" t="s">
        <v>2634</v>
      </c>
      <c r="J2" s="73"/>
    </row>
    <row r="3" spans="1:10">
      <c r="A3" s="60" t="s">
        <v>2672</v>
      </c>
      <c r="B3" s="60" t="s">
        <v>2673</v>
      </c>
      <c r="C3" s="60" t="s">
        <v>88</v>
      </c>
      <c r="D3" s="62" t="s">
        <v>1188</v>
      </c>
      <c r="E3" s="60" t="s">
        <v>2674</v>
      </c>
      <c r="F3" s="61">
        <v>90</v>
      </c>
      <c r="G3" s="60" t="s">
        <v>2053</v>
      </c>
      <c r="H3" s="60" t="s">
        <v>2675</v>
      </c>
      <c r="I3" s="63">
        <v>260000</v>
      </c>
    </row>
    <row r="4" spans="1:10">
      <c r="A4" s="60" t="s">
        <v>2676</v>
      </c>
      <c r="B4" s="60" t="s">
        <v>2677</v>
      </c>
      <c r="C4" s="60" t="s">
        <v>88</v>
      </c>
      <c r="D4" s="62" t="s">
        <v>1188</v>
      </c>
      <c r="E4" s="60" t="s">
        <v>2650</v>
      </c>
      <c r="F4" s="61">
        <v>95</v>
      </c>
      <c r="G4" s="60" t="s">
        <v>2068</v>
      </c>
      <c r="H4" s="60" t="s">
        <v>2675</v>
      </c>
      <c r="I4" s="63">
        <v>180000</v>
      </c>
    </row>
    <row r="5" spans="1:10">
      <c r="A5" s="60" t="s">
        <v>2678</v>
      </c>
      <c r="B5" s="60" t="s">
        <v>2679</v>
      </c>
      <c r="C5" s="60" t="s">
        <v>87</v>
      </c>
      <c r="D5" s="62" t="s">
        <v>1188</v>
      </c>
      <c r="E5" s="60" t="s">
        <v>2650</v>
      </c>
      <c r="F5" s="61">
        <v>85</v>
      </c>
      <c r="G5" s="60" t="s">
        <v>2068</v>
      </c>
      <c r="H5" s="60" t="s">
        <v>2675</v>
      </c>
      <c r="I5" s="63">
        <v>150000</v>
      </c>
    </row>
    <row r="6" spans="1:10">
      <c r="A6" s="60" t="s">
        <v>2680</v>
      </c>
      <c r="B6" s="60" t="s">
        <v>2681</v>
      </c>
      <c r="C6" s="60" t="s">
        <v>88</v>
      </c>
      <c r="D6" s="62" t="s">
        <v>1188</v>
      </c>
      <c r="E6" s="60" t="s">
        <v>2650</v>
      </c>
      <c r="F6" s="61">
        <v>100</v>
      </c>
      <c r="G6" s="60" t="s">
        <v>2141</v>
      </c>
      <c r="H6" s="60" t="s">
        <v>2675</v>
      </c>
      <c r="I6" s="63">
        <v>90000</v>
      </c>
    </row>
    <row r="7" spans="1:10">
      <c r="A7" s="60" t="s">
        <v>2682</v>
      </c>
      <c r="B7" s="60" t="s">
        <v>2683</v>
      </c>
      <c r="C7" s="60" t="s">
        <v>88</v>
      </c>
      <c r="D7" s="62" t="s">
        <v>1188</v>
      </c>
      <c r="E7" s="60" t="s">
        <v>2650</v>
      </c>
      <c r="F7" s="61">
        <v>80</v>
      </c>
      <c r="G7" s="60" t="s">
        <v>2082</v>
      </c>
      <c r="H7" s="60" t="s">
        <v>2675</v>
      </c>
      <c r="I7" s="63">
        <v>70000</v>
      </c>
    </row>
  </sheetData>
  <mergeCells count="1">
    <mergeCell ref="A1:I1"/>
  </mergeCells>
  <dataValidations count="1">
    <dataValidation type="list" allowBlank="1" showInputMessage="1" showErrorMessage="1" sqref="C3:C1007" xr:uid="{00000000-0002-0000-0700-000000000000}">
      <formula1>"Yes,No"</formula1>
      <formula2>0</formula2>
    </dataValidation>
  </dataValidation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656622a-5208-4acd-b81a-289d56b29a6c">
      <Terms xmlns="http://schemas.microsoft.com/office/infopath/2007/PartnerControls"/>
    </lcf76f155ced4ddcb4097134ff3c332f>
    <TaxCatchAll xmlns="dfe03c44-69f7-4c9f-9bd1-19419750fc7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568E1A28E41A49B8674E508EA59FD2" ma:contentTypeVersion="13" ma:contentTypeDescription="Create a new document." ma:contentTypeScope="" ma:versionID="5f19f465a20af59f167148e9192f78a8">
  <xsd:schema xmlns:xsd="http://www.w3.org/2001/XMLSchema" xmlns:xs="http://www.w3.org/2001/XMLSchema" xmlns:p="http://schemas.microsoft.com/office/2006/metadata/properties" xmlns:ns2="c656622a-5208-4acd-b81a-289d56b29a6c" xmlns:ns3="dfe03c44-69f7-4c9f-9bd1-19419750fc7a" targetNamespace="http://schemas.microsoft.com/office/2006/metadata/properties" ma:root="true" ma:fieldsID="990f7652f7172dd306e0dfe48f507c05" ns2:_="" ns3:_="">
    <xsd:import namespace="c656622a-5208-4acd-b81a-289d56b29a6c"/>
    <xsd:import namespace="dfe03c44-69f7-4c9f-9bd1-19419750fc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56622a-5208-4acd-b81a-289d56b29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59b8b8-6ae3-4cc3-80ef-99276c49de0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fe03c44-69f7-4c9f-9bd1-19419750fc7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05bc6c8-e8bc-47a3-96e0-1df1bf139207}" ma:internalName="TaxCatchAll" ma:showField="CatchAllData" ma:web="dfe03c44-69f7-4c9f-9bd1-19419750fc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8F5B79-E471-41B3-9AB1-C254DFFFED22}"/>
</file>

<file path=customXml/itemProps2.xml><?xml version="1.0" encoding="utf-8"?>
<ds:datastoreItem xmlns:ds="http://schemas.openxmlformats.org/officeDocument/2006/customXml" ds:itemID="{94C8ADC2-9FFF-48DF-A870-7BB953A961CB}"/>
</file>

<file path=customXml/itemProps3.xml><?xml version="1.0" encoding="utf-8"?>
<ds:datastoreItem xmlns:ds="http://schemas.openxmlformats.org/officeDocument/2006/customXml" ds:itemID="{41C0C051-48D3-4B00-BCA6-3203CC46EB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Transcend</dc:creator>
  <cp:keywords/>
  <dc:description/>
  <cp:lastModifiedBy>Zoleka Mnanzana</cp:lastModifiedBy>
  <cp:revision>0</cp:revision>
  <dcterms:created xsi:type="dcterms:W3CDTF">2011-09-02T11:04:14Z</dcterms:created>
  <dcterms:modified xsi:type="dcterms:W3CDTF">2026-06-22T10:00:45Z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0x0101009A568E1A28E41A49B8674E508EA59FD2</vt:lpwstr>
  </property>
  <property fmtid="{D5CDD505-2E9C-101B-9397-08002B2CF9AE}" pid="3" name="MediaServiceImageTags">
    <vt:lpwstr/>
  </property>
</Properties>
</file>