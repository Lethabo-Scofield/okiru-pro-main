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defaultThemeVersion="124226"/>
  <xr:revisionPtr revIDLastSave="0" documentId="13_ncr:1_{4BDDDD84-496F-4F2C-8DA6-C7F6C9862C85}" xr6:coauthVersionLast="47" xr6:coauthVersionMax="47" xr10:uidLastSave="{00000000-0000-0000-0000-000000000000}"/>
  <bookViews>
    <workbookView xWindow="-110" yWindow="-110" windowWidth="19420" windowHeight="11500" xr2:uid="{E272942D-A216-4B0E-99E5-92DAA4C93132}"/>
  </bookViews>
  <sheets>
    <sheet name="Sheet1" sheetId="1" r:id="rId1"/>
    <sheet name="Sheet2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1" l="1"/>
  <c r="H64" i="1"/>
  <c r="G65" i="1"/>
  <c r="G64" i="1"/>
  <c r="H67" i="1"/>
  <c r="G67" i="1"/>
  <c r="G57" i="1"/>
  <c r="H58" i="1"/>
  <c r="H57" i="1"/>
  <c r="G58" i="1"/>
  <c r="H60" i="1"/>
  <c r="G60" i="1"/>
  <c r="F58" i="1"/>
  <c r="F57" i="1"/>
  <c r="F60" i="1"/>
  <c r="H51" i="1"/>
  <c r="H50" i="1"/>
  <c r="G51" i="1"/>
  <c r="G50" i="1"/>
  <c r="H53" i="1"/>
  <c r="G53" i="1"/>
  <c r="H44" i="1"/>
  <c r="H43" i="1"/>
  <c r="G44" i="1"/>
  <c r="G43" i="1"/>
  <c r="H46" i="1"/>
  <c r="G46" i="1"/>
  <c r="H37" i="1"/>
  <c r="H36" i="1"/>
  <c r="G37" i="1"/>
  <c r="G36" i="1"/>
  <c r="H39" i="1"/>
  <c r="G39" i="1"/>
  <c r="H30" i="1"/>
  <c r="H29" i="1"/>
  <c r="G30" i="1"/>
  <c r="G29" i="1"/>
  <c r="H32" i="1"/>
  <c r="G32" i="1"/>
  <c r="H9" i="1"/>
  <c r="H8" i="1"/>
  <c r="G9" i="1"/>
  <c r="G8" i="1"/>
  <c r="F9" i="1"/>
  <c r="F8" i="1"/>
  <c r="H16" i="1"/>
  <c r="H15" i="1"/>
  <c r="G16" i="1"/>
  <c r="G15" i="1"/>
  <c r="H23" i="1"/>
  <c r="H22" i="1"/>
  <c r="G23" i="1"/>
  <c r="G22" i="1"/>
  <c r="H25" i="1"/>
  <c r="G25" i="1"/>
  <c r="H18" i="1"/>
  <c r="G18" i="1"/>
  <c r="G10" i="1"/>
  <c r="F10" i="1"/>
  <c r="H11" i="1"/>
  <c r="G11" i="1"/>
  <c r="F11" i="1"/>
  <c r="G24" i="1"/>
  <c r="H10" i="1" l="1"/>
  <c r="I9" i="1"/>
  <c r="I8" i="1"/>
  <c r="H9" i="2"/>
  <c r="H8" i="2"/>
  <c r="K11" i="2"/>
  <c r="J11" i="2"/>
  <c r="I11" i="2"/>
  <c r="B9" i="2" s="1"/>
  <c r="H11" i="2"/>
  <c r="B64" i="2"/>
  <c r="B57" i="2"/>
  <c r="B50" i="2"/>
  <c r="B43" i="2"/>
  <c r="B36" i="2"/>
  <c r="B29" i="2"/>
  <c r="B22" i="2"/>
  <c r="B16" i="2"/>
  <c r="H10" i="2" l="1"/>
  <c r="L11" i="2"/>
  <c r="I11" i="1"/>
  <c r="G66" i="1" l="1"/>
  <c r="G68" i="1" s="1"/>
  <c r="H66" i="1"/>
  <c r="H68" i="1" s="1"/>
  <c r="G59" i="1"/>
  <c r="G61" i="1" s="1"/>
  <c r="H59" i="1"/>
  <c r="H61" i="1" s="1"/>
  <c r="G52" i="1"/>
  <c r="G54" i="1" s="1"/>
  <c r="H52" i="1"/>
  <c r="H54" i="1" s="1"/>
  <c r="G45" i="1"/>
  <c r="H45" i="1"/>
  <c r="G38" i="1"/>
  <c r="G40" i="1" s="1"/>
  <c r="H38" i="1"/>
  <c r="H40" i="1" s="1"/>
  <c r="G31" i="1"/>
  <c r="G33" i="1" s="1"/>
  <c r="H31" i="1"/>
  <c r="H33" i="1" s="1"/>
  <c r="H24" i="1"/>
  <c r="H26" i="1" s="1"/>
  <c r="G26" i="1"/>
  <c r="H17" i="1"/>
  <c r="H19" i="1" s="1"/>
  <c r="G17" i="1"/>
  <c r="G19" i="1" s="1"/>
  <c r="H12" i="1"/>
  <c r="G12" i="1"/>
  <c r="I67" i="1"/>
  <c r="I39" i="1"/>
  <c r="I46" i="1" l="1"/>
  <c r="I18" i="1"/>
  <c r="I15" i="1"/>
  <c r="I43" i="1"/>
  <c r="I16" i="1"/>
  <c r="I37" i="1"/>
  <c r="I44" i="1"/>
  <c r="I60" i="1"/>
  <c r="I65" i="1"/>
  <c r="I25" i="1"/>
  <c r="I29" i="1"/>
  <c r="I53" i="1"/>
  <c r="I57" i="1"/>
  <c r="I23" i="1"/>
  <c r="I51" i="1"/>
  <c r="I30" i="1"/>
  <c r="I58" i="1"/>
  <c r="I22" i="1"/>
  <c r="I50" i="1"/>
  <c r="H47" i="1"/>
  <c r="I32" i="1"/>
  <c r="I36" i="1"/>
  <c r="I64" i="1"/>
  <c r="G47" i="1"/>
  <c r="I38" i="1" l="1"/>
  <c r="I24" i="1"/>
  <c r="I66" i="1"/>
  <c r="I31" i="1"/>
  <c r="I45" i="1"/>
  <c r="I59" i="1"/>
  <c r="I52" i="1"/>
  <c r="E12" i="1"/>
  <c r="F12" i="1"/>
  <c r="I10" i="1" l="1"/>
  <c r="B9" i="1" s="1"/>
  <c r="I17" i="1"/>
  <c r="B29" i="1"/>
  <c r="B36" i="1"/>
  <c r="B43" i="1"/>
  <c r="B22" i="1"/>
  <c r="B50" i="1"/>
  <c r="B57" i="1"/>
  <c r="B64" i="1"/>
  <c r="B16" i="1" l="1"/>
</calcChain>
</file>

<file path=xl/sharedStrings.xml><?xml version="1.0" encoding="utf-8"?>
<sst xmlns="http://schemas.openxmlformats.org/spreadsheetml/2006/main" count="179" uniqueCount="39">
  <si>
    <t>Industry Norms calculated from Stats SA figures</t>
  </si>
  <si>
    <t xml:space="preserve">Issue date: </t>
  </si>
  <si>
    <t>Formula</t>
  </si>
  <si>
    <t>Next publication date:</t>
  </si>
  <si>
    <t>Determine NPAT [NPBT-TAXATION]</t>
  </si>
  <si>
    <t>NPAT÷ TURNOVER</t>
  </si>
  <si>
    <t>All Industries</t>
  </si>
  <si>
    <t>Totals</t>
  </si>
  <si>
    <t>NPBT</t>
  </si>
  <si>
    <t>TAXATION</t>
  </si>
  <si>
    <t>NPAT</t>
  </si>
  <si>
    <t>TURNOVER</t>
  </si>
  <si>
    <t>Average profit margin</t>
  </si>
  <si>
    <t>Mining and Quarrying industry</t>
  </si>
  <si>
    <t xml:space="preserve"> </t>
  </si>
  <si>
    <t>Manufacturing Industry</t>
  </si>
  <si>
    <t>Electricity Gas and Water supply Industry</t>
  </si>
  <si>
    <t>Construction Industry</t>
  </si>
  <si>
    <t>Trade Industry</t>
  </si>
  <si>
    <t>Transport Storage and Communication Industry</t>
  </si>
  <si>
    <t>Real estate and other business services Industry</t>
  </si>
  <si>
    <t>Community, Social and personal services Industry</t>
  </si>
  <si>
    <t>* Revised estimates</t>
  </si>
  <si>
    <t>! Preliminary estimates</t>
  </si>
  <si>
    <t>`</t>
  </si>
  <si>
    <t>Q2 (2024)*</t>
  </si>
  <si>
    <t>Q1 (2024)*</t>
  </si>
  <si>
    <t>Q3 (2024)*</t>
  </si>
  <si>
    <t>Q4 (2024)!</t>
  </si>
  <si>
    <t>Note: The above estimates are sourced from the P0044: Quarterly Financial Statistics: December 2024 as published by Statistics South Africa</t>
  </si>
  <si>
    <t>Q2 (2025)*</t>
  </si>
  <si>
    <t>Q3 (2025)*</t>
  </si>
  <si>
    <t>2026/09/30</t>
  </si>
  <si>
    <t>Q1 (2026)!</t>
  </si>
  <si>
    <t>Q4 (2025)*</t>
  </si>
  <si>
    <t>Q3 (2025)**</t>
  </si>
  <si>
    <t>Q2 (2025)**</t>
  </si>
  <si>
    <t>Note: The above estimates are sourced from the P0044: Quarterly Financial Statistics: March 2026 as published by Statistics South Africa</t>
  </si>
  <si>
    <t>** All industries and real estate and other business services revised for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</si>
</sst>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i/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Arial"/>
      <family val="2"/>
    </font>
    <font>
      <sz val="9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</fills>
  <borders count="30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43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2" borderId="1" xfId="0" applyFill="1" applyBorder="1"/>
    <xf numFmtId="0" fontId="3" fillId="2" borderId="2" xfId="0" applyFont="1" applyFill="1" applyBorder="1"/>
    <xf numFmtId="0" fontId="0" fillId="2" borderId="3" xfId="0" applyFill="1" applyBorder="1"/>
    <xf numFmtId="164" fontId="0" fillId="0" borderId="0" xfId="0" quotePrefix="1" applyNumberFormat="1" applyAlignment="1">
      <alignment horizontal="right"/>
    </xf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 applyAlignment="1">
      <alignment wrapText="1"/>
    </xf>
    <xf numFmtId="0" fontId="0" fillId="2" borderId="8" xfId="0" applyFill="1" applyBorder="1"/>
    <xf numFmtId="0" fontId="4" fillId="0" borderId="0" xfId="0" applyFont="1"/>
    <xf numFmtId="0" fontId="0" fillId="0" borderId="9" xfId="0" applyBorder="1"/>
    <xf numFmtId="0" fontId="5" fillId="0" borderId="10" xfId="0" applyFont="1" applyBorder="1" applyAlignment="1">
      <alignment horizontal="center"/>
    </xf>
    <xf numFmtId="0" fontId="0" fillId="0" borderId="11" xfId="0" applyBorder="1"/>
    <xf numFmtId="3" fontId="0" fillId="0" borderId="12" xfId="0" applyNumberFormat="1" applyBorder="1"/>
    <xf numFmtId="10" fontId="4" fillId="0" borderId="0" xfId="1" applyNumberFormat="1" applyFont="1" applyFill="1" applyBorder="1" applyAlignment="1" applyProtection="1"/>
    <xf numFmtId="0" fontId="0" fillId="0" borderId="13" xfId="0" applyBorder="1"/>
    <xf numFmtId="3" fontId="0" fillId="0" borderId="14" xfId="0" applyNumberFormat="1" applyBorder="1"/>
    <xf numFmtId="0" fontId="0" fillId="0" borderId="15" xfId="0" applyBorder="1"/>
    <xf numFmtId="3" fontId="0" fillId="0" borderId="16" xfId="0" applyNumberFormat="1" applyBorder="1"/>
    <xf numFmtId="0" fontId="6" fillId="0" borderId="0" xfId="0" applyFont="1"/>
    <xf numFmtId="0" fontId="7" fillId="0" borderId="0" xfId="0" applyFont="1"/>
    <xf numFmtId="4" fontId="6" fillId="0" borderId="0" xfId="0" applyNumberFormat="1" applyFont="1"/>
    <xf numFmtId="3" fontId="0" fillId="0" borderId="0" xfId="0" applyNumberFormat="1"/>
    <xf numFmtId="0" fontId="4" fillId="0" borderId="0" xfId="0" applyFont="1" applyAlignment="1">
      <alignment wrapText="1"/>
    </xf>
    <xf numFmtId="0" fontId="8" fillId="0" borderId="0" xfId="0" applyFont="1"/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3" fontId="0" fillId="0" borderId="21" xfId="0" applyNumberFormat="1" applyBorder="1" applyAlignment="1">
      <alignment horizontal="right"/>
    </xf>
    <xf numFmtId="3" fontId="0" fillId="0" borderId="22" xfId="0" applyNumberFormat="1" applyBorder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5" fillId="0" borderId="26" xfId="0" applyFont="1" applyBorder="1" applyAlignment="1">
      <alignment horizontal="center"/>
    </xf>
    <xf numFmtId="3" fontId="0" fillId="0" borderId="27" xfId="0" applyNumberFormat="1" applyBorder="1"/>
    <xf numFmtId="0" fontId="0" fillId="0" borderId="28" xfId="0" applyBorder="1"/>
    <xf numFmtId="0" fontId="0" fillId="0" borderId="10" xfId="0" applyBorder="1"/>
    <xf numFmtId="0" fontId="0" fillId="0" borderId="29" xfId="0" applyBorder="1"/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Y2024/4.December%202024/Time%20Series/One%20digit/QFS_Jun06~September24_Checked_12%20December%2024.xls" TargetMode="External"/><Relationship Id="rId1" Type="http://schemas.openxmlformats.org/officeDocument/2006/relationships/externalLinkPath" Target="/DATA/econstats/Financial%20Statistics/Quarterly%20Financial%20Statistics/QFS/Y2024/4.December%202024/Time%20Series/One%20digit/QFS_Jun06~September24_Checked_12%20December%2024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Time%20Series/One%20digit/QFS_Jun06~Mar26_Checked_30%20June%202026.xls" TargetMode="External"/><Relationship Id="rId2" Type="http://schemas.openxmlformats.org/officeDocument/2006/relationships/externalLinkPath" Target="file:///F:\DATA\econstats\Financial%20Statistics\Quarterly%20Financial%20Statistics\QFS\Y2026\1.March%202026\Time%20Series\One%20digit\QFS_Jun06~Mar26_Checked_30%20June%202026.xls" TargetMode="External"/><Relationship Id="rId1" Type="http://schemas.openxmlformats.org/officeDocument/2006/relationships/externalLinkPath" Target="/DATA/econstats/Financial%20Statistics/Quarterly%20Financial%20Statistics/QFS/Y2026/1.March%202026/Time%20Series/One%20digit/QFS_Jun06~Mar26_Checked_30%20June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industries"/>
      <sheetName val="Mining &amp; quarrying"/>
      <sheetName val="Manufacturing"/>
      <sheetName val="Electricity, gas &amp; water supply"/>
      <sheetName val="Construction"/>
      <sheetName val="Trade"/>
      <sheetName val="Transport, storage &amp; communicat"/>
      <sheetName val="Business services"/>
      <sheetName val="Personal services"/>
      <sheetName val="Sheet1"/>
      <sheetName val="Check"/>
    </sheetNames>
    <sheetDataSet>
      <sheetData sheetId="0">
        <row r="3">
          <cell r="BU3">
            <v>3281410</v>
          </cell>
          <cell r="BV3">
            <v>3418779</v>
          </cell>
          <cell r="BW3">
            <v>3463975</v>
          </cell>
          <cell r="BX3">
            <v>3619881</v>
          </cell>
        </row>
        <row r="32">
          <cell r="BU32">
            <v>192150</v>
          </cell>
        </row>
        <row r="33">
          <cell r="BU33">
            <v>43290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industries"/>
      <sheetName val="Mining &amp; quarrying"/>
      <sheetName val="Manufacturing"/>
      <sheetName val="Electricity, gas &amp; water supply"/>
      <sheetName val="Construction"/>
      <sheetName val="Trade"/>
      <sheetName val="Transport, storage &amp; communicat"/>
      <sheetName val="Business services"/>
      <sheetName val="Personal services"/>
      <sheetName val="Sheet1"/>
      <sheetName val="Check"/>
    </sheetNames>
    <sheetDataSet>
      <sheetData sheetId="0">
        <row r="3">
          <cell r="CA3">
            <v>3735838</v>
          </cell>
          <cell r="CB3">
            <v>3932392</v>
          </cell>
          <cell r="CC3">
            <v>3750066</v>
          </cell>
        </row>
        <row r="32">
          <cell r="CA32">
            <v>334173</v>
          </cell>
          <cell r="CB32">
            <v>310493</v>
          </cell>
          <cell r="CC32">
            <v>277243</v>
          </cell>
        </row>
        <row r="33">
          <cell r="CA33">
            <v>57063</v>
          </cell>
          <cell r="CB33">
            <v>56388</v>
          </cell>
          <cell r="CC33">
            <v>56497</v>
          </cell>
        </row>
      </sheetData>
      <sheetData sheetId="1">
        <row r="3">
          <cell r="CB3">
            <v>325428</v>
          </cell>
          <cell r="CC3">
            <v>329990</v>
          </cell>
        </row>
        <row r="32">
          <cell r="CB32">
            <v>46621</v>
          </cell>
          <cell r="CC32">
            <v>63738</v>
          </cell>
        </row>
        <row r="33">
          <cell r="CB33">
            <v>10401</v>
          </cell>
          <cell r="CC33">
            <v>14977</v>
          </cell>
        </row>
      </sheetData>
      <sheetData sheetId="2">
        <row r="3">
          <cell r="CB3">
            <v>1153223</v>
          </cell>
          <cell r="CC3">
            <v>1077143</v>
          </cell>
        </row>
        <row r="32">
          <cell r="CB32">
            <v>72570</v>
          </cell>
          <cell r="CC32">
            <v>33162</v>
          </cell>
        </row>
        <row r="33">
          <cell r="CB33">
            <v>13463</v>
          </cell>
          <cell r="CC33">
            <v>9794</v>
          </cell>
        </row>
      </sheetData>
      <sheetData sheetId="3">
        <row r="3">
          <cell r="CB3">
            <v>119700</v>
          </cell>
          <cell r="CC3">
            <v>109935</v>
          </cell>
        </row>
        <row r="32">
          <cell r="CB32">
            <v>12640</v>
          </cell>
          <cell r="CC32">
            <v>24064</v>
          </cell>
        </row>
        <row r="33">
          <cell r="CB33">
            <v>1014</v>
          </cell>
          <cell r="CC33">
            <v>477</v>
          </cell>
        </row>
      </sheetData>
      <sheetData sheetId="4">
        <row r="3">
          <cell r="CB3">
            <v>94876</v>
          </cell>
          <cell r="CC3">
            <v>93686</v>
          </cell>
        </row>
        <row r="32">
          <cell r="CB32">
            <v>2406</v>
          </cell>
          <cell r="CC32">
            <v>824</v>
          </cell>
        </row>
        <row r="33">
          <cell r="CB33">
            <v>502</v>
          </cell>
          <cell r="CC33">
            <v>416</v>
          </cell>
        </row>
      </sheetData>
      <sheetData sheetId="5">
        <row r="3">
          <cell r="CB3">
            <v>1389210</v>
          </cell>
          <cell r="CC3">
            <v>1308332</v>
          </cell>
        </row>
        <row r="32">
          <cell r="CB32">
            <v>82646</v>
          </cell>
          <cell r="CC32">
            <v>65640</v>
          </cell>
        </row>
        <row r="33">
          <cell r="CB33">
            <v>13886</v>
          </cell>
          <cell r="CC33">
            <v>12643</v>
          </cell>
        </row>
      </sheetData>
      <sheetData sheetId="6">
        <row r="3">
          <cell r="CB3">
            <v>321607</v>
          </cell>
          <cell r="CC3">
            <v>301031</v>
          </cell>
        </row>
        <row r="32">
          <cell r="CB32">
            <v>29069</v>
          </cell>
          <cell r="CC32">
            <v>19578</v>
          </cell>
        </row>
        <row r="33">
          <cell r="CB33">
            <v>5653</v>
          </cell>
          <cell r="CC33">
            <v>6302</v>
          </cell>
        </row>
      </sheetData>
      <sheetData sheetId="7">
        <row r="3">
          <cell r="CA3">
            <v>407044</v>
          </cell>
          <cell r="CB3">
            <v>429995</v>
          </cell>
          <cell r="CC3">
            <v>430074</v>
          </cell>
        </row>
        <row r="32">
          <cell r="CA32">
            <v>44884</v>
          </cell>
          <cell r="CB32">
            <v>55614</v>
          </cell>
          <cell r="CC32">
            <v>59338</v>
          </cell>
        </row>
        <row r="33">
          <cell r="CA33">
            <v>11031</v>
          </cell>
          <cell r="CB33">
            <v>9713</v>
          </cell>
          <cell r="CC33">
            <v>10007</v>
          </cell>
        </row>
      </sheetData>
      <sheetData sheetId="8">
        <row r="3">
          <cell r="CB3">
            <v>98353</v>
          </cell>
          <cell r="CC3">
            <v>99875</v>
          </cell>
        </row>
        <row r="32">
          <cell r="CB32">
            <v>8927</v>
          </cell>
          <cell r="CC32">
            <v>10899</v>
          </cell>
        </row>
        <row r="33">
          <cell r="CB33">
            <v>1756</v>
          </cell>
          <cell r="CC33">
            <v>1881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6"/>
  <sheetViews>
    <sheetView tabSelected="1" topLeftCell="A60" workbookViewId="0">
      <selection activeCell="G76" sqref="G76"/>
    </sheetView>
  </sheetViews>
  <sheetFormatPr defaultRowHeight="14.5" x14ac:dyDescent="0.35"/>
  <cols>
    <col min="1" max="1" width="5.08984375" customWidth="1"/>
    <col min="2" max="2" width="33" customWidth="1"/>
    <col min="3" max="3" width="12.453125" customWidth="1"/>
    <col min="4" max="4" width="18.453125" customWidth="1"/>
    <col min="5" max="5" width="20.453125" customWidth="1"/>
    <col min="6" max="10" width="18.453125" customWidth="1"/>
    <col min="11" max="11" width="10.54296875" customWidth="1"/>
    <col min="13" max="13" width="11.453125" customWidth="1"/>
    <col min="14" max="14" width="11.54296875" customWidth="1"/>
    <col min="257" max="257" width="5.08984375" customWidth="1"/>
    <col min="258" max="258" width="33" customWidth="1"/>
    <col min="259" max="259" width="12.453125" customWidth="1"/>
    <col min="260" max="260" width="18.453125" customWidth="1"/>
    <col min="261" max="261" width="20.453125" customWidth="1"/>
    <col min="262" max="266" width="18.453125" customWidth="1"/>
    <col min="267" max="267" width="10.54296875" customWidth="1"/>
    <col min="269" max="270" width="28.54296875" bestFit="1" customWidth="1"/>
    <col min="513" max="513" width="5.08984375" customWidth="1"/>
    <col min="514" max="514" width="33" customWidth="1"/>
    <col min="515" max="515" width="12.453125" customWidth="1"/>
    <col min="516" max="516" width="18.453125" customWidth="1"/>
    <col min="517" max="517" width="20.453125" customWidth="1"/>
    <col min="518" max="522" width="18.453125" customWidth="1"/>
    <col min="523" max="523" width="10.54296875" customWidth="1"/>
    <col min="525" max="526" width="28.54296875" bestFit="1" customWidth="1"/>
    <col min="769" max="769" width="5.08984375" customWidth="1"/>
    <col min="770" max="770" width="33" customWidth="1"/>
    <col min="771" max="771" width="12.453125" customWidth="1"/>
    <col min="772" max="772" width="18.453125" customWidth="1"/>
    <col min="773" max="773" width="20.453125" customWidth="1"/>
    <col min="774" max="778" width="18.453125" customWidth="1"/>
    <col min="779" max="779" width="10.54296875" customWidth="1"/>
    <col min="781" max="782" width="28.54296875" bestFit="1" customWidth="1"/>
    <col min="1025" max="1025" width="5.08984375" customWidth="1"/>
    <col min="1026" max="1026" width="33" customWidth="1"/>
    <col min="1027" max="1027" width="12.453125" customWidth="1"/>
    <col min="1028" max="1028" width="18.453125" customWidth="1"/>
    <col min="1029" max="1029" width="20.453125" customWidth="1"/>
    <col min="1030" max="1034" width="18.453125" customWidth="1"/>
    <col min="1035" max="1035" width="10.54296875" customWidth="1"/>
    <col min="1037" max="1038" width="28.54296875" bestFit="1" customWidth="1"/>
    <col min="1281" max="1281" width="5.08984375" customWidth="1"/>
    <col min="1282" max="1282" width="33" customWidth="1"/>
    <col min="1283" max="1283" width="12.453125" customWidth="1"/>
    <col min="1284" max="1284" width="18.453125" customWidth="1"/>
    <col min="1285" max="1285" width="20.453125" customWidth="1"/>
    <col min="1286" max="1290" width="18.453125" customWidth="1"/>
    <col min="1291" max="1291" width="10.54296875" customWidth="1"/>
    <col min="1293" max="1294" width="28.54296875" bestFit="1" customWidth="1"/>
    <col min="1537" max="1537" width="5.08984375" customWidth="1"/>
    <col min="1538" max="1538" width="33" customWidth="1"/>
    <col min="1539" max="1539" width="12.453125" customWidth="1"/>
    <col min="1540" max="1540" width="18.453125" customWidth="1"/>
    <col min="1541" max="1541" width="20.453125" customWidth="1"/>
    <col min="1542" max="1546" width="18.453125" customWidth="1"/>
    <col min="1547" max="1547" width="10.54296875" customWidth="1"/>
    <col min="1549" max="1550" width="28.54296875" bestFit="1" customWidth="1"/>
    <col min="1793" max="1793" width="5.08984375" customWidth="1"/>
    <col min="1794" max="1794" width="33" customWidth="1"/>
    <col min="1795" max="1795" width="12.453125" customWidth="1"/>
    <col min="1796" max="1796" width="18.453125" customWidth="1"/>
    <col min="1797" max="1797" width="20.453125" customWidth="1"/>
    <col min="1798" max="1802" width="18.453125" customWidth="1"/>
    <col min="1803" max="1803" width="10.54296875" customWidth="1"/>
    <col min="1805" max="1806" width="28.54296875" bestFit="1" customWidth="1"/>
    <col min="2049" max="2049" width="5.08984375" customWidth="1"/>
    <col min="2050" max="2050" width="33" customWidth="1"/>
    <col min="2051" max="2051" width="12.453125" customWidth="1"/>
    <col min="2052" max="2052" width="18.453125" customWidth="1"/>
    <col min="2053" max="2053" width="20.453125" customWidth="1"/>
    <col min="2054" max="2058" width="18.453125" customWidth="1"/>
    <col min="2059" max="2059" width="10.54296875" customWidth="1"/>
    <col min="2061" max="2062" width="28.54296875" bestFit="1" customWidth="1"/>
    <col min="2305" max="2305" width="5.08984375" customWidth="1"/>
    <col min="2306" max="2306" width="33" customWidth="1"/>
    <col min="2307" max="2307" width="12.453125" customWidth="1"/>
    <col min="2308" max="2308" width="18.453125" customWidth="1"/>
    <col min="2309" max="2309" width="20.453125" customWidth="1"/>
    <col min="2310" max="2314" width="18.453125" customWidth="1"/>
    <col min="2315" max="2315" width="10.54296875" customWidth="1"/>
    <col min="2317" max="2318" width="28.54296875" bestFit="1" customWidth="1"/>
    <col min="2561" max="2561" width="5.08984375" customWidth="1"/>
    <col min="2562" max="2562" width="33" customWidth="1"/>
    <col min="2563" max="2563" width="12.453125" customWidth="1"/>
    <col min="2564" max="2564" width="18.453125" customWidth="1"/>
    <col min="2565" max="2565" width="20.453125" customWidth="1"/>
    <col min="2566" max="2570" width="18.453125" customWidth="1"/>
    <col min="2571" max="2571" width="10.54296875" customWidth="1"/>
    <col min="2573" max="2574" width="28.54296875" bestFit="1" customWidth="1"/>
    <col min="2817" max="2817" width="5.08984375" customWidth="1"/>
    <col min="2818" max="2818" width="33" customWidth="1"/>
    <col min="2819" max="2819" width="12.453125" customWidth="1"/>
    <col min="2820" max="2820" width="18.453125" customWidth="1"/>
    <col min="2821" max="2821" width="20.453125" customWidth="1"/>
    <col min="2822" max="2826" width="18.453125" customWidth="1"/>
    <col min="2827" max="2827" width="10.54296875" customWidth="1"/>
    <col min="2829" max="2830" width="28.54296875" bestFit="1" customWidth="1"/>
    <col min="3073" max="3073" width="5.08984375" customWidth="1"/>
    <col min="3074" max="3074" width="33" customWidth="1"/>
    <col min="3075" max="3075" width="12.453125" customWidth="1"/>
    <col min="3076" max="3076" width="18.453125" customWidth="1"/>
    <col min="3077" max="3077" width="20.453125" customWidth="1"/>
    <col min="3078" max="3082" width="18.453125" customWidth="1"/>
    <col min="3083" max="3083" width="10.54296875" customWidth="1"/>
    <col min="3085" max="3086" width="28.54296875" bestFit="1" customWidth="1"/>
    <col min="3329" max="3329" width="5.08984375" customWidth="1"/>
    <col min="3330" max="3330" width="33" customWidth="1"/>
    <col min="3331" max="3331" width="12.453125" customWidth="1"/>
    <col min="3332" max="3332" width="18.453125" customWidth="1"/>
    <col min="3333" max="3333" width="20.453125" customWidth="1"/>
    <col min="3334" max="3338" width="18.453125" customWidth="1"/>
    <col min="3339" max="3339" width="10.54296875" customWidth="1"/>
    <col min="3341" max="3342" width="28.54296875" bestFit="1" customWidth="1"/>
    <col min="3585" max="3585" width="5.08984375" customWidth="1"/>
    <col min="3586" max="3586" width="33" customWidth="1"/>
    <col min="3587" max="3587" width="12.453125" customWidth="1"/>
    <col min="3588" max="3588" width="18.453125" customWidth="1"/>
    <col min="3589" max="3589" width="20.453125" customWidth="1"/>
    <col min="3590" max="3594" width="18.453125" customWidth="1"/>
    <col min="3595" max="3595" width="10.54296875" customWidth="1"/>
    <col min="3597" max="3598" width="28.54296875" bestFit="1" customWidth="1"/>
    <col min="3841" max="3841" width="5.08984375" customWidth="1"/>
    <col min="3842" max="3842" width="33" customWidth="1"/>
    <col min="3843" max="3843" width="12.453125" customWidth="1"/>
    <col min="3844" max="3844" width="18.453125" customWidth="1"/>
    <col min="3845" max="3845" width="20.453125" customWidth="1"/>
    <col min="3846" max="3850" width="18.453125" customWidth="1"/>
    <col min="3851" max="3851" width="10.54296875" customWidth="1"/>
    <col min="3853" max="3854" width="28.54296875" bestFit="1" customWidth="1"/>
    <col min="4097" max="4097" width="5.08984375" customWidth="1"/>
    <col min="4098" max="4098" width="33" customWidth="1"/>
    <col min="4099" max="4099" width="12.453125" customWidth="1"/>
    <col min="4100" max="4100" width="18.453125" customWidth="1"/>
    <col min="4101" max="4101" width="20.453125" customWidth="1"/>
    <col min="4102" max="4106" width="18.453125" customWidth="1"/>
    <col min="4107" max="4107" width="10.54296875" customWidth="1"/>
    <col min="4109" max="4110" width="28.54296875" bestFit="1" customWidth="1"/>
    <col min="4353" max="4353" width="5.08984375" customWidth="1"/>
    <col min="4354" max="4354" width="33" customWidth="1"/>
    <col min="4355" max="4355" width="12.453125" customWidth="1"/>
    <col min="4356" max="4356" width="18.453125" customWidth="1"/>
    <col min="4357" max="4357" width="20.453125" customWidth="1"/>
    <col min="4358" max="4362" width="18.453125" customWidth="1"/>
    <col min="4363" max="4363" width="10.54296875" customWidth="1"/>
    <col min="4365" max="4366" width="28.54296875" bestFit="1" customWidth="1"/>
    <col min="4609" max="4609" width="5.08984375" customWidth="1"/>
    <col min="4610" max="4610" width="33" customWidth="1"/>
    <col min="4611" max="4611" width="12.453125" customWidth="1"/>
    <col min="4612" max="4612" width="18.453125" customWidth="1"/>
    <col min="4613" max="4613" width="20.453125" customWidth="1"/>
    <col min="4614" max="4618" width="18.453125" customWidth="1"/>
    <col min="4619" max="4619" width="10.54296875" customWidth="1"/>
    <col min="4621" max="4622" width="28.54296875" bestFit="1" customWidth="1"/>
    <col min="4865" max="4865" width="5.08984375" customWidth="1"/>
    <col min="4866" max="4866" width="33" customWidth="1"/>
    <col min="4867" max="4867" width="12.453125" customWidth="1"/>
    <col min="4868" max="4868" width="18.453125" customWidth="1"/>
    <col min="4869" max="4869" width="20.453125" customWidth="1"/>
    <col min="4870" max="4874" width="18.453125" customWidth="1"/>
    <col min="4875" max="4875" width="10.54296875" customWidth="1"/>
    <col min="4877" max="4878" width="28.54296875" bestFit="1" customWidth="1"/>
    <col min="5121" max="5121" width="5.08984375" customWidth="1"/>
    <col min="5122" max="5122" width="33" customWidth="1"/>
    <col min="5123" max="5123" width="12.453125" customWidth="1"/>
    <col min="5124" max="5124" width="18.453125" customWidth="1"/>
    <col min="5125" max="5125" width="20.453125" customWidth="1"/>
    <col min="5126" max="5130" width="18.453125" customWidth="1"/>
    <col min="5131" max="5131" width="10.54296875" customWidth="1"/>
    <col min="5133" max="5134" width="28.54296875" bestFit="1" customWidth="1"/>
    <col min="5377" max="5377" width="5.08984375" customWidth="1"/>
    <col min="5378" max="5378" width="33" customWidth="1"/>
    <col min="5379" max="5379" width="12.453125" customWidth="1"/>
    <col min="5380" max="5380" width="18.453125" customWidth="1"/>
    <col min="5381" max="5381" width="20.453125" customWidth="1"/>
    <col min="5382" max="5386" width="18.453125" customWidth="1"/>
    <col min="5387" max="5387" width="10.54296875" customWidth="1"/>
    <col min="5389" max="5390" width="28.54296875" bestFit="1" customWidth="1"/>
    <col min="5633" max="5633" width="5.08984375" customWidth="1"/>
    <col min="5634" max="5634" width="33" customWidth="1"/>
    <col min="5635" max="5635" width="12.453125" customWidth="1"/>
    <col min="5636" max="5636" width="18.453125" customWidth="1"/>
    <col min="5637" max="5637" width="20.453125" customWidth="1"/>
    <col min="5638" max="5642" width="18.453125" customWidth="1"/>
    <col min="5643" max="5643" width="10.54296875" customWidth="1"/>
    <col min="5645" max="5646" width="28.54296875" bestFit="1" customWidth="1"/>
    <col min="5889" max="5889" width="5.08984375" customWidth="1"/>
    <col min="5890" max="5890" width="33" customWidth="1"/>
    <col min="5891" max="5891" width="12.453125" customWidth="1"/>
    <col min="5892" max="5892" width="18.453125" customWidth="1"/>
    <col min="5893" max="5893" width="20.453125" customWidth="1"/>
    <col min="5894" max="5898" width="18.453125" customWidth="1"/>
    <col min="5899" max="5899" width="10.54296875" customWidth="1"/>
    <col min="5901" max="5902" width="28.54296875" bestFit="1" customWidth="1"/>
    <col min="6145" max="6145" width="5.08984375" customWidth="1"/>
    <col min="6146" max="6146" width="33" customWidth="1"/>
    <col min="6147" max="6147" width="12.453125" customWidth="1"/>
    <col min="6148" max="6148" width="18.453125" customWidth="1"/>
    <col min="6149" max="6149" width="20.453125" customWidth="1"/>
    <col min="6150" max="6154" width="18.453125" customWidth="1"/>
    <col min="6155" max="6155" width="10.54296875" customWidth="1"/>
    <col min="6157" max="6158" width="28.54296875" bestFit="1" customWidth="1"/>
    <col min="6401" max="6401" width="5.08984375" customWidth="1"/>
    <col min="6402" max="6402" width="33" customWidth="1"/>
    <col min="6403" max="6403" width="12.453125" customWidth="1"/>
    <col min="6404" max="6404" width="18.453125" customWidth="1"/>
    <col min="6405" max="6405" width="20.453125" customWidth="1"/>
    <col min="6406" max="6410" width="18.453125" customWidth="1"/>
    <col min="6411" max="6411" width="10.54296875" customWidth="1"/>
    <col min="6413" max="6414" width="28.54296875" bestFit="1" customWidth="1"/>
    <col min="6657" max="6657" width="5.08984375" customWidth="1"/>
    <col min="6658" max="6658" width="33" customWidth="1"/>
    <col min="6659" max="6659" width="12.453125" customWidth="1"/>
    <col min="6660" max="6660" width="18.453125" customWidth="1"/>
    <col min="6661" max="6661" width="20.453125" customWidth="1"/>
    <col min="6662" max="6666" width="18.453125" customWidth="1"/>
    <col min="6667" max="6667" width="10.54296875" customWidth="1"/>
    <col min="6669" max="6670" width="28.54296875" bestFit="1" customWidth="1"/>
    <col min="6913" max="6913" width="5.08984375" customWidth="1"/>
    <col min="6914" max="6914" width="33" customWidth="1"/>
    <col min="6915" max="6915" width="12.453125" customWidth="1"/>
    <col min="6916" max="6916" width="18.453125" customWidth="1"/>
    <col min="6917" max="6917" width="20.453125" customWidth="1"/>
    <col min="6918" max="6922" width="18.453125" customWidth="1"/>
    <col min="6923" max="6923" width="10.54296875" customWidth="1"/>
    <col min="6925" max="6926" width="28.54296875" bestFit="1" customWidth="1"/>
    <col min="7169" max="7169" width="5.08984375" customWidth="1"/>
    <col min="7170" max="7170" width="33" customWidth="1"/>
    <col min="7171" max="7171" width="12.453125" customWidth="1"/>
    <col min="7172" max="7172" width="18.453125" customWidth="1"/>
    <col min="7173" max="7173" width="20.453125" customWidth="1"/>
    <col min="7174" max="7178" width="18.453125" customWidth="1"/>
    <col min="7179" max="7179" width="10.54296875" customWidth="1"/>
    <col min="7181" max="7182" width="28.54296875" bestFit="1" customWidth="1"/>
    <col min="7425" max="7425" width="5.08984375" customWidth="1"/>
    <col min="7426" max="7426" width="33" customWidth="1"/>
    <col min="7427" max="7427" width="12.453125" customWidth="1"/>
    <col min="7428" max="7428" width="18.453125" customWidth="1"/>
    <col min="7429" max="7429" width="20.453125" customWidth="1"/>
    <col min="7430" max="7434" width="18.453125" customWidth="1"/>
    <col min="7435" max="7435" width="10.54296875" customWidth="1"/>
    <col min="7437" max="7438" width="28.54296875" bestFit="1" customWidth="1"/>
    <col min="7681" max="7681" width="5.08984375" customWidth="1"/>
    <col min="7682" max="7682" width="33" customWidth="1"/>
    <col min="7683" max="7683" width="12.453125" customWidth="1"/>
    <col min="7684" max="7684" width="18.453125" customWidth="1"/>
    <col min="7685" max="7685" width="20.453125" customWidth="1"/>
    <col min="7686" max="7690" width="18.453125" customWidth="1"/>
    <col min="7691" max="7691" width="10.54296875" customWidth="1"/>
    <col min="7693" max="7694" width="28.54296875" bestFit="1" customWidth="1"/>
    <col min="7937" max="7937" width="5.08984375" customWidth="1"/>
    <col min="7938" max="7938" width="33" customWidth="1"/>
    <col min="7939" max="7939" width="12.453125" customWidth="1"/>
    <col min="7940" max="7940" width="18.453125" customWidth="1"/>
    <col min="7941" max="7941" width="20.453125" customWidth="1"/>
    <col min="7942" max="7946" width="18.453125" customWidth="1"/>
    <col min="7947" max="7947" width="10.54296875" customWidth="1"/>
    <col min="7949" max="7950" width="28.54296875" bestFit="1" customWidth="1"/>
    <col min="8193" max="8193" width="5.08984375" customWidth="1"/>
    <col min="8194" max="8194" width="33" customWidth="1"/>
    <col min="8195" max="8195" width="12.453125" customWidth="1"/>
    <col min="8196" max="8196" width="18.453125" customWidth="1"/>
    <col min="8197" max="8197" width="20.453125" customWidth="1"/>
    <col min="8198" max="8202" width="18.453125" customWidth="1"/>
    <col min="8203" max="8203" width="10.54296875" customWidth="1"/>
    <col min="8205" max="8206" width="28.54296875" bestFit="1" customWidth="1"/>
    <col min="8449" max="8449" width="5.08984375" customWidth="1"/>
    <col min="8450" max="8450" width="33" customWidth="1"/>
    <col min="8451" max="8451" width="12.453125" customWidth="1"/>
    <col min="8452" max="8452" width="18.453125" customWidth="1"/>
    <col min="8453" max="8453" width="20.453125" customWidth="1"/>
    <col min="8454" max="8458" width="18.453125" customWidth="1"/>
    <col min="8459" max="8459" width="10.54296875" customWidth="1"/>
    <col min="8461" max="8462" width="28.54296875" bestFit="1" customWidth="1"/>
    <col min="8705" max="8705" width="5.08984375" customWidth="1"/>
    <col min="8706" max="8706" width="33" customWidth="1"/>
    <col min="8707" max="8707" width="12.453125" customWidth="1"/>
    <col min="8708" max="8708" width="18.453125" customWidth="1"/>
    <col min="8709" max="8709" width="20.453125" customWidth="1"/>
    <col min="8710" max="8714" width="18.453125" customWidth="1"/>
    <col min="8715" max="8715" width="10.54296875" customWidth="1"/>
    <col min="8717" max="8718" width="28.54296875" bestFit="1" customWidth="1"/>
    <col min="8961" max="8961" width="5.08984375" customWidth="1"/>
    <col min="8962" max="8962" width="33" customWidth="1"/>
    <col min="8963" max="8963" width="12.453125" customWidth="1"/>
    <col min="8964" max="8964" width="18.453125" customWidth="1"/>
    <col min="8965" max="8965" width="20.453125" customWidth="1"/>
    <col min="8966" max="8970" width="18.453125" customWidth="1"/>
    <col min="8971" max="8971" width="10.54296875" customWidth="1"/>
    <col min="8973" max="8974" width="28.54296875" bestFit="1" customWidth="1"/>
    <col min="9217" max="9217" width="5.08984375" customWidth="1"/>
    <col min="9218" max="9218" width="33" customWidth="1"/>
    <col min="9219" max="9219" width="12.453125" customWidth="1"/>
    <col min="9220" max="9220" width="18.453125" customWidth="1"/>
    <col min="9221" max="9221" width="20.453125" customWidth="1"/>
    <col min="9222" max="9226" width="18.453125" customWidth="1"/>
    <col min="9227" max="9227" width="10.54296875" customWidth="1"/>
    <col min="9229" max="9230" width="28.54296875" bestFit="1" customWidth="1"/>
    <col min="9473" max="9473" width="5.08984375" customWidth="1"/>
    <col min="9474" max="9474" width="33" customWidth="1"/>
    <col min="9475" max="9475" width="12.453125" customWidth="1"/>
    <col min="9476" max="9476" width="18.453125" customWidth="1"/>
    <col min="9477" max="9477" width="20.453125" customWidth="1"/>
    <col min="9478" max="9482" width="18.453125" customWidth="1"/>
    <col min="9483" max="9483" width="10.54296875" customWidth="1"/>
    <col min="9485" max="9486" width="28.54296875" bestFit="1" customWidth="1"/>
    <col min="9729" max="9729" width="5.08984375" customWidth="1"/>
    <col min="9730" max="9730" width="33" customWidth="1"/>
    <col min="9731" max="9731" width="12.453125" customWidth="1"/>
    <col min="9732" max="9732" width="18.453125" customWidth="1"/>
    <col min="9733" max="9733" width="20.453125" customWidth="1"/>
    <col min="9734" max="9738" width="18.453125" customWidth="1"/>
    <col min="9739" max="9739" width="10.54296875" customWidth="1"/>
    <col min="9741" max="9742" width="28.54296875" bestFit="1" customWidth="1"/>
    <col min="9985" max="9985" width="5.08984375" customWidth="1"/>
    <col min="9986" max="9986" width="33" customWidth="1"/>
    <col min="9987" max="9987" width="12.453125" customWidth="1"/>
    <col min="9988" max="9988" width="18.453125" customWidth="1"/>
    <col min="9989" max="9989" width="20.453125" customWidth="1"/>
    <col min="9990" max="9994" width="18.453125" customWidth="1"/>
    <col min="9995" max="9995" width="10.54296875" customWidth="1"/>
    <col min="9997" max="9998" width="28.54296875" bestFit="1" customWidth="1"/>
    <col min="10241" max="10241" width="5.08984375" customWidth="1"/>
    <col min="10242" max="10242" width="33" customWidth="1"/>
    <col min="10243" max="10243" width="12.453125" customWidth="1"/>
    <col min="10244" max="10244" width="18.453125" customWidth="1"/>
    <col min="10245" max="10245" width="20.453125" customWidth="1"/>
    <col min="10246" max="10250" width="18.453125" customWidth="1"/>
    <col min="10251" max="10251" width="10.54296875" customWidth="1"/>
    <col min="10253" max="10254" width="28.54296875" bestFit="1" customWidth="1"/>
    <col min="10497" max="10497" width="5.08984375" customWidth="1"/>
    <col min="10498" max="10498" width="33" customWidth="1"/>
    <col min="10499" max="10499" width="12.453125" customWidth="1"/>
    <col min="10500" max="10500" width="18.453125" customWidth="1"/>
    <col min="10501" max="10501" width="20.453125" customWidth="1"/>
    <col min="10502" max="10506" width="18.453125" customWidth="1"/>
    <col min="10507" max="10507" width="10.54296875" customWidth="1"/>
    <col min="10509" max="10510" width="28.54296875" bestFit="1" customWidth="1"/>
    <col min="10753" max="10753" width="5.08984375" customWidth="1"/>
    <col min="10754" max="10754" width="33" customWidth="1"/>
    <col min="10755" max="10755" width="12.453125" customWidth="1"/>
    <col min="10756" max="10756" width="18.453125" customWidth="1"/>
    <col min="10757" max="10757" width="20.453125" customWidth="1"/>
    <col min="10758" max="10762" width="18.453125" customWidth="1"/>
    <col min="10763" max="10763" width="10.54296875" customWidth="1"/>
    <col min="10765" max="10766" width="28.54296875" bestFit="1" customWidth="1"/>
    <col min="11009" max="11009" width="5.08984375" customWidth="1"/>
    <col min="11010" max="11010" width="33" customWidth="1"/>
    <col min="11011" max="11011" width="12.453125" customWidth="1"/>
    <col min="11012" max="11012" width="18.453125" customWidth="1"/>
    <col min="11013" max="11013" width="20.453125" customWidth="1"/>
    <col min="11014" max="11018" width="18.453125" customWidth="1"/>
    <col min="11019" max="11019" width="10.54296875" customWidth="1"/>
    <col min="11021" max="11022" width="28.54296875" bestFit="1" customWidth="1"/>
    <col min="11265" max="11265" width="5.08984375" customWidth="1"/>
    <col min="11266" max="11266" width="33" customWidth="1"/>
    <col min="11267" max="11267" width="12.453125" customWidth="1"/>
    <col min="11268" max="11268" width="18.453125" customWidth="1"/>
    <col min="11269" max="11269" width="20.453125" customWidth="1"/>
    <col min="11270" max="11274" width="18.453125" customWidth="1"/>
    <col min="11275" max="11275" width="10.54296875" customWidth="1"/>
    <col min="11277" max="11278" width="28.54296875" bestFit="1" customWidth="1"/>
    <col min="11521" max="11521" width="5.08984375" customWidth="1"/>
    <col min="11522" max="11522" width="33" customWidth="1"/>
    <col min="11523" max="11523" width="12.453125" customWidth="1"/>
    <col min="11524" max="11524" width="18.453125" customWidth="1"/>
    <col min="11525" max="11525" width="20.453125" customWidth="1"/>
    <col min="11526" max="11530" width="18.453125" customWidth="1"/>
    <col min="11531" max="11531" width="10.54296875" customWidth="1"/>
    <col min="11533" max="11534" width="28.54296875" bestFit="1" customWidth="1"/>
    <col min="11777" max="11777" width="5.08984375" customWidth="1"/>
    <col min="11778" max="11778" width="33" customWidth="1"/>
    <col min="11779" max="11779" width="12.453125" customWidth="1"/>
    <col min="11780" max="11780" width="18.453125" customWidth="1"/>
    <col min="11781" max="11781" width="20.453125" customWidth="1"/>
    <col min="11782" max="11786" width="18.453125" customWidth="1"/>
    <col min="11787" max="11787" width="10.54296875" customWidth="1"/>
    <col min="11789" max="11790" width="28.54296875" bestFit="1" customWidth="1"/>
    <col min="12033" max="12033" width="5.08984375" customWidth="1"/>
    <col min="12034" max="12034" width="33" customWidth="1"/>
    <col min="12035" max="12035" width="12.453125" customWidth="1"/>
    <col min="12036" max="12036" width="18.453125" customWidth="1"/>
    <col min="12037" max="12037" width="20.453125" customWidth="1"/>
    <col min="12038" max="12042" width="18.453125" customWidth="1"/>
    <col min="12043" max="12043" width="10.54296875" customWidth="1"/>
    <col min="12045" max="12046" width="28.54296875" bestFit="1" customWidth="1"/>
    <col min="12289" max="12289" width="5.08984375" customWidth="1"/>
    <col min="12290" max="12290" width="33" customWidth="1"/>
    <col min="12291" max="12291" width="12.453125" customWidth="1"/>
    <col min="12292" max="12292" width="18.453125" customWidth="1"/>
    <col min="12293" max="12293" width="20.453125" customWidth="1"/>
    <col min="12294" max="12298" width="18.453125" customWidth="1"/>
    <col min="12299" max="12299" width="10.54296875" customWidth="1"/>
    <col min="12301" max="12302" width="28.54296875" bestFit="1" customWidth="1"/>
    <col min="12545" max="12545" width="5.08984375" customWidth="1"/>
    <col min="12546" max="12546" width="33" customWidth="1"/>
    <col min="12547" max="12547" width="12.453125" customWidth="1"/>
    <col min="12548" max="12548" width="18.453125" customWidth="1"/>
    <col min="12549" max="12549" width="20.453125" customWidth="1"/>
    <col min="12550" max="12554" width="18.453125" customWidth="1"/>
    <col min="12555" max="12555" width="10.54296875" customWidth="1"/>
    <col min="12557" max="12558" width="28.54296875" bestFit="1" customWidth="1"/>
    <col min="12801" max="12801" width="5.08984375" customWidth="1"/>
    <col min="12802" max="12802" width="33" customWidth="1"/>
    <col min="12803" max="12803" width="12.453125" customWidth="1"/>
    <col min="12804" max="12804" width="18.453125" customWidth="1"/>
    <col min="12805" max="12805" width="20.453125" customWidth="1"/>
    <col min="12806" max="12810" width="18.453125" customWidth="1"/>
    <col min="12811" max="12811" width="10.54296875" customWidth="1"/>
    <col min="12813" max="12814" width="28.54296875" bestFit="1" customWidth="1"/>
    <col min="13057" max="13057" width="5.08984375" customWidth="1"/>
    <col min="13058" max="13058" width="33" customWidth="1"/>
    <col min="13059" max="13059" width="12.453125" customWidth="1"/>
    <col min="13060" max="13060" width="18.453125" customWidth="1"/>
    <col min="13061" max="13061" width="20.453125" customWidth="1"/>
    <col min="13062" max="13066" width="18.453125" customWidth="1"/>
    <col min="13067" max="13067" width="10.54296875" customWidth="1"/>
    <col min="13069" max="13070" width="28.54296875" bestFit="1" customWidth="1"/>
    <col min="13313" max="13313" width="5.08984375" customWidth="1"/>
    <col min="13314" max="13314" width="33" customWidth="1"/>
    <col min="13315" max="13315" width="12.453125" customWidth="1"/>
    <col min="13316" max="13316" width="18.453125" customWidth="1"/>
    <col min="13317" max="13317" width="20.453125" customWidth="1"/>
    <col min="13318" max="13322" width="18.453125" customWidth="1"/>
    <col min="13323" max="13323" width="10.54296875" customWidth="1"/>
    <col min="13325" max="13326" width="28.54296875" bestFit="1" customWidth="1"/>
    <col min="13569" max="13569" width="5.08984375" customWidth="1"/>
    <col min="13570" max="13570" width="33" customWidth="1"/>
    <col min="13571" max="13571" width="12.453125" customWidth="1"/>
    <col min="13572" max="13572" width="18.453125" customWidth="1"/>
    <col min="13573" max="13573" width="20.453125" customWidth="1"/>
    <col min="13574" max="13578" width="18.453125" customWidth="1"/>
    <col min="13579" max="13579" width="10.54296875" customWidth="1"/>
    <col min="13581" max="13582" width="28.54296875" bestFit="1" customWidth="1"/>
    <col min="13825" max="13825" width="5.08984375" customWidth="1"/>
    <col min="13826" max="13826" width="33" customWidth="1"/>
    <col min="13827" max="13827" width="12.453125" customWidth="1"/>
    <col min="13828" max="13828" width="18.453125" customWidth="1"/>
    <col min="13829" max="13829" width="20.453125" customWidth="1"/>
    <col min="13830" max="13834" width="18.453125" customWidth="1"/>
    <col min="13835" max="13835" width="10.54296875" customWidth="1"/>
    <col min="13837" max="13838" width="28.54296875" bestFit="1" customWidth="1"/>
    <col min="14081" max="14081" width="5.08984375" customWidth="1"/>
    <col min="14082" max="14082" width="33" customWidth="1"/>
    <col min="14083" max="14083" width="12.453125" customWidth="1"/>
    <col min="14084" max="14084" width="18.453125" customWidth="1"/>
    <col min="14085" max="14085" width="20.453125" customWidth="1"/>
    <col min="14086" max="14090" width="18.453125" customWidth="1"/>
    <col min="14091" max="14091" width="10.54296875" customWidth="1"/>
    <col min="14093" max="14094" width="28.54296875" bestFit="1" customWidth="1"/>
    <col min="14337" max="14337" width="5.08984375" customWidth="1"/>
    <col min="14338" max="14338" width="33" customWidth="1"/>
    <col min="14339" max="14339" width="12.453125" customWidth="1"/>
    <col min="14340" max="14340" width="18.453125" customWidth="1"/>
    <col min="14341" max="14341" width="20.453125" customWidth="1"/>
    <col min="14342" max="14346" width="18.453125" customWidth="1"/>
    <col min="14347" max="14347" width="10.54296875" customWidth="1"/>
    <col min="14349" max="14350" width="28.54296875" bestFit="1" customWidth="1"/>
    <col min="14593" max="14593" width="5.08984375" customWidth="1"/>
    <col min="14594" max="14594" width="33" customWidth="1"/>
    <col min="14595" max="14595" width="12.453125" customWidth="1"/>
    <col min="14596" max="14596" width="18.453125" customWidth="1"/>
    <col min="14597" max="14597" width="20.453125" customWidth="1"/>
    <col min="14598" max="14602" width="18.453125" customWidth="1"/>
    <col min="14603" max="14603" width="10.54296875" customWidth="1"/>
    <col min="14605" max="14606" width="28.54296875" bestFit="1" customWidth="1"/>
    <col min="14849" max="14849" width="5.08984375" customWidth="1"/>
    <col min="14850" max="14850" width="33" customWidth="1"/>
    <col min="14851" max="14851" width="12.453125" customWidth="1"/>
    <col min="14852" max="14852" width="18.453125" customWidth="1"/>
    <col min="14853" max="14853" width="20.453125" customWidth="1"/>
    <col min="14854" max="14858" width="18.453125" customWidth="1"/>
    <col min="14859" max="14859" width="10.54296875" customWidth="1"/>
    <col min="14861" max="14862" width="28.54296875" bestFit="1" customWidth="1"/>
    <col min="15105" max="15105" width="5.08984375" customWidth="1"/>
    <col min="15106" max="15106" width="33" customWidth="1"/>
    <col min="15107" max="15107" width="12.453125" customWidth="1"/>
    <col min="15108" max="15108" width="18.453125" customWidth="1"/>
    <col min="15109" max="15109" width="20.453125" customWidth="1"/>
    <col min="15110" max="15114" width="18.453125" customWidth="1"/>
    <col min="15115" max="15115" width="10.54296875" customWidth="1"/>
    <col min="15117" max="15118" width="28.54296875" bestFit="1" customWidth="1"/>
    <col min="15361" max="15361" width="5.08984375" customWidth="1"/>
    <col min="15362" max="15362" width="33" customWidth="1"/>
    <col min="15363" max="15363" width="12.453125" customWidth="1"/>
    <col min="15364" max="15364" width="18.453125" customWidth="1"/>
    <col min="15365" max="15365" width="20.453125" customWidth="1"/>
    <col min="15366" max="15370" width="18.453125" customWidth="1"/>
    <col min="15371" max="15371" width="10.54296875" customWidth="1"/>
    <col min="15373" max="15374" width="28.54296875" bestFit="1" customWidth="1"/>
    <col min="15617" max="15617" width="5.08984375" customWidth="1"/>
    <col min="15618" max="15618" width="33" customWidth="1"/>
    <col min="15619" max="15619" width="12.453125" customWidth="1"/>
    <col min="15620" max="15620" width="18.453125" customWidth="1"/>
    <col min="15621" max="15621" width="20.453125" customWidth="1"/>
    <col min="15622" max="15626" width="18.453125" customWidth="1"/>
    <col min="15627" max="15627" width="10.54296875" customWidth="1"/>
    <col min="15629" max="15630" width="28.54296875" bestFit="1" customWidth="1"/>
    <col min="15873" max="15873" width="5.08984375" customWidth="1"/>
    <col min="15874" max="15874" width="33" customWidth="1"/>
    <col min="15875" max="15875" width="12.453125" customWidth="1"/>
    <col min="15876" max="15876" width="18.453125" customWidth="1"/>
    <col min="15877" max="15877" width="20.453125" customWidth="1"/>
    <col min="15878" max="15882" width="18.453125" customWidth="1"/>
    <col min="15883" max="15883" width="10.54296875" customWidth="1"/>
    <col min="15885" max="15886" width="28.54296875" bestFit="1" customWidth="1"/>
    <col min="16129" max="16129" width="5.08984375" customWidth="1"/>
    <col min="16130" max="16130" width="33" customWidth="1"/>
    <col min="16131" max="16131" width="12.453125" customWidth="1"/>
    <col min="16132" max="16132" width="18.453125" customWidth="1"/>
    <col min="16133" max="16133" width="20.453125" customWidth="1"/>
    <col min="16134" max="16138" width="18.453125" customWidth="1"/>
    <col min="16139" max="16139" width="10.54296875" customWidth="1"/>
    <col min="16141" max="16142" width="28.54296875" bestFit="1" customWidth="1"/>
  </cols>
  <sheetData>
    <row r="1" spans="1:14" ht="15.5" x14ac:dyDescent="0.35">
      <c r="A1" s="1" t="s">
        <v>0</v>
      </c>
    </row>
    <row r="2" spans="1:14" ht="15" thickBot="1" x14ac:dyDescent="0.4">
      <c r="E2" t="s">
        <v>1</v>
      </c>
      <c r="F2" s="2">
        <v>46203</v>
      </c>
    </row>
    <row r="3" spans="1:14" ht="15" thickTop="1" x14ac:dyDescent="0.35">
      <c r="A3" s="3"/>
      <c r="B3" s="4" t="s">
        <v>2</v>
      </c>
      <c r="C3" s="5"/>
      <c r="E3" t="s">
        <v>3</v>
      </c>
      <c r="F3" s="6" t="s">
        <v>32</v>
      </c>
    </row>
    <row r="4" spans="1:14" x14ac:dyDescent="0.35">
      <c r="A4" s="7">
        <v>1</v>
      </c>
      <c r="B4" s="8" t="s">
        <v>4</v>
      </c>
      <c r="C4" s="9"/>
    </row>
    <row r="5" spans="1:14" ht="15" thickBot="1" x14ac:dyDescent="0.4">
      <c r="A5" s="10">
        <v>2</v>
      </c>
      <c r="B5" s="11" t="s">
        <v>5</v>
      </c>
      <c r="C5" s="12"/>
    </row>
    <row r="6" spans="1:14" ht="15.5" thickTop="1" thickBot="1" x14ac:dyDescent="0.4">
      <c r="M6" t="s">
        <v>14</v>
      </c>
    </row>
    <row r="7" spans="1:14" ht="15" thickBot="1" x14ac:dyDescent="0.4">
      <c r="B7" s="13" t="s">
        <v>6</v>
      </c>
      <c r="D7" s="14"/>
      <c r="E7" s="38" t="s">
        <v>30</v>
      </c>
      <c r="F7" s="38" t="s">
        <v>35</v>
      </c>
      <c r="G7" s="15" t="s">
        <v>34</v>
      </c>
      <c r="H7" s="15" t="s">
        <v>33</v>
      </c>
      <c r="I7" s="15" t="s">
        <v>7</v>
      </c>
    </row>
    <row r="8" spans="1:14" ht="15" thickBot="1" x14ac:dyDescent="0.4">
      <c r="B8" s="13"/>
      <c r="D8" s="16" t="s">
        <v>8</v>
      </c>
      <c r="E8" s="34">
        <v>282480</v>
      </c>
      <c r="F8" s="34">
        <f>'[2]All industries'!$CA$32</f>
        <v>334173</v>
      </c>
      <c r="G8" s="34">
        <f>'[2]All industries'!$CB$32</f>
        <v>310493</v>
      </c>
      <c r="H8" s="34">
        <f>'[2]All industries'!$CC$32</f>
        <v>277243</v>
      </c>
      <c r="I8" s="29">
        <f>SUM(E8:H8)</f>
        <v>1204389</v>
      </c>
      <c r="J8" s="26"/>
      <c r="K8" s="26"/>
    </row>
    <row r="9" spans="1:14" x14ac:dyDescent="0.35">
      <c r="B9" s="18">
        <f>(I10/I11)</f>
        <v>6.5539051858892861E-2</v>
      </c>
      <c r="D9" s="19" t="s">
        <v>9</v>
      </c>
      <c r="E9" s="20">
        <v>51496</v>
      </c>
      <c r="F9" s="34">
        <f>'[2]All industries'!$CA$33</f>
        <v>57063</v>
      </c>
      <c r="G9" s="34">
        <f>'[2]All industries'!$CB$33</f>
        <v>56388</v>
      </c>
      <c r="H9" s="34">
        <f>'[2]All industries'!$CC$33</f>
        <v>56497</v>
      </c>
      <c r="I9" s="37">
        <f>SUM(E9:H9)</f>
        <v>221444</v>
      </c>
      <c r="J9" s="26"/>
      <c r="K9" s="26"/>
    </row>
    <row r="10" spans="1:14" x14ac:dyDescent="0.35">
      <c r="B10" s="13"/>
      <c r="D10" s="19" t="s">
        <v>10</v>
      </c>
      <c r="E10" s="20">
        <v>230984</v>
      </c>
      <c r="F10" s="20">
        <f>F8-F9</f>
        <v>277110</v>
      </c>
      <c r="G10" s="20">
        <f>G8-G9</f>
        <v>254105</v>
      </c>
      <c r="H10" s="20">
        <f>H8-H9</f>
        <v>220746</v>
      </c>
      <c r="I10" s="30">
        <f>I8-I9</f>
        <v>982945</v>
      </c>
    </row>
    <row r="11" spans="1:14" ht="15" thickBot="1" x14ac:dyDescent="0.4">
      <c r="B11" s="13"/>
      <c r="D11" s="21" t="s">
        <v>11</v>
      </c>
      <c r="E11" s="22">
        <v>3579556</v>
      </c>
      <c r="F11" s="22">
        <f>'[2]All industries'!$CA$3</f>
        <v>3735838</v>
      </c>
      <c r="G11" s="22">
        <f>'[2]All industries'!$CB$3</f>
        <v>3932392</v>
      </c>
      <c r="H11" s="22">
        <f>'[2]All industries'!$CC$3</f>
        <v>3750066</v>
      </c>
      <c r="I11" s="31">
        <f>SUM(E11:H11)</f>
        <v>14997852</v>
      </c>
      <c r="J11" s="26"/>
      <c r="K11" s="26"/>
      <c r="L11" s="26"/>
      <c r="M11" s="26"/>
      <c r="N11" s="26"/>
    </row>
    <row r="12" spans="1:14" s="23" customFormat="1" x14ac:dyDescent="0.35">
      <c r="B12" s="24" t="s">
        <v>12</v>
      </c>
      <c r="E12" s="25">
        <f t="shared" ref="E12:H12" si="0">(E10/E11)*100</f>
        <v>6.4528673388543165</v>
      </c>
      <c r="F12" s="25">
        <f t="shared" si="0"/>
        <v>7.4176128622279665</v>
      </c>
      <c r="G12" s="25">
        <f t="shared" si="0"/>
        <v>6.4618430715961166</v>
      </c>
      <c r="H12" s="25">
        <f t="shared" si="0"/>
        <v>5.8864563983673888</v>
      </c>
      <c r="M12" s="26"/>
      <c r="N12" s="26"/>
    </row>
    <row r="13" spans="1:14" ht="15" thickBot="1" x14ac:dyDescent="0.4">
      <c r="K13" s="26"/>
      <c r="L13" s="26"/>
      <c r="M13" s="26"/>
      <c r="N13" s="26"/>
    </row>
    <row r="14" spans="1:14" ht="15" thickBot="1" x14ac:dyDescent="0.4">
      <c r="B14" s="13" t="s">
        <v>13</v>
      </c>
      <c r="D14" s="14"/>
      <c r="E14" s="38" t="s">
        <v>36</v>
      </c>
      <c r="F14" s="38" t="s">
        <v>31</v>
      </c>
      <c r="G14" s="15" t="s">
        <v>34</v>
      </c>
      <c r="H14" s="15" t="s">
        <v>33</v>
      </c>
      <c r="I14" s="15" t="s">
        <v>7</v>
      </c>
    </row>
    <row r="15" spans="1:14" ht="15" thickBot="1" x14ac:dyDescent="0.4">
      <c r="B15" s="13"/>
      <c r="D15" s="16" t="s">
        <v>8</v>
      </c>
      <c r="E15" s="17">
        <v>27723</v>
      </c>
      <c r="F15" s="17">
        <v>63815</v>
      </c>
      <c r="G15" s="17">
        <f>'[2]Mining &amp; quarrying'!$CB$32</f>
        <v>46621</v>
      </c>
      <c r="H15" s="17">
        <f>'[2]Mining &amp; quarrying'!$CC$32</f>
        <v>63738</v>
      </c>
      <c r="I15" s="29">
        <f>SUM(E15:H15)</f>
        <v>201897</v>
      </c>
      <c r="J15" s="26"/>
      <c r="K15" s="26"/>
      <c r="L15" s="26"/>
    </row>
    <row r="16" spans="1:14" x14ac:dyDescent="0.35">
      <c r="B16" s="18">
        <f>(I17/I18)</f>
        <v>0.13050350242343725</v>
      </c>
      <c r="D16" s="19" t="s">
        <v>9</v>
      </c>
      <c r="E16" s="20">
        <v>8166</v>
      </c>
      <c r="F16" s="36">
        <v>8336</v>
      </c>
      <c r="G16" s="17">
        <f>'[2]Mining &amp; quarrying'!$CB$33</f>
        <v>10401</v>
      </c>
      <c r="H16" s="17">
        <f>'[2]Mining &amp; quarrying'!$CC$33</f>
        <v>14977</v>
      </c>
      <c r="I16" s="30">
        <f>SUM(E16:H16)</f>
        <v>41880</v>
      </c>
      <c r="J16" s="26"/>
      <c r="K16" s="26"/>
    </row>
    <row r="17" spans="2:12" x14ac:dyDescent="0.35">
      <c r="B17" s="13"/>
      <c r="D17" s="19" t="s">
        <v>10</v>
      </c>
      <c r="E17" s="20">
        <v>19557</v>
      </c>
      <c r="F17" s="20">
        <v>55479</v>
      </c>
      <c r="G17" s="20">
        <f>G15-G16</f>
        <v>36220</v>
      </c>
      <c r="H17" s="20">
        <f>H15-H16</f>
        <v>48761</v>
      </c>
      <c r="I17" s="30">
        <f t="shared" ref="I17" si="1">I15-I16</f>
        <v>160017</v>
      </c>
    </row>
    <row r="18" spans="2:12" ht="15" thickBot="1" x14ac:dyDescent="0.4">
      <c r="B18" s="13"/>
      <c r="D18" s="21" t="s">
        <v>11</v>
      </c>
      <c r="E18" s="22">
        <v>277521</v>
      </c>
      <c r="F18" s="22">
        <v>293212</v>
      </c>
      <c r="G18" s="22">
        <f>'[2]Mining &amp; quarrying'!$CB$3</f>
        <v>325428</v>
      </c>
      <c r="H18" s="22">
        <f>'[2]Mining &amp; quarrying'!$CC$3</f>
        <v>329990</v>
      </c>
      <c r="I18" s="31">
        <f>SUM(E18:H18)</f>
        <v>1226151</v>
      </c>
      <c r="J18" s="26"/>
      <c r="K18" s="26"/>
    </row>
    <row r="19" spans="2:12" s="23" customFormat="1" x14ac:dyDescent="0.35">
      <c r="B19" s="24" t="s">
        <v>12</v>
      </c>
      <c r="E19" s="25">
        <v>7.0470342784870343</v>
      </c>
      <c r="F19" s="25">
        <v>18.921121918611789</v>
      </c>
      <c r="G19" s="25">
        <f t="shared" ref="G19:H19" si="2">(G17/G18)*100</f>
        <v>11.129958085966789</v>
      </c>
      <c r="H19" s="25">
        <f t="shared" si="2"/>
        <v>14.77650837904179</v>
      </c>
    </row>
    <row r="20" spans="2:12" ht="15" thickBot="1" x14ac:dyDescent="0.4"/>
    <row r="21" spans="2:12" ht="15" thickBot="1" x14ac:dyDescent="0.4">
      <c r="B21" s="13" t="s">
        <v>15</v>
      </c>
      <c r="D21" s="14"/>
      <c r="E21" s="38" t="s">
        <v>36</v>
      </c>
      <c r="F21" s="38" t="s">
        <v>31</v>
      </c>
      <c r="G21" s="15" t="s">
        <v>34</v>
      </c>
      <c r="H21" s="15" t="s">
        <v>33</v>
      </c>
      <c r="I21" s="15" t="s">
        <v>7</v>
      </c>
      <c r="L21" s="26"/>
    </row>
    <row r="22" spans="2:12" x14ac:dyDescent="0.35">
      <c r="B22" s="18">
        <f>I24/I25</f>
        <v>5.1701602967719439E-2</v>
      </c>
      <c r="D22" s="16" t="s">
        <v>8</v>
      </c>
      <c r="E22" s="17">
        <v>75904</v>
      </c>
      <c r="F22" s="17">
        <v>90755</v>
      </c>
      <c r="G22" s="17">
        <f>[2]Manufacturing!$CB$32</f>
        <v>72570</v>
      </c>
      <c r="H22" s="17">
        <f>[2]Manufacturing!$CC$32</f>
        <v>33162</v>
      </c>
      <c r="I22" s="29">
        <f>SUM(E22:H22)</f>
        <v>272391</v>
      </c>
      <c r="J22" s="26"/>
      <c r="K22" s="26"/>
    </row>
    <row r="23" spans="2:12" x14ac:dyDescent="0.35">
      <c r="B23" s="13"/>
      <c r="D23" s="19" t="s">
        <v>9</v>
      </c>
      <c r="E23" s="20">
        <v>10326</v>
      </c>
      <c r="F23" s="36">
        <v>11397</v>
      </c>
      <c r="G23" s="36">
        <f>[2]Manufacturing!$CB$33</f>
        <v>13463</v>
      </c>
      <c r="H23" s="36">
        <f>[2]Manufacturing!$CC$33</f>
        <v>9794</v>
      </c>
      <c r="I23" s="37">
        <f>SUM(E23:H23)</f>
        <v>44980</v>
      </c>
      <c r="J23" s="26"/>
      <c r="K23" s="26"/>
    </row>
    <row r="24" spans="2:12" x14ac:dyDescent="0.35">
      <c r="B24" s="13"/>
      <c r="D24" s="19" t="s">
        <v>10</v>
      </c>
      <c r="E24" s="20">
        <v>65578</v>
      </c>
      <c r="F24" s="20">
        <v>79358</v>
      </c>
      <c r="G24" s="20">
        <f>G22-G23</f>
        <v>59107</v>
      </c>
      <c r="H24" s="20">
        <f>H22-H23</f>
        <v>23368</v>
      </c>
      <c r="I24" s="30">
        <f t="shared" ref="I24" si="3">I22-I23</f>
        <v>227411</v>
      </c>
    </row>
    <row r="25" spans="2:12" ht="15" thickBot="1" x14ac:dyDescent="0.4">
      <c r="B25" s="13"/>
      <c r="D25" s="21" t="s">
        <v>11</v>
      </c>
      <c r="E25" s="22">
        <v>1049885</v>
      </c>
      <c r="F25" s="22">
        <v>1118278</v>
      </c>
      <c r="G25" s="22">
        <f>[2]Manufacturing!$CB$3</f>
        <v>1153223</v>
      </c>
      <c r="H25" s="22">
        <f>[2]Manufacturing!$CC$3</f>
        <v>1077143</v>
      </c>
      <c r="I25" s="31">
        <f>SUM(E25:H25)</f>
        <v>4398529</v>
      </c>
      <c r="J25" s="26"/>
      <c r="K25" s="26"/>
    </row>
    <row r="26" spans="2:12" s="23" customFormat="1" x14ac:dyDescent="0.35">
      <c r="B26" s="24" t="s">
        <v>12</v>
      </c>
      <c r="E26" s="25">
        <v>6.246207918010068</v>
      </c>
      <c r="F26" s="25">
        <v>7.0964465007806652</v>
      </c>
      <c r="G26" s="25">
        <f t="shared" ref="E26:H26" si="4">(G24/G25)*100</f>
        <v>5.1253747107020926</v>
      </c>
      <c r="H26" s="25">
        <f t="shared" si="4"/>
        <v>2.1694426830977873</v>
      </c>
    </row>
    <row r="27" spans="2:12" ht="15" thickBot="1" x14ac:dyDescent="0.4"/>
    <row r="28" spans="2:12" ht="15" thickBot="1" x14ac:dyDescent="0.4">
      <c r="B28" s="13" t="s">
        <v>16</v>
      </c>
      <c r="D28" s="14"/>
      <c r="E28" s="38" t="s">
        <v>36</v>
      </c>
      <c r="F28" s="38" t="s">
        <v>31</v>
      </c>
      <c r="G28" s="15" t="s">
        <v>34</v>
      </c>
      <c r="H28" s="15" t="s">
        <v>33</v>
      </c>
      <c r="I28" s="15" t="s">
        <v>7</v>
      </c>
    </row>
    <row r="29" spans="2:12" x14ac:dyDescent="0.35">
      <c r="B29" s="18">
        <f>I31/I32</f>
        <v>0.14736069178262012</v>
      </c>
      <c r="D29" s="16" t="s">
        <v>8</v>
      </c>
      <c r="E29" s="17">
        <v>15185</v>
      </c>
      <c r="F29" s="17">
        <v>30900</v>
      </c>
      <c r="G29" s="17">
        <f>'[2]Electricity, gas &amp; water supply'!$CB$32</f>
        <v>12640</v>
      </c>
      <c r="H29" s="17">
        <f>'[2]Electricity, gas &amp; water supply'!$CC$32</f>
        <v>24064</v>
      </c>
      <c r="I29" s="29">
        <f>SUM(E29:H29)</f>
        <v>82789</v>
      </c>
      <c r="J29" s="26"/>
      <c r="K29" s="26"/>
    </row>
    <row r="30" spans="2:12" x14ac:dyDescent="0.35">
      <c r="B30" s="13"/>
      <c r="D30" s="19" t="s">
        <v>9</v>
      </c>
      <c r="E30" s="20">
        <v>3082</v>
      </c>
      <c r="F30" s="20">
        <v>6370</v>
      </c>
      <c r="G30" s="20">
        <f>'[2]Electricity, gas &amp; water supply'!$CB$33</f>
        <v>1014</v>
      </c>
      <c r="H30" s="20">
        <f>'[2]Electricity, gas &amp; water supply'!$CC$33</f>
        <v>477</v>
      </c>
      <c r="I30" s="30">
        <f>SUM(E30:H30)</f>
        <v>10943</v>
      </c>
      <c r="J30" s="26"/>
      <c r="K30" s="26"/>
    </row>
    <row r="31" spans="2:12" x14ac:dyDescent="0.35">
      <c r="B31" s="13"/>
      <c r="D31" s="19" t="s">
        <v>10</v>
      </c>
      <c r="E31" s="20">
        <v>12103</v>
      </c>
      <c r="F31" s="20">
        <v>24530</v>
      </c>
      <c r="G31" s="20">
        <f t="shared" ref="G31:I31" si="5">G29-G30</f>
        <v>11626</v>
      </c>
      <c r="H31" s="20">
        <f t="shared" si="5"/>
        <v>23587</v>
      </c>
      <c r="I31" s="30">
        <f t="shared" si="5"/>
        <v>71846</v>
      </c>
    </row>
    <row r="32" spans="2:12" ht="15" thickBot="1" x14ac:dyDescent="0.4">
      <c r="B32" s="13"/>
      <c r="D32" s="21" t="s">
        <v>11</v>
      </c>
      <c r="E32" s="22">
        <v>121329</v>
      </c>
      <c r="F32" s="22">
        <v>136588</v>
      </c>
      <c r="G32" s="22">
        <f>'[2]Electricity, gas &amp; water supply'!$CB$3</f>
        <v>119700</v>
      </c>
      <c r="H32" s="22">
        <f>'[2]Electricity, gas &amp; water supply'!$CC$3</f>
        <v>109935</v>
      </c>
      <c r="I32" s="31">
        <f>SUM(E32:H32)</f>
        <v>487552</v>
      </c>
      <c r="J32" s="26"/>
      <c r="K32" s="26"/>
    </row>
    <row r="33" spans="2:11" s="23" customFormat="1" x14ac:dyDescent="0.35">
      <c r="B33" s="24" t="s">
        <v>12</v>
      </c>
      <c r="E33" s="25">
        <v>9.9753562627236683</v>
      </c>
      <c r="F33" s="25">
        <v>17.95911793129704</v>
      </c>
      <c r="G33" s="25">
        <f t="shared" ref="E33:H33" si="6">(G31/G32)*100</f>
        <v>9.7126148705096078</v>
      </c>
      <c r="H33" s="25">
        <f t="shared" si="6"/>
        <v>21.455405466866782</v>
      </c>
    </row>
    <row r="34" spans="2:11" ht="15" thickBot="1" x14ac:dyDescent="0.4"/>
    <row r="35" spans="2:11" ht="15" thickBot="1" x14ac:dyDescent="0.4">
      <c r="B35" s="13" t="s">
        <v>17</v>
      </c>
      <c r="D35" s="40"/>
      <c r="E35" s="38" t="s">
        <v>36</v>
      </c>
      <c r="F35" s="38" t="s">
        <v>31</v>
      </c>
      <c r="G35" s="15" t="s">
        <v>34</v>
      </c>
      <c r="H35" s="15" t="s">
        <v>33</v>
      </c>
      <c r="I35" s="15" t="s">
        <v>7</v>
      </c>
    </row>
    <row r="36" spans="2:11" x14ac:dyDescent="0.35">
      <c r="B36" s="18">
        <f>I38/I39</f>
        <v>1.9380732435882252E-2</v>
      </c>
      <c r="D36" s="41" t="s">
        <v>8</v>
      </c>
      <c r="E36" s="39">
        <v>3435</v>
      </c>
      <c r="F36" s="35">
        <v>2565</v>
      </c>
      <c r="G36" s="17">
        <f>[2]Construction!$CB$32</f>
        <v>2406</v>
      </c>
      <c r="H36" s="17">
        <f>[2]Construction!$CC$32</f>
        <v>824</v>
      </c>
      <c r="I36" s="29">
        <f>SUM(E36:H36)</f>
        <v>9230</v>
      </c>
      <c r="J36" s="26"/>
      <c r="K36" s="26"/>
    </row>
    <row r="37" spans="2:11" x14ac:dyDescent="0.35">
      <c r="B37" s="13"/>
      <c r="D37" s="42" t="s">
        <v>9</v>
      </c>
      <c r="E37" s="39">
        <v>487</v>
      </c>
      <c r="F37" s="20">
        <v>461</v>
      </c>
      <c r="G37" s="20">
        <f>[2]Construction!$CB$33</f>
        <v>502</v>
      </c>
      <c r="H37" s="20">
        <f>[2]Construction!$CC$33</f>
        <v>416</v>
      </c>
      <c r="I37" s="30">
        <f>SUM(E37:H37)</f>
        <v>1866</v>
      </c>
      <c r="J37" s="26"/>
      <c r="K37" s="26"/>
    </row>
    <row r="38" spans="2:11" x14ac:dyDescent="0.35">
      <c r="B38" s="13"/>
      <c r="D38" s="19" t="s">
        <v>10</v>
      </c>
      <c r="E38" s="20">
        <v>2948</v>
      </c>
      <c r="F38" s="20">
        <v>2104</v>
      </c>
      <c r="G38" s="20">
        <f t="shared" ref="G38:I38" si="7">G36-G37</f>
        <v>1904</v>
      </c>
      <c r="H38" s="20">
        <f t="shared" si="7"/>
        <v>408</v>
      </c>
      <c r="I38" s="30">
        <f t="shared" si="7"/>
        <v>7364</v>
      </c>
      <c r="J38" s="26"/>
      <c r="K38" s="26"/>
    </row>
    <row r="39" spans="2:11" ht="15" thickBot="1" x14ac:dyDescent="0.4">
      <c r="B39" s="13"/>
      <c r="D39" s="21" t="s">
        <v>11</v>
      </c>
      <c r="E39" s="22">
        <v>94855</v>
      </c>
      <c r="F39" s="22">
        <v>96548</v>
      </c>
      <c r="G39" s="22">
        <f>[2]Construction!$CB$3</f>
        <v>94876</v>
      </c>
      <c r="H39" s="22">
        <f>[2]Construction!$CC$3</f>
        <v>93686</v>
      </c>
      <c r="I39" s="31">
        <f>SUM(E39:H39)</f>
        <v>379965</v>
      </c>
      <c r="J39" s="26"/>
      <c r="K39" s="26"/>
    </row>
    <row r="40" spans="2:11" s="23" customFormat="1" x14ac:dyDescent="0.35">
      <c r="B40" s="24" t="s">
        <v>12</v>
      </c>
      <c r="E40" s="25">
        <v>3.1079015339201939</v>
      </c>
      <c r="F40" s="25">
        <v>2.1792269130380744</v>
      </c>
      <c r="G40" s="25">
        <f t="shared" ref="E40:H40" si="8">(G38/G39)*100</f>
        <v>2.0068299675365742</v>
      </c>
      <c r="H40" s="25">
        <f>(H38/H39)*100</f>
        <v>0.43549729948978499</v>
      </c>
    </row>
    <row r="41" spans="2:11" ht="15" thickBot="1" x14ac:dyDescent="0.4">
      <c r="G41" s="26"/>
      <c r="H41" s="26"/>
    </row>
    <row r="42" spans="2:11" ht="15" thickBot="1" x14ac:dyDescent="0.4">
      <c r="B42" s="13" t="s">
        <v>18</v>
      </c>
      <c r="D42" s="14"/>
      <c r="E42" s="38" t="s">
        <v>36</v>
      </c>
      <c r="F42" s="38" t="s">
        <v>31</v>
      </c>
      <c r="G42" s="15" t="s">
        <v>34</v>
      </c>
      <c r="H42" s="15" t="s">
        <v>33</v>
      </c>
      <c r="I42" s="15" t="s">
        <v>7</v>
      </c>
    </row>
    <row r="43" spans="2:11" ht="15" thickBot="1" x14ac:dyDescent="0.4">
      <c r="B43" s="18">
        <f>I45/I46</f>
        <v>4.4191330763859997E-2</v>
      </c>
      <c r="D43" s="16" t="s">
        <v>8</v>
      </c>
      <c r="E43" s="17">
        <v>66766</v>
      </c>
      <c r="F43" s="17">
        <v>71019</v>
      </c>
      <c r="G43" s="17">
        <f>[2]Trade!$CB$32</f>
        <v>82646</v>
      </c>
      <c r="H43" s="17">
        <f>[2]Trade!$CC$32</f>
        <v>65640</v>
      </c>
      <c r="I43" s="29">
        <f>SUM(E43:H43)</f>
        <v>286071</v>
      </c>
      <c r="J43" s="26"/>
      <c r="K43" s="26"/>
    </row>
    <row r="44" spans="2:11" x14ac:dyDescent="0.35">
      <c r="B44" s="13"/>
      <c r="D44" s="19" t="s">
        <v>9</v>
      </c>
      <c r="E44" s="20">
        <v>12697</v>
      </c>
      <c r="F44" s="17">
        <v>13483</v>
      </c>
      <c r="G44" s="17">
        <f>[2]Trade!$CB$33</f>
        <v>13886</v>
      </c>
      <c r="H44" s="17">
        <f>[2]Trade!$CC$33</f>
        <v>12643</v>
      </c>
      <c r="I44" s="30">
        <f>SUM(E44:H44)</f>
        <v>52709</v>
      </c>
      <c r="J44" s="26"/>
      <c r="K44" s="26"/>
    </row>
    <row r="45" spans="2:11" x14ac:dyDescent="0.35">
      <c r="B45" s="13"/>
      <c r="D45" s="19" t="s">
        <v>10</v>
      </c>
      <c r="E45" s="20">
        <v>54069</v>
      </c>
      <c r="F45" s="20">
        <v>57536</v>
      </c>
      <c r="G45" s="20">
        <f t="shared" ref="G45:I45" si="9">G43-G44</f>
        <v>68760</v>
      </c>
      <c r="H45" s="20">
        <f t="shared" si="9"/>
        <v>52997</v>
      </c>
      <c r="I45" s="30">
        <f t="shared" si="9"/>
        <v>233362</v>
      </c>
      <c r="J45" s="26"/>
      <c r="K45" s="26"/>
    </row>
    <row r="46" spans="2:11" ht="15" thickBot="1" x14ac:dyDescent="0.4">
      <c r="B46" s="13"/>
      <c r="D46" s="21" t="s">
        <v>11</v>
      </c>
      <c r="E46" s="22">
        <v>1271505</v>
      </c>
      <c r="F46" s="33">
        <v>1311672</v>
      </c>
      <c r="G46" s="33">
        <f>[2]Trade!$CB$3</f>
        <v>1389210</v>
      </c>
      <c r="H46" s="33">
        <f>[2]Trade!$CC$3</f>
        <v>1308332</v>
      </c>
      <c r="I46" s="32">
        <f>SUM(E46:H46)</f>
        <v>5280719</v>
      </c>
      <c r="J46" s="26"/>
      <c r="K46" s="26"/>
    </row>
    <row r="47" spans="2:11" s="23" customFormat="1" x14ac:dyDescent="0.35">
      <c r="B47" s="24" t="s">
        <v>12</v>
      </c>
      <c r="E47" s="25">
        <v>4.2523623579930874</v>
      </c>
      <c r="F47" s="25">
        <v>4.3864624692758554</v>
      </c>
      <c r="G47" s="25">
        <f t="shared" ref="G47:H47" si="10">(G45/G46)*100</f>
        <v>4.9495756581078458</v>
      </c>
      <c r="H47" s="25">
        <f t="shared" si="10"/>
        <v>4.0507302427824134</v>
      </c>
    </row>
    <row r="48" spans="2:11" ht="15" thickBot="1" x14ac:dyDescent="0.4">
      <c r="G48" s="26"/>
      <c r="H48" s="26"/>
    </row>
    <row r="49" spans="2:11" ht="29" thickBot="1" x14ac:dyDescent="0.4">
      <c r="B49" s="27" t="s">
        <v>19</v>
      </c>
      <c r="D49" s="14"/>
      <c r="E49" s="38" t="s">
        <v>36</v>
      </c>
      <c r="F49" s="38" t="s">
        <v>31</v>
      </c>
      <c r="G49" s="15" t="s">
        <v>34</v>
      </c>
      <c r="H49" s="15" t="s">
        <v>33</v>
      </c>
      <c r="I49" s="15" t="s">
        <v>7</v>
      </c>
    </row>
    <row r="50" spans="2:11" x14ac:dyDescent="0.35">
      <c r="B50" s="18">
        <f>I52/I53</f>
        <v>5.9834210824956754E-2</v>
      </c>
      <c r="D50" s="16" t="s">
        <v>8</v>
      </c>
      <c r="E50" s="17">
        <v>20171</v>
      </c>
      <c r="F50" s="17">
        <v>21192</v>
      </c>
      <c r="G50" s="17">
        <f>'[2]Transport, storage &amp; communicat'!$CB$32</f>
        <v>29069</v>
      </c>
      <c r="H50" s="17">
        <f>'[2]Transport, storage &amp; communicat'!$CC$32</f>
        <v>19578</v>
      </c>
      <c r="I50" s="29">
        <f>SUM(E50:H50)</f>
        <v>90010</v>
      </c>
      <c r="J50" s="26"/>
      <c r="K50" s="26"/>
    </row>
    <row r="51" spans="2:11" x14ac:dyDescent="0.35">
      <c r="B51" s="13"/>
      <c r="D51" s="19" t="s">
        <v>9</v>
      </c>
      <c r="E51" s="20">
        <v>4401</v>
      </c>
      <c r="F51" s="20">
        <v>4057</v>
      </c>
      <c r="G51" s="36">
        <f>'[2]Transport, storage &amp; communicat'!$CB$33</f>
        <v>5653</v>
      </c>
      <c r="H51" s="36">
        <f>'[2]Transport, storage &amp; communicat'!$CC$33</f>
        <v>6302</v>
      </c>
      <c r="I51" s="30">
        <f>SUM(E51:H51)</f>
        <v>20413</v>
      </c>
      <c r="J51" s="26"/>
      <c r="K51" s="26"/>
    </row>
    <row r="52" spans="2:11" x14ac:dyDescent="0.35">
      <c r="B52" s="13"/>
      <c r="D52" s="19" t="s">
        <v>10</v>
      </c>
      <c r="E52" s="20">
        <v>15770</v>
      </c>
      <c r="F52" s="20">
        <v>17135</v>
      </c>
      <c r="G52" s="20">
        <f t="shared" ref="G52:I52" si="11">G50-G51</f>
        <v>23416</v>
      </c>
      <c r="H52" s="20">
        <f t="shared" si="11"/>
        <v>13276</v>
      </c>
      <c r="I52" s="30">
        <f t="shared" si="11"/>
        <v>69597</v>
      </c>
      <c r="J52" s="26"/>
      <c r="K52" s="26"/>
    </row>
    <row r="53" spans="2:11" ht="15" thickBot="1" x14ac:dyDescent="0.4">
      <c r="B53" s="13"/>
      <c r="D53" s="21" t="s">
        <v>11</v>
      </c>
      <c r="E53" s="22">
        <v>265462</v>
      </c>
      <c r="F53" s="22">
        <v>275064</v>
      </c>
      <c r="G53" s="22">
        <f>'[2]Transport, storage &amp; communicat'!$CB$3</f>
        <v>321607</v>
      </c>
      <c r="H53" s="22">
        <f>'[2]Transport, storage &amp; communicat'!$CC$3</f>
        <v>301031</v>
      </c>
      <c r="I53" s="31">
        <f>SUM(E53:H53)</f>
        <v>1163164</v>
      </c>
      <c r="J53" s="26"/>
      <c r="K53" s="26"/>
    </row>
    <row r="54" spans="2:11" s="23" customFormat="1" x14ac:dyDescent="0.35">
      <c r="B54" s="24" t="s">
        <v>12</v>
      </c>
      <c r="E54" s="25">
        <v>5.9405865999653429</v>
      </c>
      <c r="F54" s="25">
        <v>6.2294593258296249</v>
      </c>
      <c r="G54" s="25">
        <f t="shared" ref="G54:H54" si="12">(G52/G53)*100</f>
        <v>7.2809360492775337</v>
      </c>
      <c r="H54" s="25">
        <f t="shared" si="12"/>
        <v>4.4101770249575623</v>
      </c>
    </row>
    <row r="55" spans="2:11" ht="19.5" customHeight="1" thickBot="1" x14ac:dyDescent="0.4">
      <c r="G55" s="26"/>
      <c r="H55" s="26"/>
    </row>
    <row r="56" spans="2:11" ht="29" thickBot="1" x14ac:dyDescent="0.4">
      <c r="B56" s="27" t="s">
        <v>20</v>
      </c>
      <c r="D56" s="14"/>
      <c r="E56" s="38" t="s">
        <v>30</v>
      </c>
      <c r="F56" s="38" t="s">
        <v>35</v>
      </c>
      <c r="G56" s="15" t="s">
        <v>34</v>
      </c>
      <c r="H56" s="15" t="s">
        <v>33</v>
      </c>
      <c r="I56" s="15" t="s">
        <v>7</v>
      </c>
    </row>
    <row r="57" spans="2:11" x14ac:dyDescent="0.35">
      <c r="B57" s="18">
        <f>I59/I60</f>
        <v>0.10892075312387373</v>
      </c>
      <c r="D57" s="16" t="s">
        <v>8</v>
      </c>
      <c r="E57" s="17">
        <v>63205</v>
      </c>
      <c r="F57" s="17">
        <f>'[2]Business services'!$CA$32</f>
        <v>44884</v>
      </c>
      <c r="G57" s="17">
        <f>'[2]Business services'!$CB$32</f>
        <v>55614</v>
      </c>
      <c r="H57" s="17">
        <f>'[2]Business services'!$CC$32</f>
        <v>59338</v>
      </c>
      <c r="I57" s="29">
        <f>SUM(E57:H57)</f>
        <v>223041</v>
      </c>
      <c r="J57" s="26"/>
      <c r="K57" s="26"/>
    </row>
    <row r="58" spans="2:11" x14ac:dyDescent="0.35">
      <c r="B58" s="13"/>
      <c r="D58" s="19" t="s">
        <v>9</v>
      </c>
      <c r="E58" s="20">
        <v>10658</v>
      </c>
      <c r="F58" s="20">
        <f>'[2]Business services'!$CA$33</f>
        <v>11031</v>
      </c>
      <c r="G58" s="20">
        <f>'[2]Business services'!$CB$33</f>
        <v>9713</v>
      </c>
      <c r="H58" s="20">
        <f>'[2]Business services'!$CC$33</f>
        <v>10007</v>
      </c>
      <c r="I58" s="30">
        <f>SUM(E58:H58)</f>
        <v>41409</v>
      </c>
      <c r="J58" s="26"/>
      <c r="K58" s="26"/>
    </row>
    <row r="59" spans="2:11" x14ac:dyDescent="0.35">
      <c r="B59" s="13"/>
      <c r="D59" s="19" t="s">
        <v>10</v>
      </c>
      <c r="E59" s="20">
        <v>52547</v>
      </c>
      <c r="F59" s="20">
        <v>50408</v>
      </c>
      <c r="G59" s="20">
        <f t="shared" ref="G59:I59" si="13">G57-G58</f>
        <v>45901</v>
      </c>
      <c r="H59" s="20">
        <f t="shared" si="13"/>
        <v>49331</v>
      </c>
      <c r="I59" s="30">
        <f t="shared" si="13"/>
        <v>181632</v>
      </c>
      <c r="J59" s="26"/>
      <c r="K59" s="26"/>
    </row>
    <row r="60" spans="2:11" ht="15" thickBot="1" x14ac:dyDescent="0.4">
      <c r="B60" s="13"/>
      <c r="D60" s="21" t="s">
        <v>11</v>
      </c>
      <c r="E60" s="22">
        <v>400448</v>
      </c>
      <c r="F60" s="22">
        <f>'[2]Business services'!$CA$3</f>
        <v>407044</v>
      </c>
      <c r="G60" s="22">
        <f>'[2]Business services'!$CB$3</f>
        <v>429995</v>
      </c>
      <c r="H60" s="22">
        <f>'[2]Business services'!$CC$3</f>
        <v>430074</v>
      </c>
      <c r="I60" s="31">
        <f>SUM(E60:H60)</f>
        <v>1667561</v>
      </c>
      <c r="J60" s="26"/>
      <c r="K60" s="26"/>
    </row>
    <row r="61" spans="2:11" s="23" customFormat="1" x14ac:dyDescent="0.35">
      <c r="B61" s="24" t="s">
        <v>12</v>
      </c>
      <c r="E61" s="25">
        <v>13.12205330030366</v>
      </c>
      <c r="F61" s="25">
        <v>12.383919183184128</v>
      </c>
      <c r="G61" s="25">
        <f t="shared" ref="E61:H61" si="14">(G59/G60)*100</f>
        <v>10.674775288084746</v>
      </c>
      <c r="H61" s="25">
        <f t="shared" si="14"/>
        <v>11.470351613908305</v>
      </c>
    </row>
    <row r="62" spans="2:11" ht="15" thickBot="1" x14ac:dyDescent="0.4">
      <c r="G62" s="26"/>
      <c r="H62" s="26"/>
    </row>
    <row r="63" spans="2:11" ht="29" thickBot="1" x14ac:dyDescent="0.4">
      <c r="B63" s="27" t="s">
        <v>21</v>
      </c>
      <c r="D63" s="14"/>
      <c r="E63" s="38" t="s">
        <v>36</v>
      </c>
      <c r="F63" s="38" t="s">
        <v>31</v>
      </c>
      <c r="G63" s="15" t="s">
        <v>34</v>
      </c>
      <c r="H63" s="15" t="s">
        <v>33</v>
      </c>
      <c r="I63" s="15" t="s">
        <v>7</v>
      </c>
    </row>
    <row r="64" spans="2:11" x14ac:dyDescent="0.35">
      <c r="B64" s="18">
        <f>I66/I67</f>
        <v>8.0454375956023547E-2</v>
      </c>
      <c r="D64" s="16" t="s">
        <v>8</v>
      </c>
      <c r="E64" s="17">
        <v>10091</v>
      </c>
      <c r="F64" s="17">
        <v>9043</v>
      </c>
      <c r="G64" s="17">
        <f>'[2]Personal services'!$CB$32</f>
        <v>8927</v>
      </c>
      <c r="H64" s="17">
        <f>'[2]Personal services'!$CC$32</f>
        <v>10899</v>
      </c>
      <c r="I64" s="29">
        <f>SUM(E64:H64)</f>
        <v>38960</v>
      </c>
      <c r="J64" s="26"/>
      <c r="K64" s="26"/>
    </row>
    <row r="65" spans="2:11" x14ac:dyDescent="0.35">
      <c r="B65" s="13"/>
      <c r="D65" s="19" t="s">
        <v>9</v>
      </c>
      <c r="E65" s="36">
        <v>1679</v>
      </c>
      <c r="F65" s="36">
        <v>1928</v>
      </c>
      <c r="G65" s="36">
        <f>'[2]Personal services'!$CB$33</f>
        <v>1756</v>
      </c>
      <c r="H65" s="36">
        <f>'[2]Personal services'!$CC$33</f>
        <v>1881</v>
      </c>
      <c r="I65" s="37">
        <f>SUM(E65:H65)</f>
        <v>7244</v>
      </c>
      <c r="J65" s="26"/>
      <c r="K65" s="26"/>
    </row>
    <row r="66" spans="2:11" x14ac:dyDescent="0.35">
      <c r="B66" s="13"/>
      <c r="D66" s="19" t="s">
        <v>10</v>
      </c>
      <c r="E66" s="20">
        <v>8412</v>
      </c>
      <c r="F66" s="20">
        <v>7115</v>
      </c>
      <c r="G66" s="20">
        <f t="shared" ref="G66:I66" si="15">G64-G65</f>
        <v>7171</v>
      </c>
      <c r="H66" s="20">
        <f t="shared" si="15"/>
        <v>9018</v>
      </c>
      <c r="I66" s="30">
        <f t="shared" si="15"/>
        <v>31716</v>
      </c>
      <c r="J66" s="26"/>
      <c r="K66" s="26"/>
    </row>
    <row r="67" spans="2:11" ht="15" thickBot="1" x14ac:dyDescent="0.4">
      <c r="B67" s="13"/>
      <c r="D67" s="21" t="s">
        <v>11</v>
      </c>
      <c r="E67" s="22">
        <v>98551</v>
      </c>
      <c r="F67" s="22">
        <v>97432</v>
      </c>
      <c r="G67" s="22">
        <f>'[2]Personal services'!$CB$3</f>
        <v>98353</v>
      </c>
      <c r="H67" s="22">
        <f>'[2]Personal services'!$CC$3</f>
        <v>99875</v>
      </c>
      <c r="I67" s="31">
        <f>SUM(E67:H67)</f>
        <v>394211</v>
      </c>
      <c r="J67" s="26"/>
      <c r="K67" s="26"/>
    </row>
    <row r="68" spans="2:11" s="23" customFormat="1" x14ac:dyDescent="0.35">
      <c r="B68" s="24" t="s">
        <v>12</v>
      </c>
      <c r="E68" s="25">
        <v>8.5356820326531437</v>
      </c>
      <c r="F68" s="25">
        <v>7.3025289432629936</v>
      </c>
      <c r="G68" s="25">
        <f t="shared" ref="F68:H68" si="16">(G66/G67)*100</f>
        <v>7.2910841560501458</v>
      </c>
      <c r="H68" s="25">
        <f t="shared" si="16"/>
        <v>9.0292866082603265</v>
      </c>
    </row>
    <row r="69" spans="2:11" x14ac:dyDescent="0.35">
      <c r="B69" s="28" t="s">
        <v>37</v>
      </c>
      <c r="C69" s="28"/>
      <c r="D69" s="28"/>
      <c r="E69" s="28"/>
      <c r="F69" s="28"/>
      <c r="G69" s="28"/>
    </row>
    <row r="70" spans="2:11" x14ac:dyDescent="0.35">
      <c r="B70" s="28" t="s">
        <v>22</v>
      </c>
    </row>
    <row r="71" spans="2:11" x14ac:dyDescent="0.35">
      <c r="B71" s="28" t="s">
        <v>23</v>
      </c>
    </row>
    <row r="72" spans="2:11" x14ac:dyDescent="0.35">
      <c r="B72" s="28" t="s">
        <v>38</v>
      </c>
    </row>
    <row r="74" spans="2:11" x14ac:dyDescent="0.35">
      <c r="H74" t="s">
        <v>24</v>
      </c>
    </row>
    <row r="76" spans="2:11" x14ac:dyDescent="0.35">
      <c r="F76" t="s">
        <v>14</v>
      </c>
    </row>
  </sheetData>
  <pageMargins left="0.7" right="0.7" top="0.75" bottom="0.75" header="0.3" footer="0.3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1"/>
  <sheetViews>
    <sheetView workbookViewId="0"/>
  </sheetViews>
  <sheetFormatPr defaultRowHeight="14.5" x14ac:dyDescent="0.35"/>
  <cols>
    <col min="6" max="6" width="11.6328125" customWidth="1"/>
    <col min="7" max="7" width="18.453125" customWidth="1"/>
    <col min="8" max="8" width="13.36328125" customWidth="1"/>
    <col min="9" max="9" width="13.453125" customWidth="1"/>
    <col min="10" max="10" width="12.54296875" customWidth="1"/>
    <col min="11" max="12" width="14.08984375" customWidth="1"/>
  </cols>
  <sheetData>
    <row r="1" spans="1:12" ht="15.5" x14ac:dyDescent="0.35">
      <c r="A1" s="1" t="s">
        <v>0</v>
      </c>
    </row>
    <row r="2" spans="1:12" ht="15" thickBot="1" x14ac:dyDescent="0.4"/>
    <row r="3" spans="1:12" ht="15" thickTop="1" x14ac:dyDescent="0.35">
      <c r="A3" s="3"/>
      <c r="B3" s="4" t="s">
        <v>2</v>
      </c>
      <c r="C3" s="5"/>
    </row>
    <row r="4" spans="1:12" x14ac:dyDescent="0.35">
      <c r="A4" s="7">
        <v>1</v>
      </c>
      <c r="B4" s="8" t="s">
        <v>4</v>
      </c>
      <c r="C4" s="9"/>
    </row>
    <row r="5" spans="1:12" ht="44" thickBot="1" x14ac:dyDescent="0.4">
      <c r="A5" s="10">
        <v>2</v>
      </c>
      <c r="B5" s="11" t="s">
        <v>5</v>
      </c>
      <c r="C5" s="12"/>
    </row>
    <row r="6" spans="1:12" ht="15.5" thickTop="1" thickBot="1" x14ac:dyDescent="0.4"/>
    <row r="7" spans="1:12" ht="15" thickBot="1" x14ac:dyDescent="0.4">
      <c r="B7" s="13" t="s">
        <v>6</v>
      </c>
      <c r="G7" s="14"/>
      <c r="H7" s="15" t="s">
        <v>26</v>
      </c>
      <c r="I7" s="15" t="s">
        <v>25</v>
      </c>
      <c r="J7" s="15" t="s">
        <v>27</v>
      </c>
      <c r="K7" s="15" t="s">
        <v>28</v>
      </c>
      <c r="L7" s="15" t="s">
        <v>7</v>
      </c>
    </row>
    <row r="8" spans="1:12" x14ac:dyDescent="0.35">
      <c r="B8" s="13"/>
      <c r="G8" s="16" t="s">
        <v>8</v>
      </c>
      <c r="H8" s="26">
        <f>'[1]All industries'!$BU$32</f>
        <v>192150</v>
      </c>
    </row>
    <row r="9" spans="1:12" x14ac:dyDescent="0.35">
      <c r="B9" s="18">
        <f>(I10/I11)</f>
        <v>0</v>
      </c>
      <c r="G9" s="19" t="s">
        <v>9</v>
      </c>
      <c r="H9" s="26">
        <f>'[1]All industries'!$BU$33</f>
        <v>43290</v>
      </c>
    </row>
    <row r="10" spans="1:12" x14ac:dyDescent="0.35">
      <c r="B10" s="13"/>
      <c r="G10" s="19" t="s">
        <v>10</v>
      </c>
      <c r="H10" s="26">
        <f>H8-H9</f>
        <v>148860</v>
      </c>
    </row>
    <row r="11" spans="1:12" ht="15" thickBot="1" x14ac:dyDescent="0.4">
      <c r="B11" s="13"/>
      <c r="G11" s="21" t="s">
        <v>11</v>
      </c>
      <c r="H11" s="26">
        <f>'[1]All industries'!$BU$3</f>
        <v>3281410</v>
      </c>
      <c r="I11" s="26">
        <f>'[1]All industries'!$BV$3</f>
        <v>3418779</v>
      </c>
      <c r="J11" s="26">
        <f>'[1]All industries'!$BW$3</f>
        <v>3463975</v>
      </c>
      <c r="K11" s="26">
        <f>'[1]All industries'!$BX$3</f>
        <v>3619881</v>
      </c>
      <c r="L11" s="26">
        <f>SUM(H11:K11)</f>
        <v>13784045</v>
      </c>
    </row>
    <row r="12" spans="1:12" x14ac:dyDescent="0.35">
      <c r="A12" s="23"/>
      <c r="B12" s="24" t="s">
        <v>12</v>
      </c>
      <c r="C12" s="23"/>
      <c r="G12" s="23"/>
    </row>
    <row r="13" spans="1:12" ht="15" thickBot="1" x14ac:dyDescent="0.4"/>
    <row r="14" spans="1:12" ht="15" thickBot="1" x14ac:dyDescent="0.4">
      <c r="B14" s="13" t="s">
        <v>13</v>
      </c>
      <c r="G14" s="14"/>
    </row>
    <row r="15" spans="1:12" x14ac:dyDescent="0.35">
      <c r="B15" s="13"/>
      <c r="G15" s="16" t="s">
        <v>8</v>
      </c>
    </row>
    <row r="16" spans="1:12" x14ac:dyDescent="0.35">
      <c r="B16" s="18" t="e">
        <f>(I17/I18)</f>
        <v>#DIV/0!</v>
      </c>
      <c r="G16" s="19" t="s">
        <v>9</v>
      </c>
    </row>
    <row r="17" spans="1:7" x14ac:dyDescent="0.35">
      <c r="B17" s="13"/>
      <c r="G17" s="19" t="s">
        <v>10</v>
      </c>
    </row>
    <row r="18" spans="1:7" ht="15" thickBot="1" x14ac:dyDescent="0.4">
      <c r="B18" s="13"/>
      <c r="G18" s="21" t="s">
        <v>11</v>
      </c>
    </row>
    <row r="19" spans="1:7" x14ac:dyDescent="0.35">
      <c r="A19" s="23"/>
      <c r="B19" s="24" t="s">
        <v>12</v>
      </c>
      <c r="C19" s="23"/>
      <c r="G19" s="23"/>
    </row>
    <row r="20" spans="1:7" ht="15" thickBot="1" x14ac:dyDescent="0.4"/>
    <row r="21" spans="1:7" ht="15" thickBot="1" x14ac:dyDescent="0.4">
      <c r="B21" s="13" t="s">
        <v>15</v>
      </c>
      <c r="G21" s="14"/>
    </row>
    <row r="22" spans="1:7" x14ac:dyDescent="0.35">
      <c r="B22" s="18" t="e">
        <f>I24/I25</f>
        <v>#DIV/0!</v>
      </c>
      <c r="G22" s="16" t="s">
        <v>8</v>
      </c>
    </row>
    <row r="23" spans="1:7" x14ac:dyDescent="0.35">
      <c r="B23" s="13"/>
      <c r="G23" s="19" t="s">
        <v>9</v>
      </c>
    </row>
    <row r="24" spans="1:7" x14ac:dyDescent="0.35">
      <c r="B24" s="13"/>
      <c r="G24" s="19" t="s">
        <v>10</v>
      </c>
    </row>
    <row r="25" spans="1:7" ht="15" thickBot="1" x14ac:dyDescent="0.4">
      <c r="B25" s="13"/>
      <c r="G25" s="21" t="s">
        <v>11</v>
      </c>
    </row>
    <row r="26" spans="1:7" x14ac:dyDescent="0.35">
      <c r="A26" s="23"/>
      <c r="B26" s="24" t="s">
        <v>12</v>
      </c>
      <c r="C26" s="23"/>
      <c r="G26" s="23"/>
    </row>
    <row r="27" spans="1:7" ht="15" thickBot="1" x14ac:dyDescent="0.4"/>
    <row r="28" spans="1:7" ht="15" thickBot="1" x14ac:dyDescent="0.4">
      <c r="B28" s="13" t="s">
        <v>16</v>
      </c>
      <c r="G28" s="14"/>
    </row>
    <row r="29" spans="1:7" x14ac:dyDescent="0.35">
      <c r="B29" s="18" t="e">
        <f>I31/I32</f>
        <v>#DIV/0!</v>
      </c>
      <c r="G29" s="16" t="s">
        <v>8</v>
      </c>
    </row>
    <row r="30" spans="1:7" x14ac:dyDescent="0.35">
      <c r="B30" s="13"/>
      <c r="G30" s="19" t="s">
        <v>9</v>
      </c>
    </row>
    <row r="31" spans="1:7" x14ac:dyDescent="0.35">
      <c r="B31" s="13"/>
      <c r="G31" s="19" t="s">
        <v>10</v>
      </c>
    </row>
    <row r="32" spans="1:7" ht="15" thickBot="1" x14ac:dyDescent="0.4">
      <c r="B32" s="13"/>
      <c r="G32" s="21" t="s">
        <v>11</v>
      </c>
    </row>
    <row r="33" spans="1:7" x14ac:dyDescent="0.35">
      <c r="A33" s="23"/>
      <c r="B33" s="24" t="s">
        <v>12</v>
      </c>
      <c r="C33" s="23"/>
      <c r="G33" s="23"/>
    </row>
    <row r="34" spans="1:7" ht="15" thickBot="1" x14ac:dyDescent="0.4"/>
    <row r="35" spans="1:7" ht="15" thickBot="1" x14ac:dyDescent="0.4">
      <c r="B35" s="13" t="s">
        <v>17</v>
      </c>
      <c r="G35" s="14"/>
    </row>
    <row r="36" spans="1:7" x14ac:dyDescent="0.35">
      <c r="B36" s="18" t="e">
        <f>I38/I39</f>
        <v>#DIV/0!</v>
      </c>
      <c r="G36" s="16" t="s">
        <v>8</v>
      </c>
    </row>
    <row r="37" spans="1:7" x14ac:dyDescent="0.35">
      <c r="B37" s="13"/>
      <c r="G37" s="19" t="s">
        <v>9</v>
      </c>
    </row>
    <row r="38" spans="1:7" x14ac:dyDescent="0.35">
      <c r="B38" s="13"/>
      <c r="G38" s="19" t="s">
        <v>10</v>
      </c>
    </row>
    <row r="39" spans="1:7" ht="15" thickBot="1" x14ac:dyDescent="0.4">
      <c r="B39" s="13"/>
      <c r="G39" s="21" t="s">
        <v>11</v>
      </c>
    </row>
    <row r="40" spans="1:7" x14ac:dyDescent="0.35">
      <c r="A40" s="23"/>
      <c r="B40" s="24" t="s">
        <v>12</v>
      </c>
      <c r="C40" s="23"/>
      <c r="G40" s="23"/>
    </row>
    <row r="41" spans="1:7" ht="15" thickBot="1" x14ac:dyDescent="0.4"/>
    <row r="42" spans="1:7" ht="15" thickBot="1" x14ac:dyDescent="0.4">
      <c r="B42" s="13" t="s">
        <v>18</v>
      </c>
      <c r="G42" s="14"/>
    </row>
    <row r="43" spans="1:7" x14ac:dyDescent="0.35">
      <c r="B43" s="18" t="e">
        <f>I45/I46</f>
        <v>#DIV/0!</v>
      </c>
      <c r="G43" s="16" t="s">
        <v>8</v>
      </c>
    </row>
    <row r="44" spans="1:7" x14ac:dyDescent="0.35">
      <c r="B44" s="13"/>
      <c r="G44" s="19" t="s">
        <v>9</v>
      </c>
    </row>
    <row r="45" spans="1:7" x14ac:dyDescent="0.35">
      <c r="B45" s="13"/>
      <c r="G45" s="19" t="s">
        <v>10</v>
      </c>
    </row>
    <row r="46" spans="1:7" ht="15" thickBot="1" x14ac:dyDescent="0.4">
      <c r="B46" s="13"/>
      <c r="G46" s="21" t="s">
        <v>11</v>
      </c>
    </row>
    <row r="47" spans="1:7" x14ac:dyDescent="0.35">
      <c r="A47" s="23"/>
      <c r="B47" s="24" t="s">
        <v>12</v>
      </c>
      <c r="C47" s="23"/>
      <c r="G47" s="23"/>
    </row>
    <row r="48" spans="1:7" ht="15" thickBot="1" x14ac:dyDescent="0.4"/>
    <row r="49" spans="1:7" ht="99" thickBot="1" x14ac:dyDescent="0.4">
      <c r="B49" s="27" t="s">
        <v>19</v>
      </c>
      <c r="G49" s="14"/>
    </row>
    <row r="50" spans="1:7" x14ac:dyDescent="0.35">
      <c r="B50" s="18" t="e">
        <f>I52/I53</f>
        <v>#DIV/0!</v>
      </c>
      <c r="G50" s="16" t="s">
        <v>8</v>
      </c>
    </row>
    <row r="51" spans="1:7" x14ac:dyDescent="0.35">
      <c r="B51" s="13"/>
      <c r="G51" s="19" t="s">
        <v>9</v>
      </c>
    </row>
    <row r="52" spans="1:7" x14ac:dyDescent="0.35">
      <c r="B52" s="13"/>
      <c r="G52" s="19" t="s">
        <v>10</v>
      </c>
    </row>
    <row r="53" spans="1:7" ht="15" thickBot="1" x14ac:dyDescent="0.4">
      <c r="B53" s="13"/>
      <c r="G53" s="21" t="s">
        <v>11</v>
      </c>
    </row>
    <row r="54" spans="1:7" x14ac:dyDescent="0.35">
      <c r="A54" s="23"/>
      <c r="B54" s="24" t="s">
        <v>12</v>
      </c>
      <c r="C54" s="23"/>
      <c r="G54" s="23"/>
    </row>
    <row r="55" spans="1:7" ht="15" thickBot="1" x14ac:dyDescent="0.4"/>
    <row r="56" spans="1:7" ht="113" thickBot="1" x14ac:dyDescent="0.4">
      <c r="B56" s="27" t="s">
        <v>20</v>
      </c>
      <c r="G56" s="14"/>
    </row>
    <row r="57" spans="1:7" x14ac:dyDescent="0.35">
      <c r="B57" s="18" t="e">
        <f>I59/I60</f>
        <v>#DIV/0!</v>
      </c>
      <c r="G57" s="16" t="s">
        <v>8</v>
      </c>
    </row>
    <row r="58" spans="1:7" x14ac:dyDescent="0.35">
      <c r="B58" s="13"/>
      <c r="G58" s="19" t="s">
        <v>9</v>
      </c>
    </row>
    <row r="59" spans="1:7" x14ac:dyDescent="0.35">
      <c r="B59" s="13"/>
      <c r="G59" s="19" t="s">
        <v>10</v>
      </c>
    </row>
    <row r="60" spans="1:7" ht="15" thickBot="1" x14ac:dyDescent="0.4">
      <c r="B60" s="13"/>
      <c r="G60" s="21" t="s">
        <v>11</v>
      </c>
    </row>
    <row r="61" spans="1:7" x14ac:dyDescent="0.35">
      <c r="A61" s="23"/>
      <c r="B61" s="24" t="s">
        <v>12</v>
      </c>
      <c r="C61" s="23"/>
      <c r="G61" s="23"/>
    </row>
    <row r="62" spans="1:7" ht="15" thickBot="1" x14ac:dyDescent="0.4"/>
    <row r="63" spans="1:7" ht="113" thickBot="1" x14ac:dyDescent="0.4">
      <c r="B63" s="27" t="s">
        <v>21</v>
      </c>
      <c r="G63" s="14"/>
    </row>
    <row r="64" spans="1:7" x14ac:dyDescent="0.35">
      <c r="B64" s="18" t="e">
        <f>I66/I67</f>
        <v>#DIV/0!</v>
      </c>
      <c r="G64" s="16" t="s">
        <v>8</v>
      </c>
    </row>
    <row r="65" spans="1:7" x14ac:dyDescent="0.35">
      <c r="B65" s="13"/>
      <c r="G65" s="19" t="s">
        <v>9</v>
      </c>
    </row>
    <row r="66" spans="1:7" x14ac:dyDescent="0.35">
      <c r="B66" s="13"/>
      <c r="G66" s="19" t="s">
        <v>10</v>
      </c>
    </row>
    <row r="67" spans="1:7" ht="15" thickBot="1" x14ac:dyDescent="0.4">
      <c r="B67" s="13"/>
      <c r="G67" s="21" t="s">
        <v>11</v>
      </c>
    </row>
    <row r="68" spans="1:7" x14ac:dyDescent="0.35">
      <c r="A68" s="23"/>
      <c r="B68" s="24" t="s">
        <v>12</v>
      </c>
      <c r="C68" s="23"/>
      <c r="G68" s="23"/>
    </row>
    <row r="69" spans="1:7" x14ac:dyDescent="0.35">
      <c r="B69" s="28" t="s">
        <v>29</v>
      </c>
      <c r="C69" s="28"/>
      <c r="G69" s="28"/>
    </row>
    <row r="70" spans="1:7" x14ac:dyDescent="0.35">
      <c r="B70" s="28" t="s">
        <v>22</v>
      </c>
    </row>
    <row r="71" spans="1:7" x14ac:dyDescent="0.35">
      <c r="B71" s="2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2026-07-02T09:16:23Z</dcterms:modified>
</cp:coreProperties>
</file>