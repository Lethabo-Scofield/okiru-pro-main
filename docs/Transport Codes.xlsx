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d69e2ab8cd4566d/Documents/"/>
    </mc:Choice>
  </mc:AlternateContent>
  <xr:revisionPtr revIDLastSave="0" documentId="8_{A125E8DE-A9A2-4299-9322-DB6C48010B68}" xr6:coauthVersionLast="47" xr6:coauthVersionMax="47" xr10:uidLastSave="{00000000-0000-0000-0000-000000000000}"/>
  <bookViews>
    <workbookView xWindow="-108" yWindow="-108" windowWidth="23256" windowHeight="12456" activeTab="2" xr2:uid="{59803ED3-065F-43E0-8BF8-11EB0EFA7E24}"/>
  </bookViews>
  <sheets>
    <sheet name="Road Freight Large" sheetId="1" r:id="rId1"/>
    <sheet name="Road Freight QSE" sheetId="2" r:id="rId2"/>
    <sheet name="Not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1" i="2" l="1"/>
  <c r="D18" i="2"/>
  <c r="D12" i="2"/>
  <c r="D9" i="2"/>
  <c r="D48" i="1"/>
  <c r="D45" i="1"/>
  <c r="D40" i="1"/>
  <c r="D33" i="1"/>
  <c r="D22" i="1"/>
  <c r="D12" i="1"/>
</calcChain>
</file>

<file path=xl/sharedStrings.xml><?xml version="1.0" encoding="utf-8"?>
<sst xmlns="http://schemas.openxmlformats.org/spreadsheetml/2006/main" count="109" uniqueCount="80">
  <si>
    <t>B-BBEE Element</t>
  </si>
  <si>
    <t>Indicator</t>
  </si>
  <si>
    <t>Target</t>
  </si>
  <si>
    <t>Weighting</t>
  </si>
  <si>
    <t>Exercisable voting rights in the hands of black people</t>
  </si>
  <si>
    <t>25% +1 vote</t>
  </si>
  <si>
    <t>Exercisable voting rights in the hands of black women</t>
  </si>
  <si>
    <t>Economic interest in the hands of black people</t>
  </si>
  <si>
    <t>Economic interest in the hands of black women</t>
  </si>
  <si>
    <t>Economic interest of the following black natural people in the enterprise: black designated,ESOP, BBOS, or co-operatives</t>
  </si>
  <si>
    <t>Net Value</t>
  </si>
  <si>
    <t>Ownership Fulfilment</t>
  </si>
  <si>
    <t>Bonus: Black New Entrants</t>
  </si>
  <si>
    <t>Bonus: ESOP, BBOS, co-ops</t>
  </si>
  <si>
    <t>Yes</t>
  </si>
  <si>
    <t>Total</t>
  </si>
  <si>
    <t>% of total exercisable voting rights in the hands of black board members</t>
  </si>
  <si>
    <t>% of total exercisable voting rights in the hands of black-women board members</t>
  </si>
  <si>
    <t>% Black persons who are executive directors</t>
  </si>
  <si>
    <t>% Black women who are executive directors</t>
  </si>
  <si>
    <t>% of black women who hold senior top management positions</t>
  </si>
  <si>
    <t>% of black people who hold senior top management positions</t>
  </si>
  <si>
    <t>% of black people who hold other top management positions</t>
  </si>
  <si>
    <t>% of black women who hold other top management positions</t>
  </si>
  <si>
    <t>Bonus: Black Independent Non-Executive Board Members</t>
  </si>
  <si>
    <t>Ownership</t>
  </si>
  <si>
    <t>Management Control</t>
  </si>
  <si>
    <t>% Black People in Senior Management</t>
  </si>
  <si>
    <t>% Black Women in Senior Management</t>
  </si>
  <si>
    <t>% Black People in Midde Management</t>
  </si>
  <si>
    <t>% Black Women in Middle Management</t>
  </si>
  <si>
    <t>% Black People in Junior Management</t>
  </si>
  <si>
    <t>% Black Women in Junior Management</t>
  </si>
  <si>
    <t>% Black Women who are semi and unskilled</t>
  </si>
  <si>
    <t>Black People living with disabilities as a % of all employees</t>
  </si>
  <si>
    <t>Bonus: Meeting or exceeding the EAP targets in each category of employment equity</t>
  </si>
  <si>
    <t>Black Women living with disabilities as a % of all employees</t>
  </si>
  <si>
    <t>Employment Equity</t>
  </si>
  <si>
    <t>Skills Development Expenditure on learning programmes for black employees with disabilities as a percentage of leviable amount</t>
  </si>
  <si>
    <t>Skills Development Expenditure on learning programmes for black women employees with disabilities as a percentage of leviable amount</t>
  </si>
  <si>
    <t>Skills Development Expenditure on learning programmes for black employees as a percentage of leviable amount</t>
  </si>
  <si>
    <t>Skills Development Expenditure on learning programmes for black women employees as a percentage of leviable amount</t>
  </si>
  <si>
    <t>Black women employees in B, C or D programmes as a percentage of total employees</t>
  </si>
  <si>
    <t>Black employees in B, C or D programmes as a percentage of total employees</t>
  </si>
  <si>
    <t>Skills Development</t>
  </si>
  <si>
    <t>Procurement from B-BBEE compliant suppliers as a % of TMPS</t>
  </si>
  <si>
    <t>Procurement from B-BBEE compliant suppliers who are EME and QSE as a % of TMPS</t>
  </si>
  <si>
    <t>Procurement from 50% Black Owned suppliers as a % of TMPS</t>
  </si>
  <si>
    <t>Procurement from 30% Black-Women Owned suppliers as a % of TMPS</t>
  </si>
  <si>
    <t>Preferential Procurement</t>
  </si>
  <si>
    <t>Expenditure on supplier development initiatives as a proportion of NPAT</t>
  </si>
  <si>
    <t>Enterprise Development</t>
  </si>
  <si>
    <t>Socio-Economic Development</t>
  </si>
  <si>
    <t>Expenditure on social development programmes as a % of NPAT</t>
  </si>
  <si>
    <t>GRAND TOTAL</t>
  </si>
  <si>
    <t>25% + 1 vote</t>
  </si>
  <si>
    <t>Economic interest of black people in the enterorise</t>
  </si>
  <si>
    <t>Ownership fulfilment</t>
  </si>
  <si>
    <t>Bonus: Involvement in the ownrship by black women</t>
  </si>
  <si>
    <t>Bonus: Involvement in the ownrship by black participants in ESOP, BBOS or co-ops</t>
  </si>
  <si>
    <t>Black Representation at Top Management Level</t>
  </si>
  <si>
    <t>Bonus: Black women reprsentation at Top Management</t>
  </si>
  <si>
    <t>Black employees who are management as a % of all management</t>
  </si>
  <si>
    <t>Black women employees who are management as a % of all management</t>
  </si>
  <si>
    <t>Black employees as a % of total employees</t>
  </si>
  <si>
    <t>Black women employees as a % of total employees</t>
  </si>
  <si>
    <t>Bonus: Meeting or exceed EAP targets in each category</t>
  </si>
  <si>
    <t>Equity Ownership</t>
  </si>
  <si>
    <t>Skills Development on Black employees as a % of leviable amount</t>
  </si>
  <si>
    <t>Skills Development on Black women employees as a % of leviable amount</t>
  </si>
  <si>
    <t>Procurement Spend from B-BBEE Suppliers</t>
  </si>
  <si>
    <t>Average annual value of qualifying contributions as a % of NPAT</t>
  </si>
  <si>
    <t>Sun-minimum target matrix</t>
  </si>
  <si>
    <t>Voting Rights</t>
  </si>
  <si>
    <t>Black People</t>
  </si>
  <si>
    <t>Black Women</t>
  </si>
  <si>
    <t>Executive Directors</t>
  </si>
  <si>
    <t>Senior Top</t>
  </si>
  <si>
    <t>Other Top</t>
  </si>
  <si>
    <t>Adjusted recognition for gender applicable in all calculations for management control, employment equity and skills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</si>
</sst>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 vertical="center" textRotation="90"/>
    </xf>
    <xf numFmtId="0" fontId="0" fillId="0" borderId="6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5" xfId="0" applyBorder="1" applyAlignment="1">
      <alignment wrapText="1"/>
    </xf>
    <xf numFmtId="0" fontId="0" fillId="0" borderId="7" xfId="0" applyBorder="1"/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64" fontId="0" fillId="0" borderId="1" xfId="1" applyNumberFormat="1" applyFont="1" applyBorder="1"/>
    <xf numFmtId="9" fontId="0" fillId="0" borderId="1" xfId="1" applyFont="1" applyBorder="1"/>
    <xf numFmtId="0" fontId="0" fillId="0" borderId="5" xfId="0" applyBorder="1" applyAlignment="1">
      <alignment horizontal="center" textRotation="90"/>
    </xf>
    <xf numFmtId="0" fontId="0" fillId="0" borderId="6" xfId="0" applyBorder="1"/>
    <xf numFmtId="0" fontId="2" fillId="0" borderId="6" xfId="0" applyFont="1" applyBorder="1"/>
    <xf numFmtId="0" fontId="0" fillId="0" borderId="5" xfId="0" applyBorder="1" applyAlignment="1">
      <alignment horizontal="center" vertical="center"/>
    </xf>
    <xf numFmtId="0" fontId="0" fillId="0" borderId="5" xfId="0" applyBorder="1"/>
    <xf numFmtId="0" fontId="0" fillId="0" borderId="8" xfId="0" applyBorder="1"/>
    <xf numFmtId="9" fontId="0" fillId="0" borderId="8" xfId="1" applyFont="1" applyBorder="1"/>
    <xf numFmtId="0" fontId="2" fillId="0" borderId="9" xfId="0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9" fontId="0" fillId="0" borderId="7" xfId="1" applyFont="1" applyBorder="1"/>
    <xf numFmtId="9" fontId="0" fillId="0" borderId="9" xfId="1" applyFont="1" applyBorder="1"/>
    <xf numFmtId="0" fontId="2" fillId="0" borderId="10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6B580-F9EA-4C7B-A7CE-90BE05F14FD7}">
  <dimension ref="A1:D48"/>
  <sheetViews>
    <sheetView topLeftCell="A9" workbookViewId="0">
      <selection activeCell="B18" sqref="B18"/>
    </sheetView>
  </sheetViews>
  <sheetFormatPr defaultRowHeight="14.4" x14ac:dyDescent="0.3"/>
  <cols>
    <col min="1" max="1" width="14" customWidth="1"/>
    <col min="2" max="2" width="63" customWidth="1"/>
  </cols>
  <sheetData>
    <row r="1" spans="1:4" ht="15" thickBot="1" x14ac:dyDescent="0.35"/>
    <row r="2" spans="1:4" x14ac:dyDescent="0.3">
      <c r="A2" s="6" t="s">
        <v>0</v>
      </c>
      <c r="B2" s="7" t="s">
        <v>1</v>
      </c>
      <c r="C2" s="7" t="s">
        <v>2</v>
      </c>
      <c r="D2" s="8" t="s">
        <v>3</v>
      </c>
    </row>
    <row r="3" spans="1:4" x14ac:dyDescent="0.3">
      <c r="A3" s="9" t="s">
        <v>25</v>
      </c>
      <c r="B3" s="1" t="s">
        <v>4</v>
      </c>
      <c r="C3" s="2" t="s">
        <v>5</v>
      </c>
      <c r="D3" s="10">
        <v>3</v>
      </c>
    </row>
    <row r="4" spans="1:4" x14ac:dyDescent="0.3">
      <c r="A4" s="9"/>
      <c r="B4" s="1" t="s">
        <v>6</v>
      </c>
      <c r="C4" s="3">
        <v>0.1</v>
      </c>
      <c r="D4" s="10">
        <v>2</v>
      </c>
    </row>
    <row r="5" spans="1:4" x14ac:dyDescent="0.3">
      <c r="A5" s="9"/>
      <c r="B5" s="1" t="s">
        <v>7</v>
      </c>
      <c r="C5" s="3">
        <v>0.25</v>
      </c>
      <c r="D5" s="10">
        <v>4</v>
      </c>
    </row>
    <row r="6" spans="1:4" x14ac:dyDescent="0.3">
      <c r="A6" s="9"/>
      <c r="B6" s="1" t="s">
        <v>8</v>
      </c>
      <c r="C6" s="3">
        <v>0.1</v>
      </c>
      <c r="D6" s="10">
        <v>2</v>
      </c>
    </row>
    <row r="7" spans="1:4" x14ac:dyDescent="0.3">
      <c r="A7" s="9"/>
      <c r="B7" s="1" t="s">
        <v>9</v>
      </c>
      <c r="C7" s="3">
        <v>2.5000000000000001E-2</v>
      </c>
      <c r="D7" s="10">
        <v>1</v>
      </c>
    </row>
    <row r="8" spans="1:4" x14ac:dyDescent="0.3">
      <c r="A8" s="9"/>
      <c r="B8" s="1" t="s">
        <v>10</v>
      </c>
      <c r="C8" s="3">
        <v>0.6</v>
      </c>
      <c r="D8" s="10">
        <v>7</v>
      </c>
    </row>
    <row r="9" spans="1:4" x14ac:dyDescent="0.3">
      <c r="A9" s="9"/>
      <c r="B9" s="1" t="s">
        <v>11</v>
      </c>
      <c r="C9" s="3" t="s">
        <v>14</v>
      </c>
      <c r="D9" s="10">
        <v>1</v>
      </c>
    </row>
    <row r="10" spans="1:4" x14ac:dyDescent="0.3">
      <c r="A10" s="9"/>
      <c r="B10" s="1" t="s">
        <v>12</v>
      </c>
      <c r="C10" s="3">
        <v>0.1</v>
      </c>
      <c r="D10" s="10">
        <v>2</v>
      </c>
    </row>
    <row r="11" spans="1:4" x14ac:dyDescent="0.3">
      <c r="A11" s="9"/>
      <c r="B11" s="1" t="s">
        <v>13</v>
      </c>
      <c r="C11" s="3">
        <v>0.1</v>
      </c>
      <c r="D11" s="10">
        <v>2</v>
      </c>
    </row>
    <row r="12" spans="1:4" x14ac:dyDescent="0.3">
      <c r="A12" s="9"/>
      <c r="B12" s="4" t="s">
        <v>15</v>
      </c>
      <c r="C12" s="4"/>
      <c r="D12" s="11">
        <f>SUM(D3:D11)</f>
        <v>24</v>
      </c>
    </row>
    <row r="13" spans="1:4" ht="14.4" customHeight="1" x14ac:dyDescent="0.3">
      <c r="A13" s="9" t="s">
        <v>26</v>
      </c>
      <c r="B13" s="1" t="s">
        <v>16</v>
      </c>
      <c r="C13" s="5">
        <v>0.5</v>
      </c>
      <c r="D13" s="10">
        <v>1.5</v>
      </c>
    </row>
    <row r="14" spans="1:4" x14ac:dyDescent="0.3">
      <c r="A14" s="9"/>
      <c r="B14" s="1" t="s">
        <v>17</v>
      </c>
      <c r="C14" s="5">
        <v>0.25</v>
      </c>
      <c r="D14" s="10">
        <v>1.5</v>
      </c>
    </row>
    <row r="15" spans="1:4" x14ac:dyDescent="0.3">
      <c r="A15" s="9"/>
      <c r="B15" s="1" t="s">
        <v>18</v>
      </c>
      <c r="C15" s="5">
        <v>0.5</v>
      </c>
      <c r="D15" s="10">
        <v>1</v>
      </c>
    </row>
    <row r="16" spans="1:4" x14ac:dyDescent="0.3">
      <c r="A16" s="9"/>
      <c r="B16" s="1" t="s">
        <v>19</v>
      </c>
      <c r="C16" s="5">
        <v>0.25</v>
      </c>
      <c r="D16" s="10">
        <v>1</v>
      </c>
    </row>
    <row r="17" spans="1:4" x14ac:dyDescent="0.3">
      <c r="A17" s="9"/>
      <c r="B17" s="1" t="s">
        <v>21</v>
      </c>
      <c r="C17" s="5">
        <v>0.4</v>
      </c>
      <c r="D17" s="10">
        <v>1.5</v>
      </c>
    </row>
    <row r="18" spans="1:4" x14ac:dyDescent="0.3">
      <c r="A18" s="9"/>
      <c r="B18" s="1" t="s">
        <v>20</v>
      </c>
      <c r="C18" s="5">
        <v>0.2</v>
      </c>
      <c r="D18" s="10">
        <v>1.5</v>
      </c>
    </row>
    <row r="19" spans="1:4" x14ac:dyDescent="0.3">
      <c r="A19" s="9"/>
      <c r="B19" s="1" t="s">
        <v>22</v>
      </c>
      <c r="C19" s="5">
        <v>0.4</v>
      </c>
      <c r="D19" s="10">
        <v>1</v>
      </c>
    </row>
    <row r="20" spans="1:4" x14ac:dyDescent="0.3">
      <c r="A20" s="9"/>
      <c r="B20" s="1" t="s">
        <v>23</v>
      </c>
      <c r="C20" s="5">
        <v>0.2</v>
      </c>
      <c r="D20" s="10">
        <v>1</v>
      </c>
    </row>
    <row r="21" spans="1:4" x14ac:dyDescent="0.3">
      <c r="A21" s="9"/>
      <c r="B21" s="1" t="s">
        <v>24</v>
      </c>
      <c r="C21" s="5">
        <v>0.4</v>
      </c>
      <c r="D21" s="10">
        <v>1</v>
      </c>
    </row>
    <row r="22" spans="1:4" x14ac:dyDescent="0.3">
      <c r="A22" s="9"/>
      <c r="B22" s="4" t="s">
        <v>15</v>
      </c>
      <c r="C22" s="4"/>
      <c r="D22" s="11">
        <f>SUM(D13:D21)</f>
        <v>11</v>
      </c>
    </row>
    <row r="23" spans="1:4" ht="14.4" customHeight="1" x14ac:dyDescent="0.3">
      <c r="A23" s="9" t="s">
        <v>37</v>
      </c>
      <c r="B23" s="1" t="s">
        <v>27</v>
      </c>
      <c r="C23" s="5">
        <v>0.43</v>
      </c>
      <c r="D23" s="10">
        <v>2.5</v>
      </c>
    </row>
    <row r="24" spans="1:4" x14ac:dyDescent="0.3">
      <c r="A24" s="9"/>
      <c r="B24" s="1" t="s">
        <v>28</v>
      </c>
      <c r="C24" s="5">
        <v>0.22</v>
      </c>
      <c r="D24" s="10">
        <v>2.5</v>
      </c>
    </row>
    <row r="25" spans="1:4" x14ac:dyDescent="0.3">
      <c r="A25" s="9"/>
      <c r="B25" s="1" t="s">
        <v>29</v>
      </c>
      <c r="C25" s="5">
        <v>0.63</v>
      </c>
      <c r="D25" s="10">
        <v>1.5</v>
      </c>
    </row>
    <row r="26" spans="1:4" x14ac:dyDescent="0.3">
      <c r="A26" s="9"/>
      <c r="B26" s="1" t="s">
        <v>30</v>
      </c>
      <c r="C26" s="5">
        <v>0.32</v>
      </c>
      <c r="D26" s="10">
        <v>1.5</v>
      </c>
    </row>
    <row r="27" spans="1:4" x14ac:dyDescent="0.3">
      <c r="A27" s="9"/>
      <c r="B27" s="1" t="s">
        <v>31</v>
      </c>
      <c r="C27" s="5">
        <v>0.68</v>
      </c>
      <c r="D27" s="10">
        <v>1.5</v>
      </c>
    </row>
    <row r="28" spans="1:4" x14ac:dyDescent="0.3">
      <c r="A28" s="9"/>
      <c r="B28" s="1" t="s">
        <v>32</v>
      </c>
      <c r="C28" s="5">
        <v>0.34</v>
      </c>
      <c r="D28" s="10">
        <v>1.5</v>
      </c>
    </row>
    <row r="29" spans="1:4" x14ac:dyDescent="0.3">
      <c r="A29" s="9"/>
      <c r="B29" s="1" t="s">
        <v>33</v>
      </c>
      <c r="C29" s="5">
        <v>0.15</v>
      </c>
      <c r="D29" s="10">
        <v>2</v>
      </c>
    </row>
    <row r="30" spans="1:4" x14ac:dyDescent="0.3">
      <c r="A30" s="9"/>
      <c r="B30" s="1" t="s">
        <v>34</v>
      </c>
      <c r="C30" s="5">
        <v>0.02</v>
      </c>
      <c r="D30" s="10">
        <v>1</v>
      </c>
    </row>
    <row r="31" spans="1:4" x14ac:dyDescent="0.3">
      <c r="A31" s="9"/>
      <c r="B31" s="1" t="s">
        <v>36</v>
      </c>
      <c r="C31" s="5">
        <v>0.01</v>
      </c>
      <c r="D31" s="10">
        <v>1</v>
      </c>
    </row>
    <row r="32" spans="1:4" x14ac:dyDescent="0.3">
      <c r="A32" s="9"/>
      <c r="B32" s="1" t="s">
        <v>35</v>
      </c>
      <c r="C32" s="5" t="s">
        <v>14</v>
      </c>
      <c r="D32" s="10">
        <v>3</v>
      </c>
    </row>
    <row r="33" spans="1:4" x14ac:dyDescent="0.3">
      <c r="A33" s="9"/>
      <c r="B33" s="4" t="s">
        <v>15</v>
      </c>
      <c r="C33" s="4"/>
      <c r="D33" s="11">
        <f>SUM(D23:D32)</f>
        <v>18</v>
      </c>
    </row>
    <row r="34" spans="1:4" ht="14.4" customHeight="1" x14ac:dyDescent="0.3">
      <c r="A34" s="9" t="s">
        <v>44</v>
      </c>
      <c r="B34" s="1" t="s">
        <v>40</v>
      </c>
      <c r="C34" s="5">
        <v>0.03</v>
      </c>
      <c r="D34" s="10">
        <v>3</v>
      </c>
    </row>
    <row r="35" spans="1:4" x14ac:dyDescent="0.3">
      <c r="A35" s="9"/>
      <c r="B35" s="1" t="s">
        <v>41</v>
      </c>
      <c r="C35" s="5">
        <v>1.4999999999999999E-2</v>
      </c>
      <c r="D35" s="10">
        <v>3</v>
      </c>
    </row>
    <row r="36" spans="1:4" x14ac:dyDescent="0.3">
      <c r="A36" s="9"/>
      <c r="B36" s="1" t="s">
        <v>38</v>
      </c>
      <c r="C36" s="5">
        <v>3.0000000000000001E-3</v>
      </c>
      <c r="D36" s="10">
        <v>1.5</v>
      </c>
    </row>
    <row r="37" spans="1:4" x14ac:dyDescent="0.3">
      <c r="A37" s="9"/>
      <c r="B37" s="1" t="s">
        <v>39</v>
      </c>
      <c r="C37" s="5">
        <v>1.5E-3</v>
      </c>
      <c r="D37" s="10">
        <v>1.5</v>
      </c>
    </row>
    <row r="38" spans="1:4" x14ac:dyDescent="0.3">
      <c r="A38" s="9"/>
      <c r="B38" s="1" t="s">
        <v>43</v>
      </c>
      <c r="C38" s="5">
        <v>0.05</v>
      </c>
      <c r="D38" s="10">
        <v>3</v>
      </c>
    </row>
    <row r="39" spans="1:4" x14ac:dyDescent="0.3">
      <c r="A39" s="9"/>
      <c r="B39" s="1" t="s">
        <v>42</v>
      </c>
      <c r="C39" s="5">
        <v>2.5000000000000001E-2</v>
      </c>
      <c r="D39" s="10">
        <v>3</v>
      </c>
    </row>
    <row r="40" spans="1:4" x14ac:dyDescent="0.3">
      <c r="A40" s="9"/>
      <c r="B40" s="4" t="s">
        <v>15</v>
      </c>
      <c r="C40" s="4"/>
      <c r="D40" s="11">
        <f>SUM(D34:D39)</f>
        <v>15</v>
      </c>
    </row>
    <row r="41" spans="1:4" ht="29.4" customHeight="1" x14ac:dyDescent="0.3">
      <c r="A41" s="9" t="s">
        <v>49</v>
      </c>
      <c r="B41" s="1" t="s">
        <v>45</v>
      </c>
      <c r="C41" s="3">
        <v>0.5</v>
      </c>
      <c r="D41" s="10">
        <v>12</v>
      </c>
    </row>
    <row r="42" spans="1:4" ht="29.4" customHeight="1" x14ac:dyDescent="0.3">
      <c r="A42" s="9"/>
      <c r="B42" s="1" t="s">
        <v>46</v>
      </c>
      <c r="C42" s="3">
        <v>0.1</v>
      </c>
      <c r="D42" s="10">
        <v>3</v>
      </c>
    </row>
    <row r="43" spans="1:4" ht="29.4" customHeight="1" x14ac:dyDescent="0.3">
      <c r="A43" s="9"/>
      <c r="B43" s="1" t="s">
        <v>47</v>
      </c>
      <c r="C43" s="3">
        <v>0.09</v>
      </c>
      <c r="D43" s="10">
        <v>3</v>
      </c>
    </row>
    <row r="44" spans="1:4" ht="29.4" customHeight="1" x14ac:dyDescent="0.3">
      <c r="A44" s="9"/>
      <c r="B44" s="1" t="s">
        <v>48</v>
      </c>
      <c r="C44" s="3">
        <v>0.06</v>
      </c>
      <c r="D44" s="10">
        <v>2</v>
      </c>
    </row>
    <row r="45" spans="1:4" x14ac:dyDescent="0.3">
      <c r="A45" s="9"/>
      <c r="B45" s="4" t="s">
        <v>15</v>
      </c>
      <c r="C45" s="4"/>
      <c r="D45" s="11">
        <f>SUM(D41:D44)</f>
        <v>20</v>
      </c>
    </row>
    <row r="46" spans="1:4" ht="28.8" x14ac:dyDescent="0.3">
      <c r="A46" s="12" t="s">
        <v>51</v>
      </c>
      <c r="B46" s="1" t="s">
        <v>50</v>
      </c>
      <c r="C46" s="3">
        <v>0.03</v>
      </c>
      <c r="D46" s="11">
        <v>15</v>
      </c>
    </row>
    <row r="47" spans="1:4" ht="38.4" customHeight="1" x14ac:dyDescent="0.3">
      <c r="A47" s="12" t="s">
        <v>52</v>
      </c>
      <c r="B47" s="1" t="s">
        <v>53</v>
      </c>
      <c r="C47" s="3">
        <v>0.01</v>
      </c>
      <c r="D47" s="11">
        <v>5</v>
      </c>
    </row>
    <row r="48" spans="1:4" ht="15" thickBot="1" x14ac:dyDescent="0.35">
      <c r="A48" s="13"/>
      <c r="B48" s="14" t="s">
        <v>54</v>
      </c>
      <c r="C48" s="14"/>
      <c r="D48" s="15">
        <f>D47+D46+D45+D40+D33+D22+D12</f>
        <v>108</v>
      </c>
    </row>
  </sheetData>
  <mergeCells count="11">
    <mergeCell ref="A34:A40"/>
    <mergeCell ref="B40:C40"/>
    <mergeCell ref="A41:A45"/>
    <mergeCell ref="B45:C45"/>
    <mergeCell ref="B48:C48"/>
    <mergeCell ref="B12:C12"/>
    <mergeCell ref="A3:A12"/>
    <mergeCell ref="B22:C22"/>
    <mergeCell ref="A13:A22"/>
    <mergeCell ref="A23:A33"/>
    <mergeCell ref="B33:C3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1E546-62CF-4DA8-AD61-845E1AF5CACB}">
  <dimension ref="A1:D24"/>
  <sheetViews>
    <sheetView workbookViewId="0">
      <selection activeCell="F13" sqref="F13"/>
    </sheetView>
  </sheetViews>
  <sheetFormatPr defaultRowHeight="14.4" x14ac:dyDescent="0.3"/>
  <cols>
    <col min="1" max="1" width="22.109375" customWidth="1"/>
  </cols>
  <sheetData>
    <row r="1" spans="1:4" ht="15" thickBot="1" x14ac:dyDescent="0.35"/>
    <row r="2" spans="1:4" x14ac:dyDescent="0.3">
      <c r="A2" s="6" t="s">
        <v>0</v>
      </c>
      <c r="B2" s="7" t="s">
        <v>1</v>
      </c>
      <c r="C2" s="7" t="s">
        <v>2</v>
      </c>
      <c r="D2" s="8" t="s">
        <v>3</v>
      </c>
    </row>
    <row r="3" spans="1:4" x14ac:dyDescent="0.3">
      <c r="A3" s="18" t="s">
        <v>67</v>
      </c>
      <c r="B3" s="1" t="s">
        <v>4</v>
      </c>
      <c r="C3" s="1" t="s">
        <v>55</v>
      </c>
      <c r="D3" s="19">
        <v>6</v>
      </c>
    </row>
    <row r="4" spans="1:4" x14ac:dyDescent="0.3">
      <c r="A4" s="18"/>
      <c r="B4" s="1" t="s">
        <v>56</v>
      </c>
      <c r="C4" s="16">
        <v>0.25</v>
      </c>
      <c r="D4" s="19">
        <v>9</v>
      </c>
    </row>
    <row r="5" spans="1:4" x14ac:dyDescent="0.3">
      <c r="A5" s="18"/>
      <c r="B5" s="1" t="s">
        <v>57</v>
      </c>
      <c r="C5" s="17" t="s">
        <v>14</v>
      </c>
      <c r="D5" s="19">
        <v>1</v>
      </c>
    </row>
    <row r="6" spans="1:4" x14ac:dyDescent="0.3">
      <c r="A6" s="18"/>
      <c r="B6" s="1" t="s">
        <v>10</v>
      </c>
      <c r="C6" s="16">
        <v>0.6</v>
      </c>
      <c r="D6" s="19">
        <v>9</v>
      </c>
    </row>
    <row r="7" spans="1:4" x14ac:dyDescent="0.3">
      <c r="A7" s="18"/>
      <c r="B7" s="1" t="s">
        <v>58</v>
      </c>
      <c r="C7" s="16">
        <v>0.1</v>
      </c>
      <c r="D7" s="19">
        <v>2</v>
      </c>
    </row>
    <row r="8" spans="1:4" x14ac:dyDescent="0.3">
      <c r="A8" s="18"/>
      <c r="B8" s="1" t="s">
        <v>59</v>
      </c>
      <c r="C8" s="16">
        <v>0.1</v>
      </c>
      <c r="D8" s="19">
        <v>1</v>
      </c>
    </row>
    <row r="9" spans="1:4" x14ac:dyDescent="0.3">
      <c r="A9" s="18"/>
      <c r="B9" s="4" t="s">
        <v>15</v>
      </c>
      <c r="C9" s="4"/>
      <c r="D9" s="20">
        <f>SUM(D3:D8)</f>
        <v>28</v>
      </c>
    </row>
    <row r="10" spans="1:4" x14ac:dyDescent="0.3">
      <c r="A10" s="21" t="s">
        <v>26</v>
      </c>
      <c r="B10" s="1" t="s">
        <v>60</v>
      </c>
      <c r="C10" s="16">
        <v>0.501</v>
      </c>
      <c r="D10" s="19">
        <v>25</v>
      </c>
    </row>
    <row r="11" spans="1:4" x14ac:dyDescent="0.3">
      <c r="A11" s="21"/>
      <c r="B11" s="1" t="s">
        <v>61</v>
      </c>
      <c r="C11" s="16">
        <v>0.25</v>
      </c>
      <c r="D11" s="19">
        <v>2</v>
      </c>
    </row>
    <row r="12" spans="1:4" x14ac:dyDescent="0.3">
      <c r="A12" s="21"/>
      <c r="B12" s="4" t="s">
        <v>15</v>
      </c>
      <c r="C12" s="4"/>
      <c r="D12" s="20">
        <f>D10+D11</f>
        <v>27</v>
      </c>
    </row>
    <row r="13" spans="1:4" x14ac:dyDescent="0.3">
      <c r="A13" s="18" t="s">
        <v>37</v>
      </c>
      <c r="B13" s="1" t="s">
        <v>62</v>
      </c>
      <c r="C13" s="17">
        <v>0.4</v>
      </c>
      <c r="D13" s="19">
        <v>7.5</v>
      </c>
    </row>
    <row r="14" spans="1:4" x14ac:dyDescent="0.3">
      <c r="A14" s="18"/>
      <c r="B14" s="1" t="s">
        <v>63</v>
      </c>
      <c r="C14" s="17">
        <v>0.2</v>
      </c>
      <c r="D14" s="19">
        <v>7.5</v>
      </c>
    </row>
    <row r="15" spans="1:4" x14ac:dyDescent="0.3">
      <c r="A15" s="18"/>
      <c r="B15" s="1" t="s">
        <v>64</v>
      </c>
      <c r="C15" s="17">
        <v>0.6</v>
      </c>
      <c r="D15" s="19">
        <v>5</v>
      </c>
    </row>
    <row r="16" spans="1:4" x14ac:dyDescent="0.3">
      <c r="A16" s="18"/>
      <c r="B16" s="1" t="s">
        <v>65</v>
      </c>
      <c r="C16" s="17">
        <v>0.3</v>
      </c>
      <c r="D16" s="19">
        <v>5</v>
      </c>
    </row>
    <row r="17" spans="1:4" x14ac:dyDescent="0.3">
      <c r="A17" s="18"/>
      <c r="B17" s="1" t="s">
        <v>66</v>
      </c>
      <c r="C17" s="17"/>
      <c r="D17" s="19">
        <v>2</v>
      </c>
    </row>
    <row r="18" spans="1:4" x14ac:dyDescent="0.3">
      <c r="A18" s="18"/>
      <c r="B18" s="4" t="s">
        <v>15</v>
      </c>
      <c r="C18" s="4"/>
      <c r="D18" s="20">
        <f>SUM(D13:D17)</f>
        <v>27</v>
      </c>
    </row>
    <row r="19" spans="1:4" x14ac:dyDescent="0.3">
      <c r="A19" s="21" t="s">
        <v>44</v>
      </c>
      <c r="B19" s="1" t="s">
        <v>68</v>
      </c>
      <c r="C19" s="17">
        <v>0.02</v>
      </c>
      <c r="D19" s="19">
        <v>12.5</v>
      </c>
    </row>
    <row r="20" spans="1:4" x14ac:dyDescent="0.3">
      <c r="A20" s="21"/>
      <c r="B20" s="1" t="s">
        <v>69</v>
      </c>
      <c r="C20" s="17">
        <v>0.01</v>
      </c>
      <c r="D20" s="19">
        <v>12.5</v>
      </c>
    </row>
    <row r="21" spans="1:4" x14ac:dyDescent="0.3">
      <c r="A21" s="21"/>
      <c r="B21" s="4" t="s">
        <v>15</v>
      </c>
      <c r="C21" s="4"/>
      <c r="D21" s="20">
        <f>SUM(D19:D20)</f>
        <v>25</v>
      </c>
    </row>
    <row r="22" spans="1:4" x14ac:dyDescent="0.3">
      <c r="A22" s="22" t="s">
        <v>49</v>
      </c>
      <c r="B22" s="1" t="s">
        <v>70</v>
      </c>
      <c r="C22" s="17">
        <v>0.4</v>
      </c>
      <c r="D22" s="20">
        <v>25</v>
      </c>
    </row>
    <row r="23" spans="1:4" x14ac:dyDescent="0.3">
      <c r="A23" s="22" t="s">
        <v>51</v>
      </c>
      <c r="B23" s="1" t="s">
        <v>71</v>
      </c>
      <c r="C23" s="17">
        <v>0.02</v>
      </c>
      <c r="D23" s="20">
        <v>25</v>
      </c>
    </row>
    <row r="24" spans="1:4" ht="15" thickBot="1" x14ac:dyDescent="0.35">
      <c r="A24" s="13" t="s">
        <v>52</v>
      </c>
      <c r="B24" s="23" t="s">
        <v>71</v>
      </c>
      <c r="C24" s="24">
        <v>0.01</v>
      </c>
      <c r="D24" s="25">
        <v>25</v>
      </c>
    </row>
  </sheetData>
  <mergeCells count="8">
    <mergeCell ref="B21:C21"/>
    <mergeCell ref="A19:A21"/>
    <mergeCell ref="B9:C9"/>
    <mergeCell ref="B12:C12"/>
    <mergeCell ref="B18:C18"/>
    <mergeCell ref="A3:A9"/>
    <mergeCell ref="A10:A12"/>
    <mergeCell ref="A13:A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1C0EB-4D3B-418B-A731-EC364E3716F6}">
  <dimension ref="A2:H8"/>
  <sheetViews>
    <sheetView tabSelected="1" workbookViewId="0">
      <selection activeCell="A17" sqref="A17"/>
    </sheetView>
  </sheetViews>
  <sheetFormatPr defaultRowHeight="14.4" x14ac:dyDescent="0.3"/>
  <cols>
    <col min="1" max="1" width="22.88671875" bestFit="1" customWidth="1"/>
    <col min="2" max="2" width="12" bestFit="1" customWidth="1"/>
    <col min="3" max="3" width="11.33203125" bestFit="1" customWidth="1"/>
    <col min="4" max="4" width="12" bestFit="1" customWidth="1"/>
    <col min="5" max="5" width="11.33203125" bestFit="1" customWidth="1"/>
    <col min="6" max="6" width="12" bestFit="1" customWidth="1"/>
    <col min="7" max="7" width="11.33203125" bestFit="1" customWidth="1"/>
    <col min="8" max="8" width="12" bestFit="1" customWidth="1"/>
  </cols>
  <sheetData>
    <row r="2" spans="1:8" ht="15" thickBot="1" x14ac:dyDescent="0.35">
      <c r="A2" s="31" t="s">
        <v>72</v>
      </c>
      <c r="B2" s="31"/>
      <c r="C2" s="31"/>
      <c r="D2" s="31"/>
      <c r="E2" s="31"/>
      <c r="F2" s="31"/>
      <c r="G2" s="31"/>
      <c r="H2" s="31"/>
    </row>
    <row r="3" spans="1:8" x14ac:dyDescent="0.3">
      <c r="A3" s="26" t="s">
        <v>73</v>
      </c>
      <c r="B3" s="27"/>
      <c r="C3" s="27" t="s">
        <v>76</v>
      </c>
      <c r="D3" s="27"/>
      <c r="E3" s="27" t="s">
        <v>77</v>
      </c>
      <c r="F3" s="27"/>
      <c r="G3" s="27" t="s">
        <v>78</v>
      </c>
      <c r="H3" s="28"/>
    </row>
    <row r="4" spans="1:8" x14ac:dyDescent="0.3">
      <c r="A4" s="22" t="s">
        <v>74</v>
      </c>
      <c r="B4" s="1" t="s">
        <v>75</v>
      </c>
      <c r="C4" s="1" t="s">
        <v>74</v>
      </c>
      <c r="D4" s="1" t="s">
        <v>75</v>
      </c>
      <c r="E4" s="1" t="s">
        <v>74</v>
      </c>
      <c r="F4" s="1" t="s">
        <v>75</v>
      </c>
      <c r="G4" s="1" t="s">
        <v>74</v>
      </c>
      <c r="H4" s="19" t="s">
        <v>75</v>
      </c>
    </row>
    <row r="5" spans="1:8" ht="15" thickBot="1" x14ac:dyDescent="0.35">
      <c r="A5" s="29">
        <v>0.5</v>
      </c>
      <c r="B5" s="24">
        <v>0.25</v>
      </c>
      <c r="C5" s="24">
        <v>0.5</v>
      </c>
      <c r="D5" s="24">
        <v>0.2</v>
      </c>
      <c r="E5" s="24">
        <v>0.4</v>
      </c>
      <c r="F5" s="24">
        <v>0.2</v>
      </c>
      <c r="G5" s="24">
        <v>0.4</v>
      </c>
      <c r="H5" s="30">
        <v>0.2</v>
      </c>
    </row>
    <row r="8" spans="1:8" x14ac:dyDescent="0.3">
      <c r="A8" t="s">
        <v>79</v>
      </c>
    </row>
  </sheetData>
  <mergeCells count="5">
    <mergeCell ref="A3:B3"/>
    <mergeCell ref="C3:D3"/>
    <mergeCell ref="E3:F3"/>
    <mergeCell ref="G3:H3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Road Freight Large</vt:lpstr>
      <vt:lpstr>Road Freight QSE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Zoleka Mnanzana</dc:creator>
  <cp:lastModifiedBy>Zoleka Mnanzana</cp:lastModifiedBy>
  <dcterms:created xsi:type="dcterms:W3CDTF">2026-05-04T14:35:12Z</dcterms:created>
  <dcterms:modified xsi:type="dcterms:W3CDTF">2026-05-04T16:56:35Z</dcterms:modified>
</cp:coreProperties>
</file>